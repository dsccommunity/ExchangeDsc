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comments2.xml" ContentType="application/vnd.openxmlformats-officedocument.spreadsheetml.comments+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4.xml" ContentType="application/vnd.openxmlformats-officedocument.spreadsheetml.comments+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5.xml" ContentType="application/vnd.openxmlformats-officedocument.spreadsheetml.comments+xml"/>
  <Override PartName="/xl/tables/table76.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ables/table122.xml" ContentType="application/vnd.openxmlformats-officedocument.spreadsheetml.table+xml"/>
  <Override PartName="/xl/tables/table123.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My Documents\Presentations\Ignite 2015\Demo\CalculatorAndScripts\Prod\"/>
    </mc:Choice>
  </mc:AlternateContent>
  <bookViews>
    <workbookView xWindow="0" yWindow="0" windowWidth="28800" windowHeight="11685" tabRatio="884" firstSheet="1" activeTab="1"/>
  </bookViews>
  <sheets>
    <sheet name="Disclaimers" sheetId="14" state="hidden" r:id="rId1"/>
    <sheet name="Input" sheetId="1" r:id="rId2"/>
    <sheet name="Role Requirements" sheetId="13" r:id="rId3"/>
    <sheet name="Activation Scenarios" sheetId="16" r:id="rId4"/>
    <sheet name="Distribution" sheetId="17"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functionGroups builtInGroupCount="18"/>
  <definedNames>
    <definedName name="AccNetLinkCCR">'Replication Requirements'!$G$145</definedName>
    <definedName name="AccNetLinkSCR">'Replication Requirements'!$G$146</definedName>
    <definedName name="ActiveCacheTargetDC1">'Role Requirements'!$C$134</definedName>
    <definedName name="AdditionalIO">Input!$C$45</definedName>
    <definedName name="aggRWRatio">'Role Requirements'!$I$70</definedName>
    <definedName name="AutoReseedVolumes">Input!$C$112</definedName>
    <definedName name="AvailNetCapacity">'Replication Requirements'!$E$8</definedName>
    <definedName name="BackupFailureTol">Input!$C$99</definedName>
    <definedName name="BackupFreq">Input!$C$98</definedName>
    <definedName name="BackupMethod">Input!$C$97</definedName>
    <definedName name="BaseTotIOPS">'Storage Design'!$C$35</definedName>
    <definedName name="CachePages">'Role Requirements'!$C$133</definedName>
    <definedName name="CachePagesDC2">'Role Requirements'!$I$132</definedName>
    <definedName name="calcActMBXFFAP">'Activation Scenarios'!$E$16</definedName>
    <definedName name="calcActMBXNRAP">'Activation Scenarios'!$E$15</definedName>
    <definedName name="calcActMBXSFAP">'Activation Scenarios'!$E$17</definedName>
    <definedName name="calcAggDataSize">'Role Requirements'!#REF!</definedName>
    <definedName name="calcAvDBCache">'Role Requirements'!$C$103</definedName>
    <definedName name="calcAvSvrMCycles">'Role Requirements'!$C$160</definedName>
    <definedName name="calcAvSvrMCyclesLCS">'Role Requirements'!$C$162</definedName>
    <definedName name="calcAvSvrMCyclesSDC">'Role Requirements'!$C$161</definedName>
    <definedName name="calcCASCPUPDC">'Role Requirements'!$C$169</definedName>
    <definedName name="calcCASCPUSDC">'Role Requirements'!$C$170</definedName>
    <definedName name="calcCASMemReq">'Role Requirements'!$C$138</definedName>
    <definedName name="calcCASMemReqSDC">'Role Requirements'!$I$137</definedName>
    <definedName name="calcCIMemReq">'Role Requirements'!$C$137</definedName>
    <definedName name="calcCIMemReqSDC">'Role Requirements'!$I$135</definedName>
    <definedName name="calcCPUUtilLCS">'Role Requirements'!$I$159</definedName>
    <definedName name="calcCPUUtilPDC">'Role Requirements'!$I$157</definedName>
    <definedName name="calcCPUUtilSDC">'Role Requirements'!$I$158</definedName>
    <definedName name="calcCustomDiskCountCheck">'Role Requirements'!$I$170</definedName>
    <definedName name="calcDBCacheSize">'Role Requirements'!$C$141</definedName>
    <definedName name="calcDBPerm">'Role Requirements'!$C$77</definedName>
    <definedName name="calcDedLaggedCopyServer">'Role Requirements'!$C$108</definedName>
    <definedName name="calcDiskLimitOverride">'Role Requirements'!$C$110</definedName>
    <definedName name="calcFailureDomainCopiesDC1">Input!$D$206</definedName>
    <definedName name="calcFailureDomainCopiesDC2">Input!$D$219</definedName>
    <definedName name="calcFailureDomainServersDC1">Input!$C$206</definedName>
    <definedName name="calcFailureDomainServersDC2">Input!$C$219</definedName>
    <definedName name="calcFailureDomainTargetCopiesDC1">Input!$D$207</definedName>
    <definedName name="calcFailureDomainTargetCopiesDC2">Input!$D$220</definedName>
    <definedName name="calcFailureDomainTargetServersDC1">Input!$C$207</definedName>
    <definedName name="calcFailureDomainTargetServersDC2">Input!$C$220</definedName>
    <definedName name="calcIOPSPerDB">'Role Requirements'!$I$77</definedName>
    <definedName name="calcIOPSPerLog">'Role Requirements'!$I$78</definedName>
    <definedName name="calcItemsPerServerActive">'Role Requirements'!$C$104</definedName>
    <definedName name="calcItemsPerServerActiveSDC">'Role Requirements'!$I$133</definedName>
    <definedName name="calcItemsPerServerPassive">'Role Requirements'!$C$105</definedName>
    <definedName name="calcItemsPerServerPassiveSDC">'Role Requirements'!$I$134</definedName>
    <definedName name="calcLaggedServerCPU">'Role Requirements'!$C$167</definedName>
    <definedName name="calcLogStreamsBtwnDCs">'Role Requirements'!$I$179</definedName>
    <definedName name="calcMaxDBperVolume">'Role Requirements'!$C$81</definedName>
    <definedName name="calcMaxDBSize">'Role Requirements'!$C$62</definedName>
    <definedName name="calcMaxDBSizeCheck">'Role Requirements'!$I$169</definedName>
    <definedName name="calcMaxNumDBDAG">'Role Requirements'!$C$64</definedName>
    <definedName name="calcMaxNumDBs">'Role Requirements'!$C$63</definedName>
    <definedName name="calcMBXPerDB">'Role Requirements'!$C$75</definedName>
    <definedName name="calcMBXSDCRAM">'Role Requirements'!$I$136</definedName>
    <definedName name="calcMBXServerACPU">'Role Requirements'!$C$163</definedName>
    <definedName name="calcMBXServerACPUSDC">'Role Requirements'!$C$165</definedName>
    <definedName name="calcMBXServerPCPU">'Role Requirements'!$C$164</definedName>
    <definedName name="calcMBXServerPCPUSDC">'Role Requirements'!$C$166</definedName>
    <definedName name="calcMessagesPerDay">'Role Requirements'!$C$185</definedName>
    <definedName name="calcMinCASCountPDC">'Role Requirements'!$C$194</definedName>
    <definedName name="calcMinCASCountSDC">'Role Requirements'!$C$195</definedName>
    <definedName name="calcMultipleDBVolume">'Role Requirements'!$C$109</definedName>
    <definedName name="calcNumActiveDBs">'Role Requirements'!$C$114</definedName>
    <definedName name="calcNumActiveDBsDC2">'Role Requirements'!$D$114</definedName>
    <definedName name="calcNumActiveDBsFF">'Role Requirements'!$C$115</definedName>
    <definedName name="calcNumActiveDBsFFDC2">'Role Requirements'!$D$115</definedName>
    <definedName name="calcNumActiveDBsPDCFFinSDC">'Role Requirements'!$C$116</definedName>
    <definedName name="calcNumActiveDBsPDCFFinSDCDC2">'Role Requirements'!$D$116</definedName>
    <definedName name="calcNumActiveDBsPDCSFinSDC">'Role Requirements'!$C$120</definedName>
    <definedName name="calcNumActiveDBsPDCSFinSDCDC2">'Role Requirements'!$D$120</definedName>
    <definedName name="calcNumActiveDBsSF">'Role Requirements'!$C$119</definedName>
    <definedName name="calcNumActiveDBsSFDC2">'Role Requirements'!$D$119</definedName>
    <definedName name="calcNumActiveDBsSiteF">'Role Requirements'!$C$125</definedName>
    <definedName name="calcNumActiveDBsSiteF1F">'Role Requirements'!$C$126</definedName>
    <definedName name="calcNumActiveDBsSiteF2F">'Role Requirements'!$C$127</definedName>
    <definedName name="calcNumAMBXServersDC1">'Role Requirements'!$I$85</definedName>
    <definedName name="calcNumAMBXServersDC2">'Role Requirements'!$I$87</definedName>
    <definedName name="calcNumDAGs">'Role Requirements'!$C$95</definedName>
    <definedName name="calcNumDBCopyInPDC">'Role Requirements'!$I$62</definedName>
    <definedName name="calcNumDBCopyInSDC">'Role Requirements'!$I$63</definedName>
    <definedName name="calcNumDBMemSizing">'Role Requirements'!$C$102</definedName>
    <definedName name="calcNumDBMemSizingSDC">'Role Requirements'!$C$128</definedName>
    <definedName name="calcNumDBs">'Role Requirements'!$C$76</definedName>
    <definedName name="CalcNumDBUserTLogs">'Role Requirements'!$C$146</definedName>
    <definedName name="calcNumHAPassCopiesDC1inDC2">'Role Requirements'!$C$89</definedName>
    <definedName name="calcNumHAPassCopiesDC2inDC1">'Role Requirements'!$C$91</definedName>
    <definedName name="calcNumLagCopyInPDC">'Role Requirements'!$I$64</definedName>
    <definedName name="calcNumLagCopyInSDC">'Role Requirements'!$I$65</definedName>
    <definedName name="calcNumLagMBXServers">'Role Requirements'!$I$97</definedName>
    <definedName name="calcNumLagMBXServersPDC">'Role Requirements'!$I$98</definedName>
    <definedName name="calcNumLagMBXServersSDC">'Role Requirements'!$I$99</definedName>
    <definedName name="calcNumMBXPerDBCap">'Role Requirements'!$C$74</definedName>
    <definedName name="calcNumMBXPerDBIO">'Role Requirements'!$C$73</definedName>
    <definedName name="calcNumPMBXServersDC1">'Role Requirements'!$I$86</definedName>
    <definedName name="calcNumPMBXServersDC2">'Role Requirements'!$I$88</definedName>
    <definedName name="calcNumSrcDBDC1">'Role Requirements'!$I$173</definedName>
    <definedName name="calcNumSrcDBDC2">'Role Requirements'!$I$175</definedName>
    <definedName name="calcNumTgtDBDC1">'Role Requirements'!$I$174</definedName>
    <definedName name="calcNumTgtDBDC2">'Role Requirements'!$I$176</definedName>
    <definedName name="calcNumTgtLagDBDC1">'Role Requirements'!$I$177</definedName>
    <definedName name="calcNumTgtLagDBDC2">'Role Requirements'!$I$178</definedName>
    <definedName name="CalcNumUserTLogs">'Role Requirements'!$C$145</definedName>
    <definedName name="calcRecCASCoresPDC">'Role Requirements'!#REF!</definedName>
    <definedName name="calcRecCASCoresSDC">'Role Requirements'!#REF!</definedName>
    <definedName name="calcRecCASCountPDC">'Role Requirements'!$C$196</definedName>
    <definedName name="calcRecCASCountSDC">'Role Requirements'!$C$197</definedName>
    <definedName name="calcRecGCCoresPDC">'Role Requirements'!$C$180</definedName>
    <definedName name="calcRecGCCoresSDC">'Role Requirements'!$C$181</definedName>
    <definedName name="calcRecHTCoresPDC">'Role Requirements'!#REF!</definedName>
    <definedName name="calcRecHTCoresSDC">'Role Requirements'!#REF!</definedName>
    <definedName name="calcRemainingServers">'Role Requirements'!$C$106</definedName>
    <definedName name="calcReqCASCoresPDCServer">'Role Requirements'!$C$175</definedName>
    <definedName name="calcReqCASCoresSDCServer">'Role Requirements'!$C$179</definedName>
    <definedName name="calcReqLagCoresPDCServer">'Role Requirements'!$C$176</definedName>
    <definedName name="calcReqMBXACoresPDCServer">'Role Requirements'!$C$174</definedName>
    <definedName name="calcReqMBXACoresSDCServer">'Role Requirements'!$C$178</definedName>
    <definedName name="calcReqMBXCoresPDC">'Role Requirements'!#REF!</definedName>
    <definedName name="calcReqMBXCoresPDCServer">'Role Requirements'!$C$173</definedName>
    <definedName name="calcReqMBXCoresSDC">'Role Requirements'!$C$182</definedName>
    <definedName name="calcReqMBXCoresSDCServer">'Role Requirements'!$C$177</definedName>
    <definedName name="calcRPO">'Replication Requirements'!$E$9</definedName>
    <definedName name="calcSafetyNetEffect">'Role Requirements'!$C$188</definedName>
    <definedName name="calcSafetyNetTimeout">'Role Requirements'!$C$184</definedName>
    <definedName name="calcServerJBODDisks">'Storage Design'!$C$197</definedName>
    <definedName name="calcServerJBODDisksSDC">'Storage Design'!$D$197</definedName>
    <definedName name="calcServerMessagesPerDay">'Role Requirements'!$C$186</definedName>
    <definedName name="calcServerRAIDDisks">'Storage Design'!$C$194</definedName>
    <definedName name="calcServerRAM">'Role Requirements'!$C$136</definedName>
    <definedName name="calcShadowMessages">'Role Requirements'!$C$187</definedName>
    <definedName name="calcSRAASDDRServers">'Role Requirements'!$C$107</definedName>
    <definedName name="calcTier1ArchiveMBXLimit">'Role Requirements'!#REF!</definedName>
    <definedName name="calcTier1DBReads">'Role Requirements'!$C$27</definedName>
    <definedName name="calcTier1DBReadsMF">'Role Requirements'!#REF!</definedName>
    <definedName name="calcTier1DBWrites">'Role Requirements'!$C$28</definedName>
    <definedName name="calcTier1DBWritesMF">'Role Requirements'!#REF!</definedName>
    <definedName name="calcTier1DesktopSearchIO">'Role Requirements'!$C$26</definedName>
    <definedName name="calcTier1InitialMBXSize">'Role Requirements'!$C$19</definedName>
    <definedName name="calcTier1IOFactor">'Role Requirements'!$C$12</definedName>
    <definedName name="calcTier1MBX">'Role Requirements'!$C$10</definedName>
    <definedName name="calcTier1MBXLimit">'Role Requirements'!#REF!</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DBReads">'Role Requirements'!$I$27</definedName>
    <definedName name="calcTier2DBReadsMF">'Role Requirements'!#REF!</definedName>
    <definedName name="calcTier2DBWrites">'Role Requirements'!$I$28</definedName>
    <definedName name="calcTier2DBWritesMF">'Role Requirements'!#REF!</definedName>
    <definedName name="calcTier2DesktopSearchIO">'Role Requirements'!$I$26</definedName>
    <definedName name="calcTier2InitialMBXSize">'Role Requirements'!$I$19</definedName>
    <definedName name="calcTier2IOFactor">'Role Requirements'!$I$12</definedName>
    <definedName name="calcTier2MBX">'Role Requirements'!$I$10</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DBReads">'Role Requirements'!$C$53</definedName>
    <definedName name="calcTier3DBReadsMF">'Role Requirements'!#REF!</definedName>
    <definedName name="calcTier3DBWrites">'Role Requirements'!$C$54</definedName>
    <definedName name="calcTier3DBWritesMF">'Role Requirements'!#REF!</definedName>
    <definedName name="calcTier3DesktopSearchIO">'Role Requirements'!$C$52</definedName>
    <definedName name="calcTier3InitialMBXSize">'Role Requirements'!$C$45</definedName>
    <definedName name="calcTier3IOFactor">'Role Requirements'!$C$38</definedName>
    <definedName name="calcTier3MBX">'Role Requirements'!$C$36</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DBReads">'Role Requirements'!$I$53</definedName>
    <definedName name="calcTier4DBReadsMF">'Role Requirements'!#REF!</definedName>
    <definedName name="calcTier4DBWrites">'Role Requirements'!$I$54</definedName>
    <definedName name="calcTier4DBWritesMF">'Role Requirements'!#REF!</definedName>
    <definedName name="calcTier4DesktopSearchIO">'Role Requirements'!$I$52</definedName>
    <definedName name="calcTier4InitialMBXSize">'Role Requirements'!$I$45</definedName>
    <definedName name="calcTier4IOFactor">'Role Requirements'!$I$38</definedName>
    <definedName name="calcTier4MBX">'Role Requirements'!$I$36</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Requirements'!$C$117</definedName>
    <definedName name="calcTotActiveDBsPDCFFinPDCDC2">'Role Requirements'!$D$117</definedName>
    <definedName name="calcTotActiveDBsPDCFFinSDC">'Role Requirements'!$C$118</definedName>
    <definedName name="calcTotActiveDBsPDCFFinSDCDC2">'Role Requirements'!$D$118</definedName>
    <definedName name="calcTotActiveDBsPDCSFinPDC">'Role Requirements'!$C$121</definedName>
    <definedName name="calcTotActiveDBsPDCSFinPDCDC2">'Role Requirements'!$D$121</definedName>
    <definedName name="calcTotActiveDBsPDCSFinSDC">'Role Requirements'!$C$122</definedName>
    <definedName name="calcTotActiveDBsPDCSFinSDCDC2">'Role Requirements'!$D$122</definedName>
    <definedName name="calcTotCASMemReq">'Role Requirements'!$C$142</definedName>
    <definedName name="calcTotCASMemReqSDC">'Role Requirements'!$I$140</definedName>
    <definedName name="calcTotCASReqMCycles">'Role Requirements'!$C$168</definedName>
    <definedName name="calcTotNumHACopies">'Role Requirements'!$I$66</definedName>
    <definedName name="calcTotNumHACopiesDC1inDC1">'Role Requirements'!$C$87</definedName>
    <definedName name="calcTotNumHACopiesDC2inDC2">'Role Requirements'!$C$88</definedName>
    <definedName name="calcTotNumLagCopies">'Role Requirements'!$I$67</definedName>
    <definedName name="calcTotNumLagDBCopiesPDC">'Role Requirements'!$I$100</definedName>
    <definedName name="calcTotNumLagDBCopiesSDC">'Role Requirements'!$I$101</definedName>
    <definedName name="calcTotNumMBXPerSvr">'Role Requirements'!$C$100</definedName>
    <definedName name="calcTotNumMBXServers">'Role Requirements'!#REF!</definedName>
    <definedName name="calcTotNumNLMBXServers">'Role Requirements'!#REF!</definedName>
    <definedName name="calcTotNumPassiveCopiesDC1inDC2">'Role Requirements'!$C$90</definedName>
    <definedName name="calcTotNumPassiveCopiesDC2inDC1">'Role Requirements'!$C$92</definedName>
    <definedName name="calcTotServerRAM">'Role Requirements'!$C$139</definedName>
    <definedName name="calcTotServerRAMSDC">'Role Requirements'!$I$138</definedName>
    <definedName name="calcTotTransportDBSize">'Role Requirements'!#REF!</definedName>
    <definedName name="calcTransportDBSize">'Role Requirements'!$C$189</definedName>
    <definedName name="calcTransportLocPDC">'Role Requirements'!$C$190</definedName>
    <definedName name="calcTransportLocSDC">'Role Requirements'!$C$191</definedName>
    <definedName name="calcTransportMessageSize">'Role Requirements'!#REF!</definedName>
    <definedName name="CalcVersion">'Version Changes'!$K$57</definedName>
    <definedName name="CIFactor">Variables!$K$38</definedName>
    <definedName name="ColorFirst">Tables!$A$255</definedName>
    <definedName name="ColorLast">Tables!$A$270</definedName>
    <definedName name="Config3TotDisks">'Storage Design'!#REF!</definedName>
    <definedName name="ConfigPDCTotDisks">'Storage Design'!$B$127</definedName>
    <definedName name="ConfigSDCTotDisks">'Storage Design'!$B$130</definedName>
    <definedName name="ContentIndexing">Variables!$K$39</definedName>
    <definedName name="CpuUtilizationDC1">'Role Requirements'!$C$242</definedName>
    <definedName name="CpuUtilizationDC2">'Role Requirements'!$D$242</definedName>
    <definedName name="CustomDBperVol1">Input!#REF!</definedName>
    <definedName name="CustomDBperVol2">Input!#REF!</definedName>
    <definedName name="CustomMaxDBSize">Input!$F$37</definedName>
    <definedName name="CustomNumDBs">Input!$F$39</definedName>
    <definedName name="DAG1BaseName">Input!$F$175</definedName>
    <definedName name="DAG2BaseName">Input!$F$176</definedName>
    <definedName name="DAGLogBandwidth">'Replication Requirements'!$E$14</definedName>
    <definedName name="DAGMemberValCheck">'Role Requirements'!$I$163</definedName>
    <definedName name="DAGQuroumStatus">Distribution!$J$3</definedName>
    <definedName name="DataGrowth">Input!$C$36</definedName>
    <definedName name="DBCopyValCheck">'Role Requirements'!$I$164</definedName>
    <definedName name="DBCountValCheck">'Role Requirements'!$I$166</definedName>
    <definedName name="DBDiskIOCap1">'Storage Design'!$C$47</definedName>
    <definedName name="DBDiskIOCap2">'Storage Design'!$D$47</definedName>
    <definedName name="DBDiskIOCap3">'Storage Design'!$E$47</definedName>
    <definedName name="DBDiskRPM3">'Cut Stuff'!$C$8</definedName>
    <definedName name="DBDiskRPMPDC">Input!$D$116</definedName>
    <definedName name="DBDiskRPMSDC">Input!$D$122</definedName>
    <definedName name="DBDiskSize3">'Cut Stuff'!$C$7</definedName>
    <definedName name="DBDiskSizePDC">Input!$C$116</definedName>
    <definedName name="DBDiskSizeSDC">Input!$C$122</definedName>
    <definedName name="DBDiskSpaceReqReplicaSS">'Role Requirements'!$D$257</definedName>
    <definedName name="DBForDiskCap1">'Storage Design'!$C$46</definedName>
    <definedName name="DBForDiskCap2">'Storage Design'!$D$46</definedName>
    <definedName name="DBForDiskCap3">'Storage Design'!$E$46</definedName>
    <definedName name="DBIOPSReplicaSS">'Role Requirements'!$D$264</definedName>
    <definedName name="DBLogBandwidth">'Replication Requirements'!$E$12</definedName>
    <definedName name="DBLogIsolation">'Role Requirements'!$C$111</definedName>
    <definedName name="DBPermOverride">Input!$F$40</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'Volume Requirements'!$D$123</definedName>
    <definedName name="DBSizeOverhead">'Volume Requirements'!$E$123</definedName>
    <definedName name="DBSizeOverride">Input!$F$36</definedName>
    <definedName name="DBVolDiskSpaceReplicaSS">'Role Requirements'!$D$259</definedName>
    <definedName name="DBVolSize">'Volume Requirements'!$I$123</definedName>
    <definedName name="DedLaggedCopyServer">Input!$F$30</definedName>
    <definedName name="DesiredStorageArch">'Storage Design'!$C$28</definedName>
    <definedName name="DesResVolRAID">'Storage Design'!$F$20</definedName>
    <definedName name="DiskLimitOverride">Input!$C$110</definedName>
    <definedName name="EnvPeakIOPS">'Role Requirements'!$I$71</definedName>
    <definedName name="ExVersion">Variables!$K$55</definedName>
    <definedName name="FailureDomainCheck">'Role Requirements'!$I$167</definedName>
    <definedName name="FailureDomainsEnabled">Input!$C$193</definedName>
    <definedName name="FailureDomainStatusField">Input!$B$224</definedName>
    <definedName name="FD1CopyCountPri">Input!$D$198</definedName>
    <definedName name="FD1CopyCountSec">Input!$D$211</definedName>
    <definedName name="FD1ServerCountPri">Input!$C$198</definedName>
    <definedName name="FD1ServerCountSec">Input!$C$211</definedName>
    <definedName name="FD2CopyCountPri">Input!$D$199</definedName>
    <definedName name="FD2CopyCountSec">Input!$D$212</definedName>
    <definedName name="FD2ServerCountPri">Input!$C$199</definedName>
    <definedName name="FD2ServerCountSec">Input!$C$212</definedName>
    <definedName name="FD3CopyCountPri">Input!$D$200</definedName>
    <definedName name="FD3CopyCountSec">Input!$D$213</definedName>
    <definedName name="FD3ServerCountPri">Input!$C$200</definedName>
    <definedName name="FD3ServerCountSec">Input!$C$213</definedName>
    <definedName name="FD4CopyCountPri">Input!$D$201</definedName>
    <definedName name="FD4CopyCountSec">Input!$D$214</definedName>
    <definedName name="FD4ServerCountPri">Input!$C$201</definedName>
    <definedName name="FD4ServerCountSec">Input!$C$214</definedName>
    <definedName name="FD5CopyCountPri">Input!$D$202</definedName>
    <definedName name="FD5CopyCountSec">Input!$D$215</definedName>
    <definedName name="FD5ServerCountPri">Input!$C$202</definedName>
    <definedName name="FD5ServerCountSec">Input!$C$215</definedName>
    <definedName name="FD6CopyCountPri">Input!$D$203</definedName>
    <definedName name="FD6CopyCountSec">Input!$D$216</definedName>
    <definedName name="FD6ServerCountPri">Input!$C$203</definedName>
    <definedName name="FD6ServerCountSec">Input!$C$216</definedName>
    <definedName name="FD7CopyCountPri">Input!$D$204</definedName>
    <definedName name="FD7CopyCountSec">Input!$D$217</definedName>
    <definedName name="FD7ServerCountPri">Input!$C$204</definedName>
    <definedName name="FD7ServerCountSec">Input!$C$217</definedName>
    <definedName name="FD8CopyCountPri">Input!$D$205</definedName>
    <definedName name="FD8CopyCountSec">Input!$D$218</definedName>
    <definedName name="FD8ServerCountPri">Input!$C$205</definedName>
    <definedName name="FD8ServerCountSec">Input!$C$218</definedName>
    <definedName name="FDDefPri">Input!$C$198:$D$205</definedName>
    <definedName name="FDDefSec">Input!$C$211:$D$218</definedName>
    <definedName name="FSWStatus">Distribution!$C$9</definedName>
    <definedName name="GCServerArch">Input!$C$22</definedName>
    <definedName name="HAOption">Input!$C$25</definedName>
    <definedName name="IOGrowth">Input!$C$44</definedName>
    <definedName name="JBODCapAchDisk1">'Storage Design'!$C$143</definedName>
    <definedName name="JBODCapAchDisk2">'Storage Design'!$D$143</definedName>
    <definedName name="JBODCapAchDisk3">'Storage Design'!$E$143</definedName>
    <definedName name="JBODDBCapCheckPDC">'Role Requirements'!$I$182</definedName>
    <definedName name="JBODDBCapCheckSDC">'Role Requirements'!$I$186</definedName>
    <definedName name="JBODDBIOCheckPDC">'Role Requirements'!$I$183</definedName>
    <definedName name="JBODDBIOCheckSDC">'Role Requirements'!$I$187</definedName>
    <definedName name="JBODEvaluation">Input!$C$107</definedName>
    <definedName name="JBODIOAchDisk1">'Storage Design'!$C$144</definedName>
    <definedName name="JBODIOAchDisk2">'Storage Design'!$D$144</definedName>
    <definedName name="JBODIOAchDisk3">'Storage Design'!$E$144</definedName>
    <definedName name="JBODResVolAchConfig1">'Storage Design'!$C$146</definedName>
    <definedName name="JBODResVolAchConfig2">'Storage Design'!$D$146</definedName>
    <definedName name="JBODResVolAchConfig3">'Storage Design'!$E$146</definedName>
    <definedName name="JBODRLCapCheckPDC">'Role Requirements'!$I$184</definedName>
    <definedName name="JBODRLCapCheckSDC">'Role Requirements'!$I$188</definedName>
    <definedName name="JBODRLIOCheckPDC">'Role Requirements'!$I$185</definedName>
    <definedName name="JBODRLIOCheckSDC">'Role Requirements'!$I$189</definedName>
    <definedName name="LaggedCopySvrPrefStorageArch">'Role Requirements'!$I$127</definedName>
    <definedName name="LagSvrRAM">'Role Requirements'!$I$102</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Input!$D$117</definedName>
    <definedName name="LogDiskRPMSDC">Input!$D$123</definedName>
    <definedName name="LogDiskSize3">'Cut Stuff'!$D$7</definedName>
    <definedName name="LogDiskSizePDC">Input!$C$117</definedName>
    <definedName name="LogDiskSizeSDC">Input!$C$123</definedName>
    <definedName name="LogDiskSpaceReplicaSS">'Role Requirements'!$D$258</definedName>
    <definedName name="LogDiskSpaceReqBackup">'Role Requirements'!$C$147</definedName>
    <definedName name="LogDiskSpaceReqMove">'Role Requirements'!$C$148</definedName>
    <definedName name="LogForDiskCap1">'Storage Design'!$C$53</definedName>
    <definedName name="LogForDiskCap2">'Storage Design'!$D$53</definedName>
    <definedName name="LogForDiskCap3">'Storage Design'!$E$53</definedName>
    <definedName name="LogH1">Input!$C$145</definedName>
    <definedName name="LogH10">Input!$C$154</definedName>
    <definedName name="LogH11">Input!$C$155</definedName>
    <definedName name="LogH12">Input!$C$156</definedName>
    <definedName name="LogH13">Input!$C$157</definedName>
    <definedName name="LogH14">Input!$C$158</definedName>
    <definedName name="LogH15">Input!$C$159</definedName>
    <definedName name="LogH16">Input!$C$160</definedName>
    <definedName name="LogH17">Input!$C$161</definedName>
    <definedName name="LogH18">Input!$C$162</definedName>
    <definedName name="LogH19">Input!$C$163</definedName>
    <definedName name="LogH2">Input!$C$146</definedName>
    <definedName name="LogH20">Input!$C$164</definedName>
    <definedName name="LogH21">Input!$C$165</definedName>
    <definedName name="LogH22">Input!$C$166</definedName>
    <definedName name="LogH23">Input!$C$167</definedName>
    <definedName name="LogH24">Input!$C$168</definedName>
    <definedName name="LogH3">Input!$C$147</definedName>
    <definedName name="LogH4">Input!$C$148</definedName>
    <definedName name="LogH5">Input!$C$149</definedName>
    <definedName name="LogH6">Input!$C$150</definedName>
    <definedName name="LogH7">Input!$C$151</definedName>
    <definedName name="LogH8">Input!$C$152</definedName>
    <definedName name="LogH9">Input!$C$153</definedName>
    <definedName name="LogIOPSReplicaSS">'Role Requirements'!$D$265</definedName>
    <definedName name="LogR10IOPS">'Storage Design'!$C$34</definedName>
    <definedName name="LogRawDiskCap1">'Storage Design'!$C$52</definedName>
    <definedName name="LogRawDiskCap2">'Storage Design'!$D$52</definedName>
    <definedName name="LogRawDiskCap3">'Storage Design'!$E$52</definedName>
    <definedName name="LogReadTransfers">'Role Requirements'!$I$76</definedName>
    <definedName name="LogSizeOverhead">'Volume Requirements'!$F$123</definedName>
    <definedName name="LogVolDiskSpaceReplicaSS">'Role Requirements'!$D$260</definedName>
    <definedName name="LogVolSize">'Volume Requirements'!$J$123</definedName>
    <definedName name="LogWriteTransfers">'Role Requirements'!$I$75</definedName>
    <definedName name="MailboxSizeCheck">'Role Requirements'!$I$165</definedName>
    <definedName name="MBXMoveRate">Input!$C$37</definedName>
    <definedName name="MBXPerDB">'Role Requirements'!$C$80</definedName>
    <definedName name="MBXSDCRAM">'Role Requirements'!$I$139</definedName>
    <definedName name="minDBCacheMemMBX">'Role Requirements'!$C$132</definedName>
    <definedName name="minDBCacheMemMBXSDC">'Role Requirements'!$I$131</definedName>
    <definedName name="minRecDBCacheSize">'Role Requirements'!#REF!</definedName>
    <definedName name="minRecDBCacheSizeMBXSDC">'Role Requirements'!#REF!</definedName>
    <definedName name="minReqMemory">'Role Requirements'!$C$131</definedName>
    <definedName name="MultipleDBVolume">Input!$C$108</definedName>
    <definedName name="MultiRoleEnabled">Input!$C$23</definedName>
    <definedName name="NetFailureTol">Input!$C$100</definedName>
    <definedName name="NetLinkLatency">Input!$F$145</definedName>
    <definedName name="NetLinkType">Input!$F$144</definedName>
    <definedName name="NetworkCompression">Input!$C$40</definedName>
    <definedName name="NetworkEncryption">'Cut Stuff'!$C$10</definedName>
    <definedName name="numActMBXSvrsPerDC">'Role Requirements'!$C$98</definedName>
    <definedName name="numDAGs">Input!$C$27</definedName>
    <definedName name="NumDAGsEnv">'Role Requirements'!$F$210</definedName>
    <definedName name="NumDAGServersPDC">'Role Requirements'!$C$212</definedName>
    <definedName name="NumDAGServersSDC">'Role Requirements'!$D$212</definedName>
    <definedName name="NumDBCopies">Input!$C$30</definedName>
    <definedName name="numDBCopiesSDC">Input!$C$32</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Requirements'!$C$152</definedName>
    <definedName name="NumDBPerVol">'Volume Requirements'!$I$7</definedName>
    <definedName name="NumDBperVolOverride">Input!$C$109</definedName>
    <definedName name="NumDBsOverride">Input!$F$38</definedName>
    <definedName name="NumDBVol">'Volume Requirements'!$I$8</definedName>
    <definedName name="NumDisksPerServer">Input!$C$111</definedName>
    <definedName name="NumFailureDomainsPri">Input!$C$194</definedName>
    <definedName name="NumFailureDomainsSec">Input!$C$195</definedName>
    <definedName name="numLagDBCopies">Input!$C$31</definedName>
    <definedName name="numLaggedCopiesSDC">Input!$C$33</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MBXServers">Input!$C$26</definedName>
    <definedName name="numMCyclesPerCoreLCS">'Role Requirements'!$C$159</definedName>
    <definedName name="numMCyclesPerCorePDC">'Role Requirements'!$C$157</definedName>
    <definedName name="numMCyclesPerCoreSDC">'Role Requirements'!$C$158</definedName>
    <definedName name="NumMoveMBXTLogPerWk">'Role Requirements'!$C$149</definedName>
    <definedName name="NumMoveMBXTLogPerWkPerDB">'Role Requirements'!$C$150</definedName>
    <definedName name="NumMoveMBXTLogs">'Role Requirements'!$C$151</definedName>
    <definedName name="numProcCoresLCS">Input!$C$133</definedName>
    <definedName name="numProcCoresPDC">Input!$C$131</definedName>
    <definedName name="numProcCoresSDC">Input!$C$132</definedName>
    <definedName name="numSpecRateLCS">Input!$D$133</definedName>
    <definedName name="numSpecRatePDC">Input!$D$131</definedName>
    <definedName name="numSpecRateSDC">Input!$D$132</definedName>
    <definedName name="NumTier1MBX">Input!$C$55</definedName>
    <definedName name="NumTier1MBXDB">'Role Requirements'!$C$69</definedName>
    <definedName name="NumTier2MBX">Input!$C$74</definedName>
    <definedName name="NumTier2MBXDB">'Role Requirements'!$C$70</definedName>
    <definedName name="NumTier3MBX">Input!$F$55</definedName>
    <definedName name="NumTier3MBXDB">'Role Requirements'!$C$71</definedName>
    <definedName name="NumTier4MBX">Input!$F$74</definedName>
    <definedName name="NumTier4MBXDB">'Role Requirements'!$C$72</definedName>
    <definedName name="OptDBDisks1">'Storage Design'!$C$134</definedName>
    <definedName name="OptDBDisks2">'Storage Design'!$D$134</definedName>
    <definedName name="OptDBDisks3">'Storage Design'!$E$134</definedName>
    <definedName name="OptDBRAIDConfig1">'Storage Design'!$C$133</definedName>
    <definedName name="OptDBRAIDConfig2">'Storage Design'!$D$133</definedName>
    <definedName name="OptDBRAIDConfig3">'Storage Design'!$E$133</definedName>
    <definedName name="OptJBODDisksConfig3">'Storage Design'!$E$145</definedName>
    <definedName name="OptJBODDisksConfigPDC">'Storage Design'!$C$145</definedName>
    <definedName name="OptJBODDisksConfigSDC">'Storage Design'!$D$145</definedName>
    <definedName name="OptJBODRLDisksConfig3">'Storage Design'!$C$151</definedName>
    <definedName name="OptJBODRLDisksConfigPDC">'Storage Design'!$C$149</definedName>
    <definedName name="OptJBODRLDisksConfigSDC">'Storage Design'!$C$150</definedName>
    <definedName name="OptLogDisks1">'Storage Design'!$C$136</definedName>
    <definedName name="OptLogDisks2">'Storage Design'!$D$136</definedName>
    <definedName name="OptLogDisks3">'Storage Design'!$E$136</definedName>
    <definedName name="OptLogRAIDConfig1">'Storage Design'!$C$135</definedName>
    <definedName name="OptLogRAIDConfig2">'Storage Design'!$D$135</definedName>
    <definedName name="OptLogRAIDConfig3">'Storage Design'!$E$135</definedName>
    <definedName name="OptRLDisks1">'Storage Design'!$C$138</definedName>
    <definedName name="OptRLDisks2">'Storage Design'!$D$138</definedName>
    <definedName name="OptRLDisks3">'Storage Design'!$E$138</definedName>
    <definedName name="OptRLRAIDConfig1">'Storage Design'!$C$137</definedName>
    <definedName name="OptRLRAIDConfig2">'Storage Design'!$D$137</definedName>
    <definedName name="OptRLRAIDConfig3">'Storage Design'!$E$137</definedName>
    <definedName name="OverrideRAID">'Storage Design'!$C$27</definedName>
    <definedName name="PassiveCacheTargetDC1">'Role Requirements'!$C$135</definedName>
    <definedName name="PeakCIBandwidth">'Replication Requirements'!$E$13</definedName>
    <definedName name="PeakCIDAGBandwidth">'Replication Requirements'!$E$15</definedName>
    <definedName name="PeakIOPS">'Role Requirements'!$I$72</definedName>
    <definedName name="PercentUsersinDC1">Variables!$K$43</definedName>
    <definedName name="PreferredStorageArch">'Role Requirements'!$I$125</definedName>
    <definedName name="PreferredStorageArchSDC">'Role Requirements'!$I$126</definedName>
    <definedName name="_xlnm.Print_Area" localSheetId="6">'Backup Requirements'!$B$1:$I$115</definedName>
    <definedName name="_xlnm.Print_Area" localSheetId="1">Input!$B$1:$F$225</definedName>
    <definedName name="_xlnm.Print_Area" localSheetId="7">'Replication Requirements'!$B$1:$AB$151</definedName>
    <definedName name="_xlnm.Print_Area" localSheetId="2">'Role Requirements'!$B$1:$I$271</definedName>
    <definedName name="_xlnm.Print_Area" localSheetId="10">'Storage Design'!$B$1:$I$203</definedName>
    <definedName name="_xlnm.Print_Area" localSheetId="14">'Version Changes'!$B$3:$Q$111</definedName>
    <definedName name="_xlnm.Print_Area" localSheetId="5">'Volume Requirements'!$B$1:$J$226</definedName>
    <definedName name="QueueTimeout">Input!$F$44</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Requirements'!$C$79</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adTransfers">'Role Requirements'!$I$73</definedName>
    <definedName name="RecDBDisksPDC">'Storage Design'!$C$165</definedName>
    <definedName name="RecDBDisksSDC">'Storage Design'!$C$170</definedName>
    <definedName name="RecDBperVolume">'Role Requirements'!$C$82</definedName>
    <definedName name="RecDBRAIDPDC">'Storage Design'!$C$164</definedName>
    <definedName name="RecDBRAIDSDC">'Storage Design'!$C$169</definedName>
    <definedName name="RecJBODARDisksPDC">'Storage Design'!$E$182</definedName>
    <definedName name="RecJBODARDisksSDC">'Storage Design'!$E$186</definedName>
    <definedName name="RecJBODDisksPDC">'Storage Design'!$C$182</definedName>
    <definedName name="RecJBODDisksSDC">'Storage Design'!$C$186</definedName>
    <definedName name="RecJBODDiskTypePDC">'Storage Design'!$C$181</definedName>
    <definedName name="RecJBODDiskTypeSDC">'Storage Design'!$C$185</definedName>
    <definedName name="RecJBODRLDisksPDC">'Storage Design'!$D$182</definedName>
    <definedName name="RecJBODRLDisksSDC">'Storage Design'!$D$186</definedName>
    <definedName name="RecJBODRLDiskTypePDC">'Storage Design'!$D$181</definedName>
    <definedName name="RecJBODRLDiskTypeSDC">'Storage Design'!$D$185</definedName>
    <definedName name="RecLogDisksPDC">'Storage Design'!$D$165</definedName>
    <definedName name="RecLogDisksSDC">'Storage Design'!$D$170</definedName>
    <definedName name="RecLogRAIDPDC">'Storage Design'!$D$164</definedName>
    <definedName name="RecLogRAIDSDC">'Storage Design'!$D$169</definedName>
    <definedName name="RecNumDBs">'Role Requirements'!$C$78</definedName>
    <definedName name="RecNumDBsDC1">'Role Requirements'!$C$85</definedName>
    <definedName name="RecNumDBsDC2">'Role Requirements'!$C$86</definedName>
    <definedName name="RecRAMMBXPDC">'Role Requirements'!$C$240</definedName>
    <definedName name="RecRAMMBXSDC">'Role Requirements'!$D$240</definedName>
    <definedName name="RecRLDisksPDC">'Storage Design'!$E$165</definedName>
    <definedName name="RecRLDisksSDC">'Storage Design'!$E$170</definedName>
    <definedName name="RecRLRAIDPDC">'Storage Design'!$E$164</definedName>
    <definedName name="RecRLRAIDSDC">'Storage Design'!$E$169</definedName>
    <definedName name="ReplayLagHours">Input!$F$31</definedName>
    <definedName name="ReplayLagTime">'Role Requirements'!$I$95</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Input!$D$118</definedName>
    <definedName name="ResDiskRPMSDC">Input!$D$124</definedName>
    <definedName name="ResDiskSize3">'Cut Stuff'!$E$7</definedName>
    <definedName name="ResDiskSizePDC">Input!$C$118</definedName>
    <definedName name="ResDiskSizeSDC">Input!$C$124</definedName>
    <definedName name="ResRawDiskCap1">'Storage Design'!$C$58</definedName>
    <definedName name="ResRawDiskCap2">'Storage Design'!$D$58</definedName>
    <definedName name="ResRawDiskCap3">'Storage Design'!$E$58</definedName>
    <definedName name="RestoreVol">Input!$C$38</definedName>
    <definedName name="RestoreVolSize">'Volume Requirements'!$I$9</definedName>
    <definedName name="ResVolDiskCap1">'Storage Design'!$C$88</definedName>
    <definedName name="ResVolDiskCap2">'Storage Design'!$D$88</definedName>
    <definedName name="ResVolDiskCap3">'Storage Design'!$E$88</definedName>
    <definedName name="ResVolDiskSpaceNodeSS">'Role Requirements'!$D$261</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Input!$F$24</definedName>
    <definedName name="RPOLogCIBandwidth">'Replication Requirements'!$W$138</definedName>
    <definedName name="RpoOptions">'Replication Requirements'!$E$18:$AB$18</definedName>
    <definedName name="RpoTable">'Replication Requirements'!$E$18:$AB$66</definedName>
    <definedName name="SafetyNetTimeout">Input!$F$45</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Input!$C$184</definedName>
    <definedName name="Server11Name">Input!$C$185</definedName>
    <definedName name="Server12Name">Input!$C$186</definedName>
    <definedName name="Server13Name">Input!$C$187</definedName>
    <definedName name="Server14Name">Input!$C$188</definedName>
    <definedName name="Server15Name">Input!$C$189</definedName>
    <definedName name="Server16Name">Input!$C$190</definedName>
    <definedName name="Server1Name">Input!$C$175</definedName>
    <definedName name="Server2Name">Input!$C$176</definedName>
    <definedName name="Server3Name">Input!$C$177</definedName>
    <definedName name="Server4Name">Input!$C$178</definedName>
    <definedName name="Server5Name">Input!$C$179</definedName>
    <definedName name="Server6Name">Input!$C$180</definedName>
    <definedName name="Server7Name">Input!$C$181</definedName>
    <definedName name="Server8Name">Input!$C$182</definedName>
    <definedName name="Server9Name">Input!$C$183</definedName>
    <definedName name="ServerRAMConfig">'Role Requirements'!$C$140</definedName>
    <definedName name="SiteResilienceEnabled">Input!$F$22</definedName>
    <definedName name="SRAASDDRServers">Input!$F$26</definedName>
    <definedName name="SRActivationBlocked">Input!$F$25</definedName>
    <definedName name="SRModel">Input!$F$23</definedName>
    <definedName name="StorageArchChoice">'Storage Design'!$C$191</definedName>
    <definedName name="StringConversionArea">Variables!$B$51</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Input!$D$115</definedName>
    <definedName name="SysDiskRPMSDC">Input!$D$121</definedName>
    <definedName name="SysDiskSizePDC">Input!$C$115</definedName>
    <definedName name="SysDiskSizeSDC">Input!$C$121</definedName>
    <definedName name="SysRawDiskCapPDC">'Storage Design'!$C$64</definedName>
    <definedName name="SysRawDiskCapSDC">'Storage Design'!$D$64</definedName>
    <definedName name="TblAutoReseedVolumes">Tables!$A$274:$A$280</definedName>
    <definedName name="TblBackupFreq">Tables!$A$31:$B$34</definedName>
    <definedName name="tblDAGBaseNames">Input!$E$175:$F$176</definedName>
    <definedName name="tblDiskCapacity">Tables!$A$200:$B$223</definedName>
    <definedName name="TblDiskType">Tables!$A$227:$C$243</definedName>
    <definedName name="tblLogReplication">'Replication Requirements'!$C$43:$C$66</definedName>
    <definedName name="tblMBXRoleServerMem">Tables!#REF!</definedName>
    <definedName name="tblMemProfileType">Tables!#REF!</definedName>
    <definedName name="tblMinESECacheReq">Tables!$A$16:$C$27</definedName>
    <definedName name="tblMultiRoleCoreMemConfig">Tables!#REF!</definedName>
    <definedName name="tblMultiRoleServerMem">Tables!#REF!</definedName>
    <definedName name="tblNetworkLink">Tables!$A$101:$B$128</definedName>
    <definedName name="tblNumMBXPerDB">Tables!#REF!</definedName>
    <definedName name="TblNumRestoreLun">Tables!$A$38:$B$52</definedName>
    <definedName name="tblRAID10Types">Tables!$A$165:$D$168</definedName>
    <definedName name="TblRAID5Types">Tables!$A$172:$D$190</definedName>
    <definedName name="TblRAID6Types">Tables!$A$194:$D$196</definedName>
    <definedName name="tblReadPercentage">Tables!$A$247:$B$251</definedName>
    <definedName name="tblRecDBDisks">'Storage Design'!$B$110:$D$112</definedName>
    <definedName name="tblRecJBODDiskLookup">'Storage Design'!$B$149:$F$151</definedName>
    <definedName name="tblRecJBODDiskLookupPDC">'Storage Design'!$B$149:$F$149</definedName>
    <definedName name="tblRecJBODDiskLookupSDC">'Storage Design'!$B$150:$F$150</definedName>
    <definedName name="tblRecLogDisks">'Storage Design'!$B$115:$D$118</definedName>
    <definedName name="tblRecNetworkLink">'Replication Requirements'!$B$74:$P$129</definedName>
    <definedName name="tblRecRAIDPDCDiskLookup">'Storage Design'!$B$127:$I$127</definedName>
    <definedName name="tblRecRAIDSDCDiskLookup">'Storage Design'!$B$130:$I$130</definedName>
    <definedName name="tblRecRLDisks">'Storage Design'!$B$121:$D$124</definedName>
    <definedName name="tblRPOBandwidth">'Replication Requirements'!$B$151:$C$152</definedName>
    <definedName name="tblRWRatio">Tables!$B$247:$C$251</definedName>
    <definedName name="tblSCRBndwdth">'Replication Requirements'!$E$70:$AB$71</definedName>
    <definedName name="TblSendReceive">Tables!$A$4:$F$13</definedName>
    <definedName name="tblTCPWindowSize">Tables!$A$132:$B$162</definedName>
    <definedName name="tblVolBackupSet">Tables!$A$56:$B$97</definedName>
    <definedName name="TCPWindowSize">'Replication Requirements'!$H$132</definedName>
    <definedName name="Tier1ActiveMegacycles">'Role Requirements'!$C$14</definedName>
    <definedName name="Tier1ArchiveDumpsterSize">'Role Requirements'!$C$21</definedName>
    <definedName name="Tier1ArchiveMBXLimit">Input!$C$61</definedName>
    <definedName name="Tier1AvgMessageSize">Input!$C$58</definedName>
    <definedName name="Tier1BaseDBReads">'Role Requirements'!$C$24</definedName>
    <definedName name="Tier1BaseDBWrites">'Role Requirements'!$C$25</definedName>
    <definedName name="Tier1BaseIOPS">'Role Requirements'!$C$23</definedName>
    <definedName name="Tier1CalVersionStoreEnabled">Input!$C$64</definedName>
    <definedName name="Tier1CASMegacycles">'Role Requirements'!$C$16</definedName>
    <definedName name="Tier1DBTransfers">'Role Requirements'!$C$31</definedName>
    <definedName name="Tier1DesktopSearch">Input!$C$68</definedName>
    <definedName name="Tier1DIRW">Input!$C$62</definedName>
    <definedName name="Tier1DumpsterSize">'Role Requirements'!$C$20</definedName>
    <definedName name="Tier1InitialMBXSize">Input!$C$59</definedName>
    <definedName name="Tier1IOFactor">Input!$C$66</definedName>
    <definedName name="Tier1IOPS">Input!$C$70</definedName>
    <definedName name="Tier1LogGen">'Role Requirements'!$C$18</definedName>
    <definedName name="Tier1MBXLimit">Input!$C$60</definedName>
    <definedName name="Tier1MBXRatio">'Role Requirements'!$C$65</definedName>
    <definedName name="Tier1MBXSize">'Role Requirements'!$C$22</definedName>
    <definedName name="Tier1MCFactor">Input!$C$67</definedName>
    <definedName name="Tier1MemoryProfile">'Role Requirements'!$C$17</definedName>
    <definedName name="Tier1MessageProfile">'Role Requirements'!$C$11</definedName>
    <definedName name="Tier1NumGrowth">Input!$C$56</definedName>
    <definedName name="Tier1PassiveMegacycles">'Role Requirements'!$C$15</definedName>
    <definedName name="Tier1PredictIOPS">Input!$C$69</definedName>
    <definedName name="Tier1ReadTransfers">'Role Requirements'!$C$32</definedName>
    <definedName name="Tier1RWRatio">Input!$C$71</definedName>
    <definedName name="Tier1SendReceive">Input!$C$57</definedName>
    <definedName name="Tier1SIREnabled">Input!$C$63</definedName>
    <definedName name="Tier1UserMFPercentage">Input!$C$65</definedName>
    <definedName name="Tier1WriteTransfers">'Role Requirements'!$C$33</definedName>
    <definedName name="Tier2ActiveMegacycles">'Role Requirements'!$I$14</definedName>
    <definedName name="Tier2ArchiveDumpsterSize">'Role Requirements'!$I$21</definedName>
    <definedName name="Tier2ArchiveMBXLimit">Input!$C$80</definedName>
    <definedName name="Tier2AvgMessageSize">Input!$C$77</definedName>
    <definedName name="Tier2BaseDBReads">'Role Requirements'!$I$24</definedName>
    <definedName name="Tier2BaseDBWrites">'Role Requirements'!$I$25</definedName>
    <definedName name="Tier2BaseIOPS">'Role Requirements'!$I$23</definedName>
    <definedName name="Tier2CalVersionStoreEnabled">Input!$C$83</definedName>
    <definedName name="Tier2CASMegacycles">'Role Requirements'!$I$16</definedName>
    <definedName name="Tier2DBTransfers">'Role Requirements'!$I$31</definedName>
    <definedName name="Tier2DesktopSearch">Input!$C$87</definedName>
    <definedName name="Tier2DIRW">Input!$C$81</definedName>
    <definedName name="Tier2DumpsterSize">'Role Requirements'!$I$20</definedName>
    <definedName name="Tier2InitialMBXSize">Input!$C$78</definedName>
    <definedName name="Tier2IOFactor">Input!$C$85</definedName>
    <definedName name="Tier2IOPS">Input!$C$89</definedName>
    <definedName name="Tier2LogGen">'Role Requirements'!$I$18</definedName>
    <definedName name="Tier2MBXLimit">Input!$C$79</definedName>
    <definedName name="Tier2MBXRatio">'Role Requirements'!$C$66</definedName>
    <definedName name="Tier2MBXSize">'Role Requirements'!$I$22</definedName>
    <definedName name="Tier2MCFactor">Input!$C$86</definedName>
    <definedName name="Tier2MemoryProfile">'Role Requirements'!$I$17</definedName>
    <definedName name="Tier2MessageProfile">'Role Requirements'!$I$11</definedName>
    <definedName name="Tier2NumGrowth">Input!$C$75</definedName>
    <definedName name="Tier2PassiveMegacycles">'Role Requirements'!$I$15</definedName>
    <definedName name="Tier2PredictIOPS">Input!$C$88</definedName>
    <definedName name="Tier2ReadTransfers">'Role Requirements'!$I$32</definedName>
    <definedName name="Tier2RWRatio">Input!$C$90</definedName>
    <definedName name="Tier2SendReceive">Input!$C$76</definedName>
    <definedName name="Tier2SIREnabled">Input!$C$82</definedName>
    <definedName name="Tier2UserMFPercentage">Input!$C$84</definedName>
    <definedName name="Tier2WriteTransfers">'Role Requirements'!$I$33</definedName>
    <definedName name="Tier3ActiveMegacycles">'Role Requirements'!$C$40</definedName>
    <definedName name="Tier3ArchiveDumpsterSize">'Role Requirements'!$C$47</definedName>
    <definedName name="Tier3ArchiveMBXLimit">Input!$F$61</definedName>
    <definedName name="Tier3AvgMessageSize">Input!$F$58</definedName>
    <definedName name="Tier3BaseDBReads">'Role Requirements'!$C$50</definedName>
    <definedName name="Tier3BaseDBWrites">'Role Requirements'!$C$51</definedName>
    <definedName name="Tier3BaseIOPS">'Role Requirements'!$C$49</definedName>
    <definedName name="Tier3CalVersionStoreEnabled">Input!$F$64</definedName>
    <definedName name="Tier3CASMegacycles">'Role Requirements'!$C$42</definedName>
    <definedName name="Tier3DBTransfers">'Role Requirements'!$C$57</definedName>
    <definedName name="Tier3DesktopSearch">Input!$F$68</definedName>
    <definedName name="Tier3DIRW">Input!$F$62</definedName>
    <definedName name="Tier3DumpsterSize">'Role Requirements'!$C$46</definedName>
    <definedName name="Tier3InitialMBXSize">Input!$F$59</definedName>
    <definedName name="Tier3IOFactor">Input!$F$66</definedName>
    <definedName name="Tier3IOPS">Input!$F$70</definedName>
    <definedName name="Tier3LogGen">'Role Requirements'!$C$44</definedName>
    <definedName name="Tier3MBXLimit">Input!$F$60</definedName>
    <definedName name="Tier3MBXRatio">'Role Requirements'!$C$67</definedName>
    <definedName name="Tier3MBXSize">'Role Requirements'!$C$48</definedName>
    <definedName name="Tier3MCFactor">Input!$F$67</definedName>
    <definedName name="Tier3MemoryProfile">'Role Requirements'!$C$43</definedName>
    <definedName name="Tier3MessageProfile">'Role Requirements'!$C$37</definedName>
    <definedName name="Tier3NumGrowth">Input!$F$56</definedName>
    <definedName name="Tier3PassiveMegacycles">'Role Requirements'!$C$41</definedName>
    <definedName name="Tier3PredictIOPS">Input!$F$69</definedName>
    <definedName name="Tier3ReadTransfers">'Role Requirements'!$C$58</definedName>
    <definedName name="Tier3RWRatio">Input!$F$71</definedName>
    <definedName name="Tier3SendReceive">Input!$F$57</definedName>
    <definedName name="Tier3SIREnabled">Input!$F$63</definedName>
    <definedName name="Tier3UserMFPercentage">Input!$F$65</definedName>
    <definedName name="Tier3WriteTransfers">'Role Requirements'!$C$59</definedName>
    <definedName name="Tier4ActiveMegacycles">'Role Requirements'!$I$40</definedName>
    <definedName name="Tier4ArchiveDumpsterSize">'Role Requirements'!$I$47</definedName>
    <definedName name="Tier4ArchiveMBXLimit">Input!$F$80</definedName>
    <definedName name="Tier4AvgMessageSize">Input!$F$77</definedName>
    <definedName name="Tier4BaseDBReads">'Role Requirements'!$I$50</definedName>
    <definedName name="Tier4BaseDBWrites">'Role Requirements'!$I$51</definedName>
    <definedName name="Tier4BaseIOPS">'Role Requirements'!$I$49</definedName>
    <definedName name="Tier4CalVersionStoreEnabled">Input!$F$83</definedName>
    <definedName name="Tier4CASMegacycles">'Role Requirements'!$I$42</definedName>
    <definedName name="Tier4DBTransfers">'Role Requirements'!$I$57</definedName>
    <definedName name="Tier4DesktopSearch">Input!$F$87</definedName>
    <definedName name="Tier4DIRW">Input!$F$81</definedName>
    <definedName name="Tier4DumpsterSize">'Role Requirements'!$I$46</definedName>
    <definedName name="Tier4InitialMBXSize">Input!$F$78</definedName>
    <definedName name="Tier4IOFactor">Input!$F$85</definedName>
    <definedName name="Tier4IOPS">Input!$F$89</definedName>
    <definedName name="Tier4LogGen">'Role Requirements'!$I$44</definedName>
    <definedName name="Tier4MBXLimit">Input!$F$79</definedName>
    <definedName name="Tier4MBXRatio">'Role Requirements'!$C$68</definedName>
    <definedName name="Tier4MBXSize">'Role Requirements'!$I$48</definedName>
    <definedName name="Tier4MCFactor">Input!$F$86</definedName>
    <definedName name="Tier4MemoryProfile">'Role Requirements'!$I$43</definedName>
    <definedName name="Tier4MessageProfile">'Role Requirements'!$I$37</definedName>
    <definedName name="Tier4NumGrowth">Input!$F$75</definedName>
    <definedName name="Tier4PassiveMegacycles">'Role Requirements'!$I$41</definedName>
    <definedName name="Tier4PredictIOPS">Input!$F$88</definedName>
    <definedName name="Tier4ReadTransfers">'Role Requirements'!$I$58</definedName>
    <definedName name="Tier4RWRatio">Input!$F$90</definedName>
    <definedName name="Tier4SendReceive">Input!$F$76</definedName>
    <definedName name="Tier4SIREnabled">Input!$F$82</definedName>
    <definedName name="Tier4UserMFPercentage">Input!$F$84</definedName>
    <definedName name="Tier4WriteTransfers">'Role Requirements'!$I$59</definedName>
    <definedName name="TotalMBX">'Role Requirements'!$C$96</definedName>
    <definedName name="TotalMBXPerSvr">'Role Requirements'!$C$99</definedName>
    <definedName name="TotDBCopiesDiskSpaceReq">'Role Requirements'!$I$146</definedName>
    <definedName name="TotDBDiskSpace">'Volume Requirements'!$E$223</definedName>
    <definedName name="TotDBDiskSpaceReq">'Role Requirements'!$I$145</definedName>
    <definedName name="TotDBDiskSpaceReqDAGMember">'Role Requirements'!$I$147</definedName>
    <definedName name="TotDBTLogsGenerated">'Role Requirements'!$C$153</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Requirements'!$I$149</definedName>
    <definedName name="TotLogDiskSpace">'Role Requirements'!$I$148</definedName>
    <definedName name="TotLogDiskSpaceDAGMember">'Role Requirements'!$I$150</definedName>
    <definedName name="TotLogVolSpace">'Volume Requirements'!$J$223</definedName>
    <definedName name="TotLogVolSpaceDAG">'Volume Requirements'!$J$224</definedName>
    <definedName name="TotLogVolSpaceEnv">'Volume Requirements'!$J$225</definedName>
    <definedName name="TotMBXPerDAG">'Role Requirements'!$C$97</definedName>
    <definedName name="TotNumActiveMBXServers">'Role Requirements'!$I$89</definedName>
    <definedName name="TotNumDBCopiesDAG">'Role Requirements'!$D$235</definedName>
    <definedName name="TotNumDBCopiesDC1">'Role Requirements'!$I$114</definedName>
    <definedName name="TotNumDBCopiesDC2">'Role Requirements'!$I$115</definedName>
    <definedName name="TotNumDBCopiesServer">'Role Requirements'!$C$101</definedName>
    <definedName name="TotNumLagDBCopiesDC1">'Role Requirements'!$I$116</definedName>
    <definedName name="TotNumLagDBCopiesDC2">'Role Requirements'!$I$117</definedName>
    <definedName name="TotNumMBXServersinDAG">'Role Requirements'!$I$90</definedName>
    <definedName name="totNumMBXServersPerDag">'Role Requirements'!$E$214</definedName>
    <definedName name="TotPeakLogCIBandwidth">'Replication Requirements'!$F$138</definedName>
    <definedName name="TotRPOLogCIBandwidth">'Replication Requirements'!$W$139</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Requirements'!$C$154</definedName>
    <definedName name="TruncationLagHours">Input!$F$32</definedName>
    <definedName name="TruncationLagTime">'Role Requirements'!$I$96</definedName>
    <definedName name="UseConfigWizard">Input!#REF!</definedName>
    <definedName name="ValidationCheck">'Role Requirements'!$I$168</definedName>
    <definedName name="varAutoReseedVolumes">'Volume Requirements'!$I$10</definedName>
    <definedName name="varBackupFreq">Tables!$A$31:$A$34</definedName>
    <definedName name="varBackupMethod">Variables!$E$5:$E$7</definedName>
    <definedName name="varCalcStorageReq">Variables!$M$33:$M$34</definedName>
    <definedName name="varCalRetentionFactor">Variables!$K$42</definedName>
    <definedName name="varCASRatio">Variables!$K$44</definedName>
    <definedName name="varDatabaseSizeMessage">Variables!$A$43</definedName>
    <definedName name="varDBOverideLimit">Variables!$K$51</definedName>
    <definedName name="varDBperVolList1">Variables!$P$5:$P$20</definedName>
    <definedName name="varDBperVolList2">Variables!$Q$5:$Q$20</definedName>
    <definedName name="varDebugLevel">Variables!$K$47</definedName>
    <definedName name="varDefault">Variables!$K$5:$K$6</definedName>
    <definedName name="varDiskGroup">Variables!$K$53</definedName>
    <definedName name="varDiskSize">Tables!$A$200:$A$223</definedName>
    <definedName name="varDiskType">Tables!$A$227:$A$243</definedName>
    <definedName name="varEnabledQuestion">Variables!$C$5:$C$6</definedName>
    <definedName name="varEnableTrace">Variables!$K$45</definedName>
    <definedName name="varExVersion">Variables!$A$5:$A$6</definedName>
    <definedName name="varHours">Variables!$G$5:$G$29</definedName>
    <definedName name="varJBODInvDiskCap">Variables!$A$46</definedName>
    <definedName name="varJBODInvDiskIO">Variables!$A$47</definedName>
    <definedName name="varLogCompressionFactor">Input!$C$41</definedName>
    <definedName name="varLogReplResponse">Variables!$A$39</definedName>
    <definedName name="varLogShippingOptions">Variables!$J$5:$J$8</definedName>
    <definedName name="varMax2CopyDBSize">Variables!$K$34</definedName>
    <definedName name="varMaxDBperVolume">Variables!$K$37</definedName>
    <definedName name="varMaxNumDBs">Variables!$K$35</definedName>
    <definedName name="varMaxNumDBVolBS">Variables!$K$36</definedName>
    <definedName name="varMaxSADBSize">Variables!$K$33</definedName>
    <definedName name="varMessageQueueRate">Variables!$K$54</definedName>
    <definedName name="varNetLinkType">Tables!$A$101:$A$128</definedName>
    <definedName name="varNumCores">Variables!$R$5:$R$21</definedName>
    <definedName name="varNumDBCopies2">Variables!$H$5:$H$19</definedName>
    <definedName name="varNumDBCopyIn">Variables!$H$5:$H$20</definedName>
    <definedName name="varNumDBCopyInSDC">Variables!$L$5:$L$20</definedName>
    <definedName name="varNumLaggedDBCopyIn">Variables!$H$25:$H$27</definedName>
    <definedName name="varNumLaggedDBCopyInSDC">Variables!$M$5:$M$7</definedName>
    <definedName name="varOutlookMode">Variables!$F$5:$F$6</definedName>
    <definedName name="varRAID10Types">Tables!$A$165:$A$168</definedName>
    <definedName name="varRAID5Types">Tables!$A$172:$A$190</definedName>
    <definedName name="varRAID6Types">Tables!$A$194:$A$196</definedName>
    <definedName name="varRAIDOptions">Variables!$I$5:$I$8</definedName>
    <definedName name="varReqStoreMemory">Variables!#REF!</definedName>
    <definedName name="varRequired">Variables!$O$5:$O$6</definedName>
    <definedName name="varRWRatio">Tables!$B$247:$B$251</definedName>
    <definedName name="varSATARandomIO">Tables!#REF!</definedName>
    <definedName name="varSCCNodes">Variables!$G$7:$G$13</definedName>
    <definedName name="varServerArch">Variables!$O$33:$O$34</definedName>
    <definedName name="varServerOffset">Variables!$K$40</definedName>
    <definedName name="varSIRVersionsFactor">Variables!$K$41</definedName>
    <definedName name="varSRModel">Variables!$N$5:$N$7</definedName>
    <definedName name="varStatusOK_FD">Variables!$A$49</definedName>
    <definedName name="varStorageArchitecture">Variables!$D$5:$D$6</definedName>
    <definedName name="varSupportAutoReseed">Variables!$K$48</definedName>
    <definedName name="varTraceFile">Variables!$K$46</definedName>
    <definedName name="varUserProfile">Tables!$A$4:$A$13</definedName>
    <definedName name="varVolSizeResponse">Variables!$A$33</definedName>
    <definedName name="varWizardConfiguration">Variables!$K$50</definedName>
    <definedName name="varWizardTamperLock">Variables!$K$49</definedName>
    <definedName name="varWorkWeek">Variables!$N$33:$N$34</definedName>
    <definedName name="varYNQuestion">Variables!$B$5:$B$6</definedName>
    <definedName name="VirtCPUFactor">Input!$C$136</definedName>
    <definedName name="VirtualizationEnabled">Input!$C$24</definedName>
    <definedName name="VolArchitecture">'Volume Requirements'!$C$110</definedName>
    <definedName name="VolDesign">'Volume Requirements'!$I$6</definedName>
    <definedName name="VolGrowth">Input!$C$39</definedName>
    <definedName name="WizardStatus">Input!$E$20</definedName>
    <definedName name="WorkWeekDays">Input!$C$52</definedName>
    <definedName name="WriteTransfers">'Role Requirements'!$I$74</definedName>
  </definedNames>
  <calcPr calcId="152511"/>
</workbook>
</file>

<file path=xl/calcChain.xml><?xml version="1.0" encoding="utf-8"?>
<calcChain xmlns="http://schemas.openxmlformats.org/spreadsheetml/2006/main">
  <c r="Y18" i="17" l="1"/>
  <c r="X18" i="17"/>
  <c r="W18" i="17"/>
  <c r="V18" i="17"/>
  <c r="H18" i="17"/>
  <c r="G18" i="17"/>
  <c r="F18" i="17"/>
  <c r="E18" i="17"/>
  <c r="D92" i="17"/>
  <c r="D91" i="17"/>
  <c r="D90" i="17"/>
  <c r="D89" i="17"/>
  <c r="D88" i="17"/>
  <c r="D87" i="17"/>
  <c r="D86" i="17"/>
  <c r="D85" i="17"/>
  <c r="D84" i="17"/>
  <c r="D83" i="17"/>
  <c r="D82" i="17"/>
  <c r="D81" i="17"/>
  <c r="D80" i="17"/>
  <c r="D79" i="17"/>
  <c r="D78" i="17"/>
  <c r="D77" i="17"/>
  <c r="D76" i="17"/>
  <c r="D75" i="17"/>
  <c r="D74" i="17"/>
  <c r="D73" i="17"/>
  <c r="D72" i="17"/>
  <c r="D71" i="17"/>
  <c r="D70" i="17"/>
  <c r="D69" i="17"/>
  <c r="D68" i="17"/>
  <c r="D67" i="17"/>
  <c r="D66" i="17"/>
  <c r="D65" i="17"/>
  <c r="D64" i="17"/>
  <c r="D63" i="17"/>
  <c r="D62" i="17"/>
  <c r="D61" i="17"/>
  <c r="D60" i="17"/>
  <c r="D59" i="17"/>
  <c r="D58" i="17"/>
  <c r="D57" i="17"/>
  <c r="D56" i="17"/>
  <c r="D55" i="17"/>
  <c r="D54" i="17"/>
  <c r="D53" i="17"/>
  <c r="D52" i="17"/>
  <c r="D51" i="17"/>
  <c r="D50" i="17"/>
  <c r="D49" i="17"/>
  <c r="D48" i="17"/>
  <c r="D47" i="17"/>
  <c r="D46" i="17"/>
  <c r="D45" i="17"/>
  <c r="D44" i="17"/>
  <c r="D43" i="17"/>
  <c r="D42" i="17"/>
  <c r="D41" i="17"/>
  <c r="D40" i="17"/>
  <c r="D39" i="17"/>
  <c r="D38" i="17"/>
  <c r="D37" i="17"/>
  <c r="D36" i="17"/>
  <c r="D35" i="17"/>
  <c r="D34" i="17"/>
  <c r="D33" i="17"/>
  <c r="D32" i="17"/>
  <c r="D31" i="17"/>
  <c r="D30" i="17"/>
  <c r="D29" i="17"/>
  <c r="D28" i="17"/>
  <c r="D27" i="17"/>
  <c r="D26" i="17"/>
  <c r="D25" i="17"/>
  <c r="D24" i="17"/>
  <c r="D23" i="17"/>
  <c r="D22" i="17"/>
  <c r="D21" i="17"/>
  <c r="Y19" i="17" l="1"/>
  <c r="H19" i="17"/>
  <c r="E19" i="17"/>
  <c r="V19" i="17"/>
  <c r="F19" i="17"/>
  <c r="X19" i="17"/>
  <c r="G19" i="17"/>
  <c r="W19" i="17"/>
  <c r="E150" i="8"/>
  <c r="E149" i="8"/>
  <c r="D16" i="17" l="1"/>
  <c r="C111" i="13"/>
  <c r="I165" i="13" l="1"/>
  <c r="C21" i="13"/>
  <c r="F2" i="1" l="1"/>
  <c r="I38" i="13" l="1"/>
  <c r="C38" i="13"/>
  <c r="I12" i="13"/>
  <c r="C12" i="13"/>
  <c r="C110" i="13" l="1"/>
  <c r="K52" i="2" l="1"/>
  <c r="D67" i="8"/>
  <c r="C67" i="8"/>
  <c r="D64" i="8"/>
  <c r="D65" i="8" s="1"/>
  <c r="C64" i="8"/>
  <c r="C65" i="8" s="1"/>
  <c r="B175" i="1"/>
  <c r="K51" i="2" l="1"/>
  <c r="B79" i="13" l="1"/>
  <c r="C98" i="13" l="1"/>
  <c r="D177" i="8" l="1"/>
  <c r="C177" i="8"/>
  <c r="D159" i="8"/>
  <c r="C159" i="8"/>
  <c r="D224" i="13" l="1"/>
  <c r="C224" i="13"/>
  <c r="D208" i="13"/>
  <c r="C208" i="13"/>
  <c r="D204" i="13"/>
  <c r="C204" i="13"/>
  <c r="B242" i="13"/>
  <c r="B243" i="13"/>
  <c r="C157" i="13" l="1"/>
  <c r="I21" i="13" l="1"/>
  <c r="D219" i="1" l="1"/>
  <c r="D206" i="1"/>
  <c r="B190" i="1"/>
  <c r="B177" i="1"/>
  <c r="I167" i="13"/>
  <c r="B176" i="1"/>
  <c r="B181" i="1"/>
  <c r="B182" i="1"/>
  <c r="C219" i="1" l="1"/>
  <c r="C206" i="1"/>
  <c r="I62" i="13" l="1"/>
  <c r="C10" i="13"/>
  <c r="C36" i="13"/>
  <c r="C45" i="13" s="1"/>
  <c r="I10" i="13"/>
  <c r="I19" i="13" s="1"/>
  <c r="I36" i="13"/>
  <c r="I45" i="13" s="1"/>
  <c r="C95" i="13"/>
  <c r="I63" i="13"/>
  <c r="C48" i="8"/>
  <c r="C45" i="8"/>
  <c r="I85" i="13"/>
  <c r="I64" i="13"/>
  <c r="I65" i="13"/>
  <c r="I95" i="13"/>
  <c r="I96" i="13"/>
  <c r="C58" i="8"/>
  <c r="D149" i="8"/>
  <c r="D45" i="8"/>
  <c r="D46" i="8" s="1"/>
  <c r="D48" i="8"/>
  <c r="D58" i="8"/>
  <c r="D150" i="8"/>
  <c r="E45" i="8"/>
  <c r="E46" i="8" s="1"/>
  <c r="E58" i="8"/>
  <c r="E59" i="8" s="1"/>
  <c r="D151" i="8"/>
  <c r="E151" i="8"/>
  <c r="E137" i="8"/>
  <c r="C123" i="8" s="1"/>
  <c r="E91" i="8"/>
  <c r="E133" i="8"/>
  <c r="C112" i="8" s="1"/>
  <c r="E74" i="8"/>
  <c r="E98" i="8" s="1"/>
  <c r="E76" i="8"/>
  <c r="E77" i="8" s="1"/>
  <c r="E97" i="8" s="1"/>
  <c r="D137" i="8"/>
  <c r="C122" i="8" s="1"/>
  <c r="D74" i="8"/>
  <c r="D98" i="8" s="1"/>
  <c r="C137" i="8"/>
  <c r="C121" i="8" s="1"/>
  <c r="B133" i="1"/>
  <c r="B132" i="1"/>
  <c r="B131" i="1"/>
  <c r="D196" i="8"/>
  <c r="D193" i="8"/>
  <c r="B120" i="1"/>
  <c r="B114" i="1"/>
  <c r="C196" i="8"/>
  <c r="C193" i="8"/>
  <c r="B230" i="13"/>
  <c r="E39" i="1"/>
  <c r="I47" i="13"/>
  <c r="C47" i="13"/>
  <c r="B30" i="15"/>
  <c r="B28" i="15"/>
  <c r="B89" i="13"/>
  <c r="B90" i="13"/>
  <c r="B36" i="16"/>
  <c r="B51" i="16"/>
  <c r="B41" i="16"/>
  <c r="B46" i="16"/>
  <c r="B31" i="16"/>
  <c r="B26" i="16"/>
  <c r="E196" i="8"/>
  <c r="F196" i="8"/>
  <c r="F193" i="8"/>
  <c r="E193" i="8"/>
  <c r="B212" i="13"/>
  <c r="B85" i="13"/>
  <c r="B27" i="1"/>
  <c r="B101" i="13"/>
  <c r="B211" i="13"/>
  <c r="C201" i="13"/>
  <c r="D201" i="13"/>
  <c r="C169" i="1"/>
  <c r="B26" i="1"/>
  <c r="E38" i="1"/>
  <c r="E90" i="8"/>
  <c r="E89" i="8"/>
  <c r="H130" i="8"/>
  <c r="H127" i="8"/>
  <c r="D75" i="8"/>
  <c r="D100" i="8" s="1"/>
  <c r="W137" i="12"/>
  <c r="E9" i="12"/>
  <c r="F130" i="8"/>
  <c r="F127" i="8"/>
  <c r="E75" i="8"/>
  <c r="E100" i="8"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C43" i="12"/>
  <c r="C19"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E102" i="12"/>
  <c r="D102" i="12" s="1"/>
  <c r="B102" i="12" s="1"/>
  <c r="H122" i="4"/>
  <c r="B122" i="4"/>
  <c r="M3" i="2"/>
  <c r="L3" i="2"/>
  <c r="L14" i="2" s="1"/>
  <c r="B235" i="13"/>
  <c r="B76" i="13"/>
  <c r="B78" i="13"/>
  <c r="E55" i="8"/>
  <c r="D55" i="8"/>
  <c r="C55" i="8"/>
  <c r="E49" i="8"/>
  <c r="D49" i="8"/>
  <c r="C49" i="8"/>
  <c r="E48" i="8"/>
  <c r="C52" i="8"/>
  <c r="C53" i="8" s="1"/>
  <c r="E52" i="8"/>
  <c r="E53" i="8" s="1"/>
  <c r="D52" i="8"/>
  <c r="D53" i="8" s="1"/>
  <c r="E61" i="8"/>
  <c r="D61" i="8"/>
  <c r="G144" i="12"/>
  <c r="G143" i="12"/>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E74" i="12"/>
  <c r="D74" i="12" s="1"/>
  <c r="B74" i="12" s="1"/>
  <c r="C61" i="8"/>
  <c r="F70" i="12"/>
  <c r="G70" i="12"/>
  <c r="H70" i="12"/>
  <c r="I70" i="12"/>
  <c r="J70" i="12"/>
  <c r="K70" i="12"/>
  <c r="L70" i="12"/>
  <c r="M70" i="12"/>
  <c r="N70" i="12"/>
  <c r="O70" i="12"/>
  <c r="P70" i="12"/>
  <c r="Q70" i="12"/>
  <c r="R70" i="12"/>
  <c r="S70" i="12"/>
  <c r="T70" i="12"/>
  <c r="U70" i="12"/>
  <c r="V70" i="12"/>
  <c r="W70" i="12"/>
  <c r="X70" i="12"/>
  <c r="Y70" i="12"/>
  <c r="Z70" i="12"/>
  <c r="AA70" i="12"/>
  <c r="AB70" i="12"/>
  <c r="E70" i="12"/>
  <c r="B20" i="12"/>
  <c r="B21" i="12"/>
  <c r="B22" i="12"/>
  <c r="B23" i="12"/>
  <c r="B24" i="12"/>
  <c r="B25" i="12"/>
  <c r="B26" i="12"/>
  <c r="B27" i="12"/>
  <c r="B28" i="12"/>
  <c r="B29" i="12"/>
  <c r="B30" i="12"/>
  <c r="B31" i="12"/>
  <c r="B32" i="12"/>
  <c r="B33" i="12"/>
  <c r="B34" i="12"/>
  <c r="B35" i="12"/>
  <c r="B36" i="12"/>
  <c r="B37" i="12"/>
  <c r="B38" i="12"/>
  <c r="B39" i="12"/>
  <c r="B40" i="12"/>
  <c r="B41" i="12"/>
  <c r="B42" i="12"/>
  <c r="B19" i="12"/>
  <c r="B149" i="12"/>
  <c r="E88" i="8"/>
  <c r="E73" i="8"/>
  <c r="E96" i="8" s="1"/>
  <c r="E72" i="8"/>
  <c r="E94" i="8" s="1"/>
  <c r="C19" i="13" l="1"/>
  <c r="C15" i="22" s="1"/>
  <c r="D89" i="21"/>
  <c r="C41" i="22"/>
  <c r="D118" i="21"/>
  <c r="C57" i="22"/>
  <c r="C31" i="22"/>
  <c r="C30" i="22"/>
  <c r="C29" i="22"/>
  <c r="C63" i="22"/>
  <c r="C62" i="22"/>
  <c r="C61" i="22"/>
  <c r="C46" i="22"/>
  <c r="C45" i="22"/>
  <c r="C47" i="22"/>
  <c r="C20" i="13"/>
  <c r="C22" i="13" s="1"/>
  <c r="C19" i="22" s="1"/>
  <c r="C184" i="13"/>
  <c r="C59" i="8"/>
  <c r="D59" i="8"/>
  <c r="I37" i="13"/>
  <c r="I40" i="13" s="1"/>
  <c r="I42" i="13" s="1"/>
  <c r="I11" i="13"/>
  <c r="I29" i="13" s="1"/>
  <c r="C37" i="13"/>
  <c r="C41" i="13" s="1"/>
  <c r="I39" i="13"/>
  <c r="C39" i="13"/>
  <c r="C40" i="13"/>
  <c r="C42" i="13" s="1"/>
  <c r="I13" i="13"/>
  <c r="I20" i="13"/>
  <c r="I22" i="13" s="1"/>
  <c r="C35" i="22" s="1"/>
  <c r="I18" i="13"/>
  <c r="I17" i="13"/>
  <c r="C13" i="13"/>
  <c r="I67" i="13"/>
  <c r="I66" i="13"/>
  <c r="C46" i="8"/>
  <c r="A43" i="2"/>
  <c r="B25" i="15"/>
  <c r="B26" i="15"/>
  <c r="D217" i="13"/>
  <c r="L13" i="2"/>
  <c r="L16" i="2"/>
  <c r="L15" i="2"/>
  <c r="F217" i="13"/>
  <c r="I55" i="13"/>
  <c r="L6" i="2"/>
  <c r="L12" i="2"/>
  <c r="L7" i="2"/>
  <c r="C160" i="13"/>
  <c r="L18" i="2"/>
  <c r="L11" i="2"/>
  <c r="L10" i="2"/>
  <c r="L8" i="2"/>
  <c r="L19" i="2"/>
  <c r="L17" i="2"/>
  <c r="L9" i="2"/>
  <c r="L20" i="2"/>
  <c r="I44" i="13"/>
  <c r="E217" i="13"/>
  <c r="C46" i="13"/>
  <c r="C48" i="13" s="1"/>
  <c r="B27" i="15"/>
  <c r="C43" i="13"/>
  <c r="C96" i="13"/>
  <c r="C11" i="13"/>
  <c r="C6" i="22" s="1"/>
  <c r="C7" i="22" s="1"/>
  <c r="C55" i="13"/>
  <c r="C18" i="13"/>
  <c r="E78" i="8"/>
  <c r="E99" i="8" s="1"/>
  <c r="E95" i="8"/>
  <c r="E79" i="8"/>
  <c r="E101" i="8" s="1"/>
  <c r="C17" i="13"/>
  <c r="I43" i="13"/>
  <c r="E138" i="8"/>
  <c r="B123" i="8" s="1"/>
  <c r="I46" i="13"/>
  <c r="I48" i="13" s="1"/>
  <c r="B29" i="15"/>
  <c r="M7" i="2"/>
  <c r="M5" i="2"/>
  <c r="M6" i="2"/>
  <c r="C44" i="13"/>
  <c r="C14" i="22" l="1"/>
  <c r="C13" i="22"/>
  <c r="I14" i="13"/>
  <c r="I16" i="13" s="1"/>
  <c r="D60" i="21"/>
  <c r="D31" i="21"/>
  <c r="C54" i="22"/>
  <c r="C55" i="22" s="1"/>
  <c r="I52" i="13"/>
  <c r="C67" i="22"/>
  <c r="I41" i="13"/>
  <c r="C58" i="22"/>
  <c r="D119" i="21" s="1"/>
  <c r="I15" i="13"/>
  <c r="C22" i="22"/>
  <c r="C23" i="22" s="1"/>
  <c r="D29" i="22" s="1"/>
  <c r="C52" i="13"/>
  <c r="C51" i="22"/>
  <c r="C38" i="22"/>
  <c r="C39" i="22" s="1"/>
  <c r="C42" i="22"/>
  <c r="D90" i="21" s="1"/>
  <c r="S15" i="22"/>
  <c r="O15" i="22"/>
  <c r="K15" i="22"/>
  <c r="G15" i="22"/>
  <c r="R14" i="22"/>
  <c r="N14" i="22"/>
  <c r="J14" i="22"/>
  <c r="F14" i="22"/>
  <c r="Q13" i="22"/>
  <c r="M13" i="22"/>
  <c r="I13" i="22"/>
  <c r="E14" i="22"/>
  <c r="D13" i="22"/>
  <c r="R15" i="22"/>
  <c r="N15" i="22"/>
  <c r="J15" i="22"/>
  <c r="F15" i="22"/>
  <c r="Q14" i="22"/>
  <c r="M14" i="22"/>
  <c r="I14" i="22"/>
  <c r="P13" i="22"/>
  <c r="L13" i="22"/>
  <c r="H13" i="22"/>
  <c r="E15" i="22"/>
  <c r="H14" i="22"/>
  <c r="O13" i="22"/>
  <c r="G13" i="22"/>
  <c r="T13" i="22"/>
  <c r="E13" i="22"/>
  <c r="S13" i="22"/>
  <c r="K13" i="22"/>
  <c r="D15" i="22"/>
  <c r="Q15" i="22"/>
  <c r="M15" i="22"/>
  <c r="I15" i="22"/>
  <c r="T14" i="22"/>
  <c r="P14" i="22"/>
  <c r="L14" i="22"/>
  <c r="T15" i="22"/>
  <c r="P15" i="22"/>
  <c r="L15" i="22"/>
  <c r="H15" i="22"/>
  <c r="S14" i="22"/>
  <c r="O14" i="22"/>
  <c r="K14" i="22"/>
  <c r="G14" i="22"/>
  <c r="R13" i="22"/>
  <c r="N13" i="22"/>
  <c r="J13" i="22"/>
  <c r="F13" i="22"/>
  <c r="D14" i="22"/>
  <c r="C9" i="22"/>
  <c r="C10" i="22" s="1"/>
  <c r="D32" i="21" s="1"/>
  <c r="C8" i="22"/>
  <c r="I26" i="13"/>
  <c r="B24" i="15"/>
  <c r="C185" i="13"/>
  <c r="C109" i="13"/>
  <c r="C23" i="13"/>
  <c r="K37" i="2"/>
  <c r="C15" i="13"/>
  <c r="C14" i="13"/>
  <c r="C16" i="13" s="1"/>
  <c r="I49" i="13"/>
  <c r="I23" i="13"/>
  <c r="C49" i="13"/>
  <c r="C65" i="13"/>
  <c r="C68" i="13"/>
  <c r="E134" i="8"/>
  <c r="B112" i="8" s="1"/>
  <c r="C67" i="13"/>
  <c r="C29" i="13"/>
  <c r="C97" i="13"/>
  <c r="C66" i="13"/>
  <c r="C145" i="13"/>
  <c r="C147" i="13" s="1"/>
  <c r="Q13" i="2"/>
  <c r="P17" i="2"/>
  <c r="Q17" i="2"/>
  <c r="Q14" i="2"/>
  <c r="Q16" i="2"/>
  <c r="P8" i="2"/>
  <c r="Q10" i="2"/>
  <c r="P7" i="2"/>
  <c r="P14" i="2"/>
  <c r="Q7" i="2"/>
  <c r="Q19" i="2"/>
  <c r="P20" i="2"/>
  <c r="P13" i="2"/>
  <c r="P6" i="2"/>
  <c r="Q18" i="2"/>
  <c r="P19" i="2"/>
  <c r="P9" i="2"/>
  <c r="P12" i="2"/>
  <c r="P16" i="2"/>
  <c r="Q20" i="2"/>
  <c r="Q5" i="2"/>
  <c r="P18" i="2"/>
  <c r="Q9" i="2"/>
  <c r="Q8" i="2"/>
  <c r="Q12" i="2"/>
  <c r="P15" i="2"/>
  <c r="Q15" i="2"/>
  <c r="P5" i="2"/>
  <c r="Q11" i="2"/>
  <c r="P10" i="2"/>
  <c r="P11" i="2"/>
  <c r="Q6" i="2"/>
  <c r="I10" i="4" l="1"/>
  <c r="E117" i="4" s="1"/>
  <c r="C25" i="22"/>
  <c r="D30" i="22"/>
  <c r="E30" i="22"/>
  <c r="D31" i="22"/>
  <c r="B50" i="22"/>
  <c r="C50"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C26" i="22"/>
  <c r="D61" i="21" s="1"/>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18" i="22"/>
  <c r="C18" i="22"/>
  <c r="B23" i="15"/>
  <c r="I6" i="4"/>
  <c r="C25" i="13"/>
  <c r="C28" i="13" s="1"/>
  <c r="C168" i="13"/>
  <c r="C180" i="13"/>
  <c r="I50" i="13"/>
  <c r="I53" i="13" s="1"/>
  <c r="C51" i="13"/>
  <c r="I25" i="13"/>
  <c r="I28" i="13" s="1"/>
  <c r="I24" i="13"/>
  <c r="I27" i="13" s="1"/>
  <c r="I51" i="13"/>
  <c r="I54" i="13" s="1"/>
  <c r="C50" i="13"/>
  <c r="C24" i="13"/>
  <c r="C110" i="4" l="1"/>
  <c r="B116" i="1" s="1"/>
  <c r="I56" i="13"/>
  <c r="I57" i="13" s="1"/>
  <c r="I59" i="13" s="1"/>
  <c r="C34" i="22"/>
  <c r="B34" i="22"/>
  <c r="C26" i="13"/>
  <c r="C27" i="13" s="1"/>
  <c r="C30" i="13" s="1"/>
  <c r="C31" i="13" s="1"/>
  <c r="C33" i="13" s="1"/>
  <c r="C148" i="13"/>
  <c r="C149" i="13" s="1"/>
  <c r="C151" i="13" s="1"/>
  <c r="C154" i="13" s="1"/>
  <c r="C54" i="13"/>
  <c r="I30" i="13"/>
  <c r="I31" i="13" s="1"/>
  <c r="I33" i="13" s="1"/>
  <c r="C53" i="13"/>
  <c r="B77" i="8" l="1"/>
  <c r="E135" i="8"/>
  <c r="C117" i="8" s="1"/>
  <c r="B74" i="8"/>
  <c r="E82" i="8"/>
  <c r="E104" i="8" s="1"/>
  <c r="C167" i="8"/>
  <c r="B72" i="8"/>
  <c r="D135" i="8"/>
  <c r="C116" i="8" s="1"/>
  <c r="B134" i="8"/>
  <c r="C135" i="8"/>
  <c r="C115" i="8" s="1"/>
  <c r="E84" i="8"/>
  <c r="E107" i="8" s="1"/>
  <c r="G127" i="8"/>
  <c r="E85" i="8"/>
  <c r="E106" i="8" s="1"/>
  <c r="B79" i="8"/>
  <c r="J122" i="4"/>
  <c r="C162" i="8"/>
  <c r="B76" i="8"/>
  <c r="B73" i="8"/>
  <c r="C107" i="13"/>
  <c r="D36" i="16" s="1"/>
  <c r="B133" i="8"/>
  <c r="B259" i="13"/>
  <c r="G130" i="8"/>
  <c r="C108" i="13"/>
  <c r="I122" i="4"/>
  <c r="B75" i="8"/>
  <c r="E83" i="8"/>
  <c r="E105" i="8" s="1"/>
  <c r="B78" i="8"/>
  <c r="B115" i="4"/>
  <c r="B122" i="1"/>
  <c r="I58" i="13"/>
  <c r="I148" i="13"/>
  <c r="I149" i="13" s="1"/>
  <c r="C56" i="13"/>
  <c r="C57" i="13" s="1"/>
  <c r="I32" i="13"/>
  <c r="C32" i="13"/>
  <c r="I125" i="13" l="1"/>
  <c r="E62" i="13" s="1"/>
  <c r="D31" i="16"/>
  <c r="D51" i="16"/>
  <c r="C36" i="16"/>
  <c r="D46" i="16"/>
  <c r="C51" i="16"/>
  <c r="E136" i="8"/>
  <c r="B117" i="8" s="1"/>
  <c r="C58" i="13"/>
  <c r="C59" i="13"/>
  <c r="B178" i="1"/>
  <c r="B189" i="1"/>
  <c r="B184" i="1"/>
  <c r="B183" i="1"/>
  <c r="B187" i="1"/>
  <c r="B186" i="1"/>
  <c r="B180" i="1"/>
  <c r="B179" i="1"/>
  <c r="B185" i="1"/>
  <c r="B188" i="1"/>
  <c r="C62" i="13" l="1"/>
  <c r="C81" i="13" s="1"/>
  <c r="E82" i="13" s="1"/>
  <c r="I70" i="13"/>
  <c r="I71" i="13"/>
  <c r="C82" i="13" l="1"/>
  <c r="E113" i="4" s="1"/>
  <c r="I169" i="13"/>
  <c r="C74" i="13"/>
  <c r="C63" i="13" l="1"/>
  <c r="C64" i="13" s="1"/>
  <c r="C73" i="13"/>
  <c r="C75" i="13" s="1"/>
  <c r="I86" i="13" l="1"/>
  <c r="C175" i="13" l="1"/>
  <c r="C138" i="13"/>
  <c r="C173" i="13" l="1"/>
  <c r="C174" i="13"/>
  <c r="C142" i="13"/>
  <c r="C74" i="8" l="1"/>
  <c r="C98" i="8" s="1"/>
  <c r="C75" i="8"/>
  <c r="C100" i="8" s="1"/>
  <c r="I99" i="13" l="1"/>
  <c r="I97" i="13"/>
  <c r="I88" i="13"/>
  <c r="C76" i="13" l="1"/>
  <c r="C77" i="13" s="1"/>
  <c r="C79" i="13" s="1"/>
  <c r="C78" i="13" s="1"/>
  <c r="I98" i="13"/>
  <c r="E8" i="12"/>
  <c r="H132" i="12" s="1"/>
  <c r="C80" i="13" l="1"/>
  <c r="C70" i="13" s="1"/>
  <c r="C150" i="13"/>
  <c r="C152" i="13" s="1"/>
  <c r="I77" i="13"/>
  <c r="I78" i="13" s="1"/>
  <c r="C85" i="13"/>
  <c r="C146" i="13"/>
  <c r="C69" i="13" l="1"/>
  <c r="C72" i="13"/>
  <c r="C71" i="13"/>
  <c r="I100" i="13"/>
  <c r="I116" i="13" s="1"/>
  <c r="C87" i="13"/>
  <c r="C89" i="13"/>
  <c r="I178" i="13"/>
  <c r="C114" i="13"/>
  <c r="C99" i="13" s="1"/>
  <c r="I173" i="13"/>
  <c r="I176" i="13" s="1"/>
  <c r="C86" i="13"/>
  <c r="C153" i="13"/>
  <c r="D58" i="12"/>
  <c r="D62" i="12"/>
  <c r="D60" i="12"/>
  <c r="D63" i="12"/>
  <c r="D48" i="12"/>
  <c r="D47" i="12"/>
  <c r="D65" i="12"/>
  <c r="D49" i="12"/>
  <c r="D44" i="12"/>
  <c r="D61" i="12"/>
  <c r="D53" i="12"/>
  <c r="D66" i="12"/>
  <c r="D43" i="12"/>
  <c r="D54" i="12"/>
  <c r="D59" i="12"/>
  <c r="D56" i="12"/>
  <c r="D46" i="12"/>
  <c r="D52" i="12"/>
  <c r="D57" i="12"/>
  <c r="D45" i="12"/>
  <c r="D50" i="12"/>
  <c r="D55" i="12"/>
  <c r="D51" i="12"/>
  <c r="D64" i="12"/>
  <c r="D114" i="13" l="1"/>
  <c r="D115" i="13" s="1"/>
  <c r="C91" i="13"/>
  <c r="I114" i="13" s="1"/>
  <c r="C88" i="13"/>
  <c r="I115" i="13" s="1"/>
  <c r="I101" i="13"/>
  <c r="I117" i="13" s="1"/>
  <c r="I175" i="13"/>
  <c r="I174" i="13" s="1"/>
  <c r="I177" i="13"/>
  <c r="C115" i="13"/>
  <c r="M53" i="12"/>
  <c r="J50" i="12"/>
  <c r="E45" i="12"/>
  <c r="V62" i="12"/>
  <c r="Y65" i="12"/>
  <c r="P56" i="12"/>
  <c r="Z66" i="12"/>
  <c r="Q57" i="12"/>
  <c r="U61" i="12"/>
  <c r="L52" i="12"/>
  <c r="D21" i="12"/>
  <c r="I49" i="12"/>
  <c r="T60" i="12"/>
  <c r="N54" i="12"/>
  <c r="H49" i="12"/>
  <c r="F46" i="12"/>
  <c r="K51" i="12"/>
  <c r="S59" i="12"/>
  <c r="W63" i="12"/>
  <c r="X64" i="12"/>
  <c r="G47" i="12"/>
  <c r="O55" i="12"/>
  <c r="R58" i="12"/>
  <c r="L58" i="12"/>
  <c r="J56" i="12"/>
  <c r="Q63" i="12"/>
  <c r="N60" i="12"/>
  <c r="H55" i="12"/>
  <c r="R64" i="12"/>
  <c r="T66" i="12"/>
  <c r="G53" i="12"/>
  <c r="E51" i="12"/>
  <c r="M59" i="12"/>
  <c r="O61" i="12"/>
  <c r="I55" i="12"/>
  <c r="P62" i="12"/>
  <c r="K57" i="12"/>
  <c r="F52" i="12"/>
  <c r="S65" i="12"/>
  <c r="D27" i="12"/>
  <c r="M65" i="12"/>
  <c r="D33" i="12"/>
  <c r="G59" i="12"/>
  <c r="H61" i="12"/>
  <c r="L64" i="12"/>
  <c r="N66" i="12"/>
  <c r="J62" i="12"/>
  <c r="F58" i="12"/>
  <c r="K63" i="12"/>
  <c r="E57" i="12"/>
  <c r="I61" i="12"/>
  <c r="D35" i="12"/>
  <c r="L66" i="12"/>
  <c r="E59" i="12"/>
  <c r="K65" i="12"/>
  <c r="I63" i="12"/>
  <c r="G61" i="12"/>
  <c r="F60" i="12"/>
  <c r="J64" i="12"/>
  <c r="H63" i="12"/>
  <c r="O63" i="12"/>
  <c r="M61" i="12"/>
  <c r="Q65" i="12"/>
  <c r="L60" i="12"/>
  <c r="P64" i="12"/>
  <c r="H57" i="12"/>
  <c r="G55" i="12"/>
  <c r="I57" i="12"/>
  <c r="R66" i="12"/>
  <c r="E53" i="12"/>
  <c r="D29" i="12"/>
  <c r="K59" i="12"/>
  <c r="N62" i="12"/>
  <c r="F54" i="12"/>
  <c r="J58" i="12"/>
  <c r="D41" i="12"/>
  <c r="F66" i="12"/>
  <c r="E65" i="12"/>
  <c r="F61" i="12"/>
  <c r="J65" i="12"/>
  <c r="I64" i="12"/>
  <c r="K66" i="12"/>
  <c r="H64" i="12"/>
  <c r="D36" i="12"/>
  <c r="E60" i="12"/>
  <c r="G62" i="12"/>
  <c r="G54" i="12"/>
  <c r="P63" i="12"/>
  <c r="N61" i="12"/>
  <c r="H56" i="12"/>
  <c r="L59" i="12"/>
  <c r="I56" i="12"/>
  <c r="F53" i="12"/>
  <c r="O62" i="12"/>
  <c r="Q64" i="12"/>
  <c r="K58" i="12"/>
  <c r="E52" i="12"/>
  <c r="J57" i="12"/>
  <c r="D28" i="12"/>
  <c r="M60" i="12"/>
  <c r="S66" i="12"/>
  <c r="R65" i="12"/>
  <c r="E54" i="12"/>
  <c r="K60" i="12"/>
  <c r="P65" i="12"/>
  <c r="Q66" i="12"/>
  <c r="D30" i="12"/>
  <c r="N63" i="12"/>
  <c r="L61" i="12"/>
  <c r="H58" i="12"/>
  <c r="F55" i="12"/>
  <c r="O64" i="12"/>
  <c r="M62" i="12"/>
  <c r="I58" i="12"/>
  <c r="J59" i="12"/>
  <c r="G56" i="12"/>
  <c r="F62" i="12"/>
  <c r="I65" i="12"/>
  <c r="E61" i="12"/>
  <c r="D37" i="12"/>
  <c r="J66" i="12"/>
  <c r="H65" i="12"/>
  <c r="G63" i="12"/>
  <c r="U63" i="12"/>
  <c r="J52" i="12"/>
  <c r="M55" i="12"/>
  <c r="K53" i="12"/>
  <c r="P58" i="12"/>
  <c r="F48" i="12"/>
  <c r="W65" i="12"/>
  <c r="G49" i="12"/>
  <c r="V64" i="12"/>
  <c r="S61" i="12"/>
  <c r="T62" i="12"/>
  <c r="H51" i="12"/>
  <c r="D23" i="12"/>
  <c r="N56" i="12"/>
  <c r="E47" i="12"/>
  <c r="X66" i="12"/>
  <c r="R60" i="12"/>
  <c r="I51" i="12"/>
  <c r="L54" i="12"/>
  <c r="O57" i="12"/>
  <c r="Q59" i="12"/>
  <c r="F63" i="12"/>
  <c r="E62" i="12"/>
  <c r="H66" i="12"/>
  <c r="G64" i="12"/>
  <c r="D38" i="12"/>
  <c r="I66" i="12"/>
  <c r="G57" i="12"/>
  <c r="I59" i="12"/>
  <c r="M63" i="12"/>
  <c r="J60" i="12"/>
  <c r="E55" i="12"/>
  <c r="H59" i="12"/>
  <c r="N64" i="12"/>
  <c r="L62" i="12"/>
  <c r="K61" i="12"/>
  <c r="O65" i="12"/>
  <c r="D31" i="12"/>
  <c r="F56" i="12"/>
  <c r="P66" i="12"/>
  <c r="J55" i="12"/>
  <c r="T65" i="12"/>
  <c r="L57" i="12"/>
  <c r="U66" i="12"/>
  <c r="K56" i="12"/>
  <c r="G52" i="12"/>
  <c r="R63" i="12"/>
  <c r="S64" i="12"/>
  <c r="Q62" i="12"/>
  <c r="H54" i="12"/>
  <c r="O60" i="12"/>
  <c r="D26" i="12"/>
  <c r="P61" i="12"/>
  <c r="N59" i="12"/>
  <c r="I54" i="12"/>
  <c r="E50" i="12"/>
  <c r="F51" i="12"/>
  <c r="M58" i="12"/>
  <c r="V63" i="12"/>
  <c r="K52" i="12"/>
  <c r="X65" i="12"/>
  <c r="I50" i="12"/>
  <c r="R59" i="12"/>
  <c r="U62" i="12"/>
  <c r="Q58" i="12"/>
  <c r="H50" i="12"/>
  <c r="L53" i="12"/>
  <c r="Y66" i="12"/>
  <c r="E46" i="12"/>
  <c r="J51" i="12"/>
  <c r="W64" i="12"/>
  <c r="T61" i="12"/>
  <c r="S60" i="12"/>
  <c r="M54" i="12"/>
  <c r="D22" i="12"/>
  <c r="O56" i="12"/>
  <c r="G48" i="12"/>
  <c r="N55" i="12"/>
  <c r="P57" i="12"/>
  <c r="F47" i="12"/>
  <c r="D19" i="12"/>
  <c r="K49" i="12"/>
  <c r="J48" i="12"/>
  <c r="N52" i="12"/>
  <c r="F44" i="12"/>
  <c r="AA65" i="12"/>
  <c r="G45" i="12"/>
  <c r="H47" i="12"/>
  <c r="R56" i="12"/>
  <c r="P54" i="12"/>
  <c r="T58" i="12"/>
  <c r="O53" i="12"/>
  <c r="AB66" i="12"/>
  <c r="V60" i="12"/>
  <c r="I47" i="12"/>
  <c r="M51" i="12"/>
  <c r="Z64" i="12"/>
  <c r="X62" i="12"/>
  <c r="E43" i="12"/>
  <c r="W61" i="12"/>
  <c r="S57" i="12"/>
  <c r="Q55" i="12"/>
  <c r="Y63" i="12"/>
  <c r="L50" i="12"/>
  <c r="U59" i="12"/>
  <c r="M52" i="12"/>
  <c r="T59" i="12"/>
  <c r="G46" i="12"/>
  <c r="AA66" i="12"/>
  <c r="I48" i="12"/>
  <c r="P55" i="12"/>
  <c r="D20" i="12"/>
  <c r="F45" i="12"/>
  <c r="Q56" i="12"/>
  <c r="V61" i="12"/>
  <c r="R57" i="12"/>
  <c r="Y64" i="12"/>
  <c r="S58" i="12"/>
  <c r="W62" i="12"/>
  <c r="K50" i="12"/>
  <c r="U60" i="12"/>
  <c r="L51" i="12"/>
  <c r="O54" i="12"/>
  <c r="H48" i="12"/>
  <c r="Z65" i="12"/>
  <c r="E44" i="12"/>
  <c r="J49" i="12"/>
  <c r="X63" i="12"/>
  <c r="N53" i="12"/>
  <c r="W66" i="12"/>
  <c r="P59" i="12"/>
  <c r="L55" i="12"/>
  <c r="M56" i="12"/>
  <c r="D24" i="12"/>
  <c r="S62" i="12"/>
  <c r="N57" i="12"/>
  <c r="Q60" i="12"/>
  <c r="V65" i="12"/>
  <c r="E48" i="12"/>
  <c r="O58" i="12"/>
  <c r="J53" i="12"/>
  <c r="I52" i="12"/>
  <c r="G50" i="12"/>
  <c r="H52" i="12"/>
  <c r="F49" i="12"/>
  <c r="T63" i="12"/>
  <c r="K54" i="12"/>
  <c r="R61" i="12"/>
  <c r="U64" i="12"/>
  <c r="M66" i="12"/>
  <c r="K64" i="12"/>
  <c r="D34" i="12"/>
  <c r="L65" i="12"/>
  <c r="I62" i="12"/>
  <c r="G60" i="12"/>
  <c r="J63" i="12"/>
  <c r="E58" i="12"/>
  <c r="H62" i="12"/>
  <c r="F59" i="12"/>
  <c r="E64" i="12"/>
  <c r="D40" i="12"/>
  <c r="F65" i="12"/>
  <c r="G66" i="12"/>
  <c r="N65" i="12"/>
  <c r="J61" i="12"/>
  <c r="H60" i="12"/>
  <c r="M64" i="12"/>
  <c r="K62" i="12"/>
  <c r="O66" i="12"/>
  <c r="E56" i="12"/>
  <c r="D32" i="12"/>
  <c r="G58" i="12"/>
  <c r="I60" i="12"/>
  <c r="L63" i="12"/>
  <c r="F57" i="12"/>
  <c r="D42" i="12"/>
  <c r="E66" i="12"/>
  <c r="V66" i="12"/>
  <c r="N58" i="12"/>
  <c r="F50" i="12"/>
  <c r="U65" i="12"/>
  <c r="E49" i="12"/>
  <c r="D25" i="12"/>
  <c r="G51" i="12"/>
  <c r="O59" i="12"/>
  <c r="T64" i="12"/>
  <c r="Q61" i="12"/>
  <c r="K55" i="12"/>
  <c r="M57" i="12"/>
  <c r="S63" i="12"/>
  <c r="R62" i="12"/>
  <c r="J54" i="12"/>
  <c r="H53" i="12"/>
  <c r="L56" i="12"/>
  <c r="P60" i="12"/>
  <c r="I53" i="12"/>
  <c r="E63" i="12"/>
  <c r="F64" i="12"/>
  <c r="G65" i="12"/>
  <c r="D39" i="12"/>
  <c r="I179" i="13" l="1"/>
  <c r="C90" i="13"/>
  <c r="C92" i="13"/>
  <c r="C101" i="13"/>
  <c r="Z44" i="12"/>
  <c r="AB46" i="12"/>
  <c r="AA45" i="12"/>
  <c r="Y43" i="12"/>
  <c r="U53" i="12"/>
  <c r="AA59" i="12"/>
  <c r="K43" i="12"/>
  <c r="AB60" i="12"/>
  <c r="N46" i="12"/>
  <c r="M45" i="12"/>
  <c r="Q49" i="12"/>
  <c r="R50" i="12"/>
  <c r="L44" i="12"/>
  <c r="W55" i="12"/>
  <c r="P48" i="12"/>
  <c r="Y57" i="12"/>
  <c r="T52" i="12"/>
  <c r="O47" i="12"/>
  <c r="V54" i="12"/>
  <c r="Z58" i="12"/>
  <c r="X56" i="12"/>
  <c r="S51" i="12"/>
  <c r="Y56" i="12"/>
  <c r="X55" i="12"/>
  <c r="P47" i="12"/>
  <c r="T51" i="12"/>
  <c r="V53" i="12"/>
  <c r="S50" i="12"/>
  <c r="M44" i="12"/>
  <c r="Z57" i="12"/>
  <c r="N45" i="12"/>
  <c r="Q48" i="12"/>
  <c r="W54" i="12"/>
  <c r="L43" i="12"/>
  <c r="R49" i="12"/>
  <c r="O46" i="12"/>
  <c r="AA58" i="12"/>
  <c r="AB59" i="12"/>
  <c r="U52" i="12"/>
  <c r="W59" i="12"/>
  <c r="X60" i="12"/>
  <c r="G43" i="12"/>
  <c r="Z62" i="12"/>
  <c r="L48" i="12"/>
  <c r="O51" i="12"/>
  <c r="N50" i="12"/>
  <c r="Q53" i="12"/>
  <c r="U57" i="12"/>
  <c r="M49" i="12"/>
  <c r="V58" i="12"/>
  <c r="Y61" i="12"/>
  <c r="S55" i="12"/>
  <c r="AA63" i="12"/>
  <c r="K47" i="12"/>
  <c r="I45" i="12"/>
  <c r="J46" i="12"/>
  <c r="AB64" i="12"/>
  <c r="H45" i="12"/>
  <c r="T56" i="12"/>
  <c r="P52" i="12"/>
  <c r="R54" i="12"/>
  <c r="AA57" i="12"/>
  <c r="Q47" i="12"/>
  <c r="P46" i="12"/>
  <c r="S49" i="12"/>
  <c r="X54" i="12"/>
  <c r="N44" i="12"/>
  <c r="R48" i="12"/>
  <c r="Z56" i="12"/>
  <c r="V52" i="12"/>
  <c r="AB58" i="12"/>
  <c r="Y55" i="12"/>
  <c r="T50" i="12"/>
  <c r="W53" i="12"/>
  <c r="O45" i="12"/>
  <c r="M43" i="12"/>
  <c r="U51" i="12"/>
  <c r="Z48" i="12"/>
  <c r="X46" i="12"/>
  <c r="AA49" i="12"/>
  <c r="V44" i="12"/>
  <c r="W45" i="12"/>
  <c r="U43" i="12"/>
  <c r="Y47" i="12"/>
  <c r="AB50" i="12"/>
  <c r="X44" i="12"/>
  <c r="Y45" i="12"/>
  <c r="W43" i="12"/>
  <c r="AA47" i="12"/>
  <c r="AB48" i="12"/>
  <c r="Z46" i="12"/>
  <c r="AA46" i="12"/>
  <c r="X43" i="12"/>
  <c r="AB47" i="12"/>
  <c r="Y44" i="12"/>
  <c r="Z45" i="12"/>
  <c r="Z61" i="12"/>
  <c r="M48" i="12"/>
  <c r="Q52" i="12"/>
  <c r="Y60" i="12"/>
  <c r="L47" i="12"/>
  <c r="H44" i="12"/>
  <c r="K46" i="12"/>
  <c r="R53" i="12"/>
  <c r="P51" i="12"/>
  <c r="S54" i="12"/>
  <c r="T55" i="12"/>
  <c r="AB63" i="12"/>
  <c r="O50" i="12"/>
  <c r="I44" i="12"/>
  <c r="U56" i="12"/>
  <c r="J45" i="12"/>
  <c r="N49" i="12"/>
  <c r="AA62" i="12"/>
  <c r="V57" i="12"/>
  <c r="W58" i="12"/>
  <c r="X59" i="12"/>
  <c r="R43" i="12"/>
  <c r="S44" i="12"/>
  <c r="Z51" i="12"/>
  <c r="AB53" i="12"/>
  <c r="V47" i="12"/>
  <c r="W48" i="12"/>
  <c r="U46" i="12"/>
  <c r="T45" i="12"/>
  <c r="AA52" i="12"/>
  <c r="X49" i="12"/>
  <c r="Y50" i="12"/>
  <c r="AA50" i="12"/>
  <c r="V45" i="12"/>
  <c r="T43" i="12"/>
  <c r="W46" i="12"/>
  <c r="X47" i="12"/>
  <c r="Y48" i="12"/>
  <c r="AB51" i="12"/>
  <c r="Z49" i="12"/>
  <c r="U44" i="12"/>
  <c r="U45" i="12"/>
  <c r="Y49" i="12"/>
  <c r="AB52" i="12"/>
  <c r="Z50" i="12"/>
  <c r="V46" i="12"/>
  <c r="T44" i="12"/>
  <c r="S43" i="12"/>
  <c r="W47" i="12"/>
  <c r="AA51" i="12"/>
  <c r="X48" i="12"/>
  <c r="AB44" i="12"/>
  <c r="AA43" i="12"/>
  <c r="Y59" i="12"/>
  <c r="O49" i="12"/>
  <c r="P50" i="12"/>
  <c r="U55" i="12"/>
  <c r="X58" i="12"/>
  <c r="R52" i="12"/>
  <c r="I43" i="12"/>
  <c r="V56" i="12"/>
  <c r="S53" i="12"/>
  <c r="W57" i="12"/>
  <c r="H43" i="12"/>
  <c r="Q51" i="12"/>
  <c r="Z60" i="12"/>
  <c r="AB62" i="12"/>
  <c r="T54" i="12"/>
  <c r="AA61" i="12"/>
  <c r="M47" i="12"/>
  <c r="K45" i="12"/>
  <c r="L46" i="12"/>
  <c r="N48" i="12"/>
  <c r="J44" i="12"/>
  <c r="T57" i="12"/>
  <c r="P53" i="12"/>
  <c r="V59" i="12"/>
  <c r="M50" i="12"/>
  <c r="X61" i="12"/>
  <c r="Y62" i="12"/>
  <c r="F43" i="12"/>
  <c r="F71" i="12" s="1"/>
  <c r="R55" i="12"/>
  <c r="K48" i="12"/>
  <c r="W60" i="12"/>
  <c r="L49" i="12"/>
  <c r="H46" i="12"/>
  <c r="G44" i="12"/>
  <c r="O52" i="12"/>
  <c r="Z63" i="12"/>
  <c r="Q54" i="12"/>
  <c r="J47" i="12"/>
  <c r="U58" i="12"/>
  <c r="AA64" i="12"/>
  <c r="N51" i="12"/>
  <c r="I46" i="12"/>
  <c r="AB65" i="12"/>
  <c r="S56" i="12"/>
  <c r="X53" i="12"/>
  <c r="Q46" i="12"/>
  <c r="T49" i="12"/>
  <c r="P45" i="12"/>
  <c r="W52" i="12"/>
  <c r="N43" i="12"/>
  <c r="Z55" i="12"/>
  <c r="O44" i="12"/>
  <c r="U50" i="12"/>
  <c r="AA56" i="12"/>
  <c r="S48" i="12"/>
  <c r="AB57" i="12"/>
  <c r="V51" i="12"/>
  <c r="R47" i="12"/>
  <c r="Y54" i="12"/>
  <c r="AB43" i="12"/>
  <c r="Z47" i="12"/>
  <c r="V43" i="12"/>
  <c r="AB49" i="12"/>
  <c r="Y46" i="12"/>
  <c r="X45" i="12"/>
  <c r="W44" i="12"/>
  <c r="AA48" i="12"/>
  <c r="Q45" i="12"/>
  <c r="V50" i="12"/>
  <c r="X52" i="12"/>
  <c r="Y53" i="12"/>
  <c r="R46" i="12"/>
  <c r="O43" i="12"/>
  <c r="W51" i="12"/>
  <c r="T48" i="12"/>
  <c r="AB56" i="12"/>
  <c r="U49" i="12"/>
  <c r="P44" i="12"/>
  <c r="AA55" i="12"/>
  <c r="Z54" i="12"/>
  <c r="S47" i="12"/>
  <c r="AA54" i="12"/>
  <c r="Z53" i="12"/>
  <c r="W50" i="12"/>
  <c r="X51" i="12"/>
  <c r="R45" i="12"/>
  <c r="T47" i="12"/>
  <c r="U48" i="12"/>
  <c r="S46" i="12"/>
  <c r="Y52" i="12"/>
  <c r="P43" i="12"/>
  <c r="Q44" i="12"/>
  <c r="AB55" i="12"/>
  <c r="V49" i="12"/>
  <c r="E71" i="12"/>
  <c r="Z43" i="12"/>
  <c r="AA44" i="12"/>
  <c r="AB45" i="12"/>
  <c r="X50" i="12"/>
  <c r="T46" i="12"/>
  <c r="U47" i="12"/>
  <c r="AA53" i="12"/>
  <c r="Q43" i="12"/>
  <c r="V48" i="12"/>
  <c r="Y51" i="12"/>
  <c r="W49" i="12"/>
  <c r="S45" i="12"/>
  <c r="R44" i="12"/>
  <c r="AB54" i="12"/>
  <c r="Z52" i="12"/>
  <c r="K44" i="12"/>
  <c r="N47" i="12"/>
  <c r="J43" i="12"/>
  <c r="X57" i="12"/>
  <c r="AB61" i="12"/>
  <c r="S52" i="12"/>
  <c r="U54" i="12"/>
  <c r="AA60" i="12"/>
  <c r="P49" i="12"/>
  <c r="L45" i="12"/>
  <c r="O48" i="12"/>
  <c r="V55" i="12"/>
  <c r="M46" i="12"/>
  <c r="Y58" i="12"/>
  <c r="Q50" i="12"/>
  <c r="W56" i="12"/>
  <c r="T53" i="12"/>
  <c r="R51" i="12"/>
  <c r="Z59" i="12"/>
  <c r="I72" i="13" l="1"/>
  <c r="C100" i="13"/>
  <c r="C131" i="13"/>
  <c r="N8" i="4"/>
  <c r="L8" i="4"/>
  <c r="D119" i="13"/>
  <c r="I8" i="4"/>
  <c r="I7" i="4" s="1"/>
  <c r="F17" i="15"/>
  <c r="F16" i="15"/>
  <c r="I87" i="13"/>
  <c r="Q71" i="12"/>
  <c r="H71" i="12"/>
  <c r="I71" i="12"/>
  <c r="Y71" i="12"/>
  <c r="P71" i="12"/>
  <c r="S71" i="12"/>
  <c r="W71" i="12"/>
  <c r="V71" i="12"/>
  <c r="N71" i="12"/>
  <c r="T71" i="12"/>
  <c r="U71" i="12"/>
  <c r="K71" i="12"/>
  <c r="J71" i="12"/>
  <c r="O71" i="12"/>
  <c r="R71" i="12"/>
  <c r="G71" i="12"/>
  <c r="L71" i="12"/>
  <c r="M71" i="12"/>
  <c r="Z71" i="12"/>
  <c r="AB71" i="12"/>
  <c r="AA71" i="12"/>
  <c r="X71" i="12"/>
  <c r="I163" i="13" l="1"/>
  <c r="I90" i="13"/>
  <c r="I89" i="13"/>
  <c r="C119" i="13"/>
  <c r="C239" i="13" s="1"/>
  <c r="I73" i="13"/>
  <c r="I74" i="13"/>
  <c r="I75" i="13" s="1"/>
  <c r="B16" i="11"/>
  <c r="I170" i="13" l="1"/>
  <c r="I166" i="13"/>
  <c r="I164" i="13"/>
  <c r="C35" i="8"/>
  <c r="C38" i="8"/>
  <c r="C42" i="8" s="1"/>
  <c r="C37" i="8"/>
  <c r="C41" i="8" s="1"/>
  <c r="C36" i="8"/>
  <c r="C40" i="8" s="1"/>
  <c r="B17" i="11"/>
  <c r="C16" i="11"/>
  <c r="D16" i="11"/>
  <c r="E16" i="11" s="1"/>
  <c r="B18" i="11"/>
  <c r="I168" i="13" l="1"/>
  <c r="F17" i="16" s="1"/>
  <c r="G201" i="13"/>
  <c r="C72" i="8"/>
  <c r="C94" i="8" s="1"/>
  <c r="D72" i="8"/>
  <c r="D94" i="8" s="1"/>
  <c r="C73" i="8"/>
  <c r="C96" i="8" s="1"/>
  <c r="D73" i="8"/>
  <c r="D96" i="8" s="1"/>
  <c r="D17" i="11"/>
  <c r="G16" i="11"/>
  <c r="F16" i="11"/>
  <c r="I16" i="11"/>
  <c r="H16" i="11"/>
  <c r="E17" i="11"/>
  <c r="C17" i="11"/>
  <c r="B19" i="11"/>
  <c r="B20" i="11"/>
  <c r="B21" i="11" s="1"/>
  <c r="B22" i="11" s="1"/>
  <c r="C22" i="11" s="1"/>
  <c r="I102" i="13"/>
  <c r="H124" i="4" l="1"/>
  <c r="D7" i="4" s="1"/>
  <c r="E240" i="13"/>
  <c r="H151" i="4"/>
  <c r="D34" i="4" s="1"/>
  <c r="C158" i="13"/>
  <c r="D241" i="13" s="1"/>
  <c r="C252" i="13"/>
  <c r="C116" i="13"/>
  <c r="D33" i="16" s="1"/>
  <c r="C27" i="16"/>
  <c r="F210" i="13"/>
  <c r="F18" i="15"/>
  <c r="H201" i="4"/>
  <c r="D84" i="4" s="1"/>
  <c r="H132" i="4"/>
  <c r="D15" i="4" s="1"/>
  <c r="F138" i="12"/>
  <c r="D253" i="13"/>
  <c r="H165" i="4"/>
  <c r="D48" i="4" s="1"/>
  <c r="H175" i="4"/>
  <c r="D58" i="4" s="1"/>
  <c r="H190" i="4"/>
  <c r="D73" i="4" s="1"/>
  <c r="H188" i="4"/>
  <c r="D71" i="4" s="1"/>
  <c r="H142" i="4"/>
  <c r="D25" i="4" s="1"/>
  <c r="C159" i="13"/>
  <c r="I159" i="13" s="1"/>
  <c r="E242" i="13" s="1"/>
  <c r="D44" i="16"/>
  <c r="H185" i="4"/>
  <c r="D68" i="4" s="1"/>
  <c r="C21" i="16"/>
  <c r="D21" i="16" s="1"/>
  <c r="H129" i="4"/>
  <c r="D12" i="4" s="1"/>
  <c r="H154" i="4"/>
  <c r="D37" i="4" s="1"/>
  <c r="C47" i="16"/>
  <c r="C212" i="13"/>
  <c r="C225" i="13"/>
  <c r="F139" i="12"/>
  <c r="H135" i="4"/>
  <c r="D18" i="4" s="1"/>
  <c r="D16" i="16"/>
  <c r="W139" i="12"/>
  <c r="G146" i="12" s="1"/>
  <c r="W144" i="12" s="1"/>
  <c r="F15" i="16"/>
  <c r="H199" i="4"/>
  <c r="D82" i="4" s="1"/>
  <c r="G16" i="16"/>
  <c r="H172" i="4"/>
  <c r="D55" i="4" s="1"/>
  <c r="I126" i="13"/>
  <c r="D245" i="13" s="1"/>
  <c r="C125" i="13"/>
  <c r="C52" i="16" s="1"/>
  <c r="F52" i="16" s="1"/>
  <c r="D120" i="13"/>
  <c r="D49" i="16" s="1"/>
  <c r="E211" i="13"/>
  <c r="H206" i="4"/>
  <c r="D89" i="4" s="1"/>
  <c r="C226" i="13"/>
  <c r="E251" i="13"/>
  <c r="E219" i="13"/>
  <c r="H180" i="4"/>
  <c r="D63" i="4" s="1"/>
  <c r="D29" i="16"/>
  <c r="H205" i="4"/>
  <c r="D88" i="4" s="1"/>
  <c r="H208" i="4"/>
  <c r="D91" i="4" s="1"/>
  <c r="D251" i="13"/>
  <c r="C11" i="11"/>
  <c r="C49" i="16"/>
  <c r="F222" i="13"/>
  <c r="C16" i="16"/>
  <c r="F220" i="13"/>
  <c r="H177" i="4"/>
  <c r="D60" i="4" s="1"/>
  <c r="H170" i="4"/>
  <c r="D53" i="4" s="1"/>
  <c r="C202" i="13"/>
  <c r="H156" i="4"/>
  <c r="D39" i="4" s="1"/>
  <c r="C17" i="16"/>
  <c r="C12" i="16"/>
  <c r="C126" i="13"/>
  <c r="C38" i="16" s="1"/>
  <c r="E38" i="16" s="1"/>
  <c r="H137" i="4"/>
  <c r="D20" i="4" s="1"/>
  <c r="E16" i="16"/>
  <c r="H197" i="4"/>
  <c r="D80" i="4" s="1"/>
  <c r="C33" i="16"/>
  <c r="H126" i="4"/>
  <c r="D9" i="4" s="1"/>
  <c r="C222" i="13"/>
  <c r="H220" i="4"/>
  <c r="D103" i="4" s="1"/>
  <c r="C42" i="16"/>
  <c r="H130" i="4"/>
  <c r="D13" i="4" s="1"/>
  <c r="E49" i="16"/>
  <c r="H138" i="4"/>
  <c r="D21" i="4" s="1"/>
  <c r="C10" i="11"/>
  <c r="H162" i="4"/>
  <c r="D45" i="4" s="1"/>
  <c r="C266" i="13"/>
  <c r="E13" i="12"/>
  <c r="E243" i="13"/>
  <c r="D235" i="13"/>
  <c r="E235" i="13" s="1"/>
  <c r="C15" i="16"/>
  <c r="H210" i="4"/>
  <c r="D93" i="4" s="1"/>
  <c r="H127" i="4"/>
  <c r="D10" i="4" s="1"/>
  <c r="C241" i="13"/>
  <c r="H183" i="4"/>
  <c r="D66" i="4" s="1"/>
  <c r="D28" i="16"/>
  <c r="H179" i="4"/>
  <c r="D62" i="4" s="1"/>
  <c r="D252" i="13"/>
  <c r="H186" i="4"/>
  <c r="D69" i="4" s="1"/>
  <c r="D221" i="13"/>
  <c r="H136" i="4"/>
  <c r="D19" i="4" s="1"/>
  <c r="I140" i="13"/>
  <c r="H159" i="4"/>
  <c r="D42" i="4" s="1"/>
  <c r="C245" i="13"/>
  <c r="H207" i="4"/>
  <c r="D90" i="4" s="1"/>
  <c r="C10" i="16"/>
  <c r="H163" i="4"/>
  <c r="D46" i="4" s="1"/>
  <c r="I157" i="13"/>
  <c r="C242" i="13" s="1"/>
  <c r="H216" i="4"/>
  <c r="D99" i="4" s="1"/>
  <c r="C219" i="13"/>
  <c r="H182" i="4"/>
  <c r="D65" i="4" s="1"/>
  <c r="F253" i="13"/>
  <c r="H168" i="4"/>
  <c r="D51" i="4" s="1"/>
  <c r="C194" i="13"/>
  <c r="C196" i="13" s="1"/>
  <c r="C209" i="13" s="1"/>
  <c r="H194" i="4"/>
  <c r="D77" i="4" s="1"/>
  <c r="C43" i="16"/>
  <c r="E47" i="16"/>
  <c r="H153" i="4"/>
  <c r="D36" i="4" s="1"/>
  <c r="D264" i="13"/>
  <c r="H134" i="4"/>
  <c r="D17" i="4" s="1"/>
  <c r="D220" i="1"/>
  <c r="H143" i="4"/>
  <c r="D26" i="4" s="1"/>
  <c r="D219" i="13"/>
  <c r="H144" i="4"/>
  <c r="D27" i="4" s="1"/>
  <c r="F252" i="13"/>
  <c r="H169" i="4"/>
  <c r="D52" i="4" s="1"/>
  <c r="C264" i="13"/>
  <c r="C265" i="13"/>
  <c r="B15" i="11"/>
  <c r="C15" i="11" s="1"/>
  <c r="I127" i="13"/>
  <c r="E245" i="13" s="1"/>
  <c r="D116" i="13"/>
  <c r="D48" i="16" s="1"/>
  <c r="H158" i="4"/>
  <c r="D41" i="4" s="1"/>
  <c r="E258" i="13"/>
  <c r="F258" i="13" s="1"/>
  <c r="H221" i="4"/>
  <c r="D104" i="4" s="1"/>
  <c r="C231" i="13"/>
  <c r="H164" i="4"/>
  <c r="D47" i="4" s="1"/>
  <c r="C167" i="13"/>
  <c r="C176" i="13" s="1"/>
  <c r="E241" i="13" s="1"/>
  <c r="H215" i="4"/>
  <c r="D98" i="4" s="1"/>
  <c r="E15" i="16"/>
  <c r="H222" i="4"/>
  <c r="D105" i="4" s="1"/>
  <c r="D12" i="16"/>
  <c r="H166" i="4"/>
  <c r="D49" i="4" s="1"/>
  <c r="F219" i="13"/>
  <c r="F32" i="16"/>
  <c r="C53" i="16"/>
  <c r="E53" i="16" s="1"/>
  <c r="H178" i="4"/>
  <c r="D61" i="4" s="1"/>
  <c r="D10" i="16"/>
  <c r="H204" i="4"/>
  <c r="D87" i="4" s="1"/>
  <c r="C32" i="16"/>
  <c r="H214" i="4"/>
  <c r="D97" i="4" s="1"/>
  <c r="F211" i="13"/>
  <c r="D43" i="16"/>
  <c r="C22" i="16"/>
  <c r="D22" i="16" s="1"/>
  <c r="D218" i="13"/>
  <c r="H141" i="4"/>
  <c r="D24" i="4" s="1"/>
  <c r="C9" i="11"/>
  <c r="H147" i="4"/>
  <c r="D30" i="4" s="1"/>
  <c r="E118" i="4"/>
  <c r="H173" i="4"/>
  <c r="D56" i="4" s="1"/>
  <c r="D211" i="13"/>
  <c r="H131" i="4"/>
  <c r="D14" i="4" s="1"/>
  <c r="E114" i="4"/>
  <c r="H128" i="4"/>
  <c r="D11" i="4" s="1"/>
  <c r="E253" i="13"/>
  <c r="H187" i="4"/>
  <c r="D70" i="4" s="1"/>
  <c r="E252" i="13"/>
  <c r="H202" i="4"/>
  <c r="D85" i="4" s="1"/>
  <c r="F16" i="16"/>
  <c r="H193" i="4"/>
  <c r="D76" i="4" s="1"/>
  <c r="C235" i="13"/>
  <c r="E32" i="16"/>
  <c r="C162" i="13"/>
  <c r="E244" i="13" s="1"/>
  <c r="D225" i="13"/>
  <c r="E225" i="13" s="1"/>
  <c r="C44" i="16"/>
  <c r="H200" i="4"/>
  <c r="D83" i="4" s="1"/>
  <c r="C244" i="13"/>
  <c r="D212" i="13"/>
  <c r="E212" i="13" s="1"/>
  <c r="H191" i="4"/>
  <c r="D74" i="4" s="1"/>
  <c r="C221" i="13"/>
  <c r="H123" i="4"/>
  <c r="H101" i="4" s="1"/>
  <c r="F251" i="13"/>
  <c r="H133" i="4"/>
  <c r="D16" i="4" s="1"/>
  <c r="E218" i="13"/>
  <c r="H167" i="4"/>
  <c r="D50" i="4" s="1"/>
  <c r="C253" i="13"/>
  <c r="H184" i="4"/>
  <c r="D67" i="4" s="1"/>
  <c r="E221" i="13"/>
  <c r="H219" i="4"/>
  <c r="D102" i="4" s="1"/>
  <c r="C217" i="13"/>
  <c r="H209" i="4"/>
  <c r="D92" i="4" s="1"/>
  <c r="E17" i="16"/>
  <c r="H198" i="4"/>
  <c r="D81" i="4" s="1"/>
  <c r="C206" i="13"/>
  <c r="D42" i="16"/>
  <c r="C20" i="16"/>
  <c r="D20" i="16" s="1"/>
  <c r="H192" i="4"/>
  <c r="D75" i="4" s="1"/>
  <c r="H139" i="4"/>
  <c r="D22" i="4" s="1"/>
  <c r="H176" i="4"/>
  <c r="D59" i="4" s="1"/>
  <c r="D206" i="13"/>
  <c r="E12" i="12"/>
  <c r="E14" i="12" s="1"/>
  <c r="G145" i="12" s="1"/>
  <c r="W143" i="12" s="1"/>
  <c r="H213" i="4"/>
  <c r="D96" i="4" s="1"/>
  <c r="E34" i="16"/>
  <c r="H148" i="4"/>
  <c r="D31" i="4" s="1"/>
  <c r="H218" i="4"/>
  <c r="D101" i="4" s="1"/>
  <c r="H203" i="4"/>
  <c r="D86" i="4" s="1"/>
  <c r="F221" i="13"/>
  <c r="H189" i="4"/>
  <c r="D72" i="4" s="1"/>
  <c r="W138" i="12"/>
  <c r="H125" i="4"/>
  <c r="D8" i="4" s="1"/>
  <c r="C251" i="13"/>
  <c r="H181" i="4"/>
  <c r="D64" i="4" s="1"/>
  <c r="D27" i="16"/>
  <c r="H160" i="4"/>
  <c r="D43" i="4" s="1"/>
  <c r="F137" i="12"/>
  <c r="H146" i="4"/>
  <c r="D29" i="4" s="1"/>
  <c r="F218" i="13"/>
  <c r="H195" i="4"/>
  <c r="D78" i="4" s="1"/>
  <c r="C28" i="16"/>
  <c r="H212" i="4"/>
  <c r="D95" i="4" s="1"/>
  <c r="E33" i="16"/>
  <c r="D222" i="13"/>
  <c r="D17" i="16"/>
  <c r="H196" i="4"/>
  <c r="D79" i="4" s="1"/>
  <c r="H157" i="4"/>
  <c r="D40" i="4" s="1"/>
  <c r="D213" i="13"/>
  <c r="D214" i="13" s="1"/>
  <c r="C267" i="13"/>
  <c r="D267" i="13" s="1"/>
  <c r="C211" i="13"/>
  <c r="H171" i="4"/>
  <c r="D54" i="4" s="1"/>
  <c r="C213" i="13"/>
  <c r="C214" i="13" s="1"/>
  <c r="E220" i="13"/>
  <c r="C19" i="15"/>
  <c r="D11" i="16"/>
  <c r="H155" i="4"/>
  <c r="D38" i="4" s="1"/>
  <c r="H217" i="4"/>
  <c r="D100" i="4" s="1"/>
  <c r="C127" i="13"/>
  <c r="C54" i="16" s="1"/>
  <c r="E54" i="16" s="1"/>
  <c r="C220" i="13"/>
  <c r="H149" i="4"/>
  <c r="D32" i="4" s="1"/>
  <c r="C205" i="13"/>
  <c r="F47" i="16"/>
  <c r="C29" i="16"/>
  <c r="H140" i="4"/>
  <c r="D23" i="4" s="1"/>
  <c r="D220" i="13"/>
  <c r="C224" i="4"/>
  <c r="H174" i="4"/>
  <c r="D57" i="4" s="1"/>
  <c r="W140" i="12"/>
  <c r="H211" i="4"/>
  <c r="D94" i="4" s="1"/>
  <c r="C34" i="16"/>
  <c r="C161" i="13"/>
  <c r="D244" i="13" s="1"/>
  <c r="H150" i="4"/>
  <c r="D33" i="4" s="1"/>
  <c r="C120" i="13"/>
  <c r="D34" i="16" s="1"/>
  <c r="C230" i="13"/>
  <c r="B123" i="4"/>
  <c r="D123" i="4" s="1"/>
  <c r="D226" i="13"/>
  <c r="E222" i="13"/>
  <c r="C48" i="16"/>
  <c r="H161" i="4"/>
  <c r="D44" i="4" s="1"/>
  <c r="H145" i="4"/>
  <c r="D28" i="4" s="1"/>
  <c r="C11" i="16"/>
  <c r="D207" i="1"/>
  <c r="H152" i="4"/>
  <c r="D35" i="4" s="1"/>
  <c r="C218" i="13"/>
  <c r="E48" i="16"/>
  <c r="G17" i="16"/>
  <c r="E52" i="16"/>
  <c r="I137" i="13"/>
  <c r="D52" i="16"/>
  <c r="I158" i="13"/>
  <c r="D242" i="13" s="1"/>
  <c r="C195" i="13"/>
  <c r="C197" i="13" s="1"/>
  <c r="D209" i="13" s="1"/>
  <c r="C177" i="13"/>
  <c r="C181" i="13"/>
  <c r="D202" i="13" s="1"/>
  <c r="C179" i="13"/>
  <c r="D205" i="13" s="1"/>
  <c r="C178" i="13"/>
  <c r="C207" i="1"/>
  <c r="C117" i="13"/>
  <c r="F33" i="16" s="1"/>
  <c r="C118" i="13"/>
  <c r="G33" i="16" s="1"/>
  <c r="F15" i="11"/>
  <c r="D117" i="13"/>
  <c r="F48" i="16" s="1"/>
  <c r="D118" i="13"/>
  <c r="G48" i="16" s="1"/>
  <c r="C37" i="16"/>
  <c r="I17" i="11"/>
  <c r="C18" i="11"/>
  <c r="D19" i="11" s="1"/>
  <c r="G17" i="11"/>
  <c r="D18" i="11"/>
  <c r="E18" i="11" s="1"/>
  <c r="H17" i="11"/>
  <c r="B23" i="11"/>
  <c r="B24" i="11" s="1"/>
  <c r="F17" i="11"/>
  <c r="C33" i="8"/>
  <c r="C34" i="8"/>
  <c r="C39" i="8" s="1"/>
  <c r="C227" i="13" l="1"/>
  <c r="F53" i="16"/>
  <c r="D15" i="11"/>
  <c r="H15" i="11"/>
  <c r="G15" i="11"/>
  <c r="I15" i="11"/>
  <c r="E15" i="11"/>
  <c r="F54" i="16"/>
  <c r="D121" i="13"/>
  <c r="F49" i="16" s="1"/>
  <c r="D122" i="13"/>
  <c r="G49" i="16" s="1"/>
  <c r="E226" i="13"/>
  <c r="D185" i="8"/>
  <c r="E15" i="12"/>
  <c r="E130" i="13"/>
  <c r="C39" i="16"/>
  <c r="F39" i="16" s="1"/>
  <c r="D53" i="16"/>
  <c r="C220" i="1"/>
  <c r="F209" i="13"/>
  <c r="C106" i="13"/>
  <c r="C186" i="13" s="1"/>
  <c r="C187" i="13" s="1"/>
  <c r="C188" i="13" s="1"/>
  <c r="C189" i="13" s="1"/>
  <c r="C190" i="13" s="1"/>
  <c r="C246" i="13" s="1"/>
  <c r="C122" i="13"/>
  <c r="G34" i="16" s="1"/>
  <c r="C128" i="13"/>
  <c r="C165" i="13" s="1"/>
  <c r="C185" i="8"/>
  <c r="E185" i="8" s="1"/>
  <c r="E213" i="13"/>
  <c r="F213" i="13" s="1"/>
  <c r="C123" i="4"/>
  <c r="D239" i="13"/>
  <c r="C121" i="13"/>
  <c r="F34" i="16" s="1"/>
  <c r="D6" i="4"/>
  <c r="D54" i="16"/>
  <c r="B124" i="4"/>
  <c r="B125" i="4" s="1"/>
  <c r="F125" i="4" s="1"/>
  <c r="F123" i="4"/>
  <c r="I150" i="13" s="1"/>
  <c r="D258" i="13" s="1"/>
  <c r="B6" i="4"/>
  <c r="C6" i="4" s="1"/>
  <c r="F38" i="16"/>
  <c r="D38" i="16"/>
  <c r="E115" i="4"/>
  <c r="E116" i="4" s="1"/>
  <c r="E119" i="4" s="1"/>
  <c r="E227" i="13"/>
  <c r="D227" i="13"/>
  <c r="F212" i="13"/>
  <c r="E39" i="16"/>
  <c r="D39" i="16"/>
  <c r="E123" i="4"/>
  <c r="D224" i="4"/>
  <c r="C102" i="13"/>
  <c r="D37" i="16"/>
  <c r="E37" i="16"/>
  <c r="F37" i="16"/>
  <c r="F18" i="11"/>
  <c r="E19" i="11"/>
  <c r="C19" i="11"/>
  <c r="B25" i="11"/>
  <c r="C23" i="11"/>
  <c r="C24" i="11" s="1"/>
  <c r="D23" i="11"/>
  <c r="D85" i="8"/>
  <c r="D106" i="8" s="1"/>
  <c r="C85" i="8"/>
  <c r="C106" i="8" s="1"/>
  <c r="I18" i="11"/>
  <c r="H18" i="11"/>
  <c r="G18" i="11"/>
  <c r="D82" i="8"/>
  <c r="D104" i="8" s="1"/>
  <c r="C82" i="8"/>
  <c r="C104" i="8" s="1"/>
  <c r="C20" i="11"/>
  <c r="F19" i="11"/>
  <c r="D20" i="11"/>
  <c r="E20" i="11" s="1"/>
  <c r="I131" i="13" l="1"/>
  <c r="I132" i="13" s="1"/>
  <c r="I136" i="13" s="1"/>
  <c r="F41" i="16"/>
  <c r="I133" i="13"/>
  <c r="I134" i="13"/>
  <c r="B126" i="4"/>
  <c r="C126" i="4" s="1"/>
  <c r="D126" i="4" s="1"/>
  <c r="E126" i="4" s="1"/>
  <c r="C166" i="13"/>
  <c r="C170" i="13"/>
  <c r="F19" i="16"/>
  <c r="C191" i="13"/>
  <c r="D246" i="13" s="1"/>
  <c r="D178" i="8"/>
  <c r="D160" i="8" s="1"/>
  <c r="C124" i="4"/>
  <c r="D124" i="4" s="1"/>
  <c r="E124" i="4" s="1"/>
  <c r="F124" i="4"/>
  <c r="D256" i="13"/>
  <c r="F214" i="13"/>
  <c r="E214" i="13"/>
  <c r="E264" i="13" s="1"/>
  <c r="F264" i="13" s="1"/>
  <c r="B7" i="4"/>
  <c r="B8" i="4" s="1"/>
  <c r="E256" i="13"/>
  <c r="F256" i="13" s="1"/>
  <c r="C125" i="4"/>
  <c r="D125" i="4" s="1"/>
  <c r="E125" i="4" s="1"/>
  <c r="F224" i="4"/>
  <c r="C258" i="13"/>
  <c r="C163" i="13"/>
  <c r="C105" i="13"/>
  <c r="C104" i="13"/>
  <c r="F26" i="16"/>
  <c r="F9" i="16"/>
  <c r="I76" i="13"/>
  <c r="D265" i="13" s="1"/>
  <c r="C164" i="13"/>
  <c r="C132" i="13"/>
  <c r="C133" i="13" s="1"/>
  <c r="C169" i="13"/>
  <c r="I147" i="13"/>
  <c r="D257" i="13" s="1"/>
  <c r="I145" i="13"/>
  <c r="I146" i="13" s="1"/>
  <c r="E257" i="13" s="1"/>
  <c r="F257" i="13" s="1"/>
  <c r="E224" i="4"/>
  <c r="H257" i="13"/>
  <c r="C257" i="13"/>
  <c r="G19" i="11"/>
  <c r="I19" i="11" s="1"/>
  <c r="C21" i="11"/>
  <c r="D21" i="11"/>
  <c r="E21" i="11" s="1"/>
  <c r="F20" i="11"/>
  <c r="G20" i="11" s="1"/>
  <c r="H20" i="11" s="1"/>
  <c r="I20" i="11" s="1"/>
  <c r="D24" i="11"/>
  <c r="E24" i="11" s="1"/>
  <c r="C25" i="11"/>
  <c r="D25" i="11"/>
  <c r="B26" i="11"/>
  <c r="E23" i="11"/>
  <c r="I135" i="13" l="1"/>
  <c r="I138" i="13" s="1"/>
  <c r="D243" i="13"/>
  <c r="B127" i="4"/>
  <c r="F127" i="4" s="1"/>
  <c r="F126" i="4"/>
  <c r="C7" i="4"/>
  <c r="E267" i="13"/>
  <c r="F267" i="13" s="1"/>
  <c r="E265" i="13"/>
  <c r="F265" i="13" s="1"/>
  <c r="C8" i="4"/>
  <c r="B9" i="4"/>
  <c r="C9" i="4" s="1"/>
  <c r="C243" i="13"/>
  <c r="C135" i="13"/>
  <c r="C134" i="13"/>
  <c r="C136" i="13"/>
  <c r="C137" i="13"/>
  <c r="F24" i="11"/>
  <c r="E25" i="11"/>
  <c r="F25" i="11" s="1"/>
  <c r="G25" i="11" s="1"/>
  <c r="D22" i="11"/>
  <c r="E22" i="11" s="1"/>
  <c r="F22" i="11" s="1"/>
  <c r="F21" i="11"/>
  <c r="G21" i="11" s="1"/>
  <c r="H21" i="11" s="1"/>
  <c r="I21" i="11" s="1"/>
  <c r="H19" i="11"/>
  <c r="C26" i="11"/>
  <c r="B27" i="11"/>
  <c r="B28" i="11" s="1"/>
  <c r="D26" i="11"/>
  <c r="E26" i="11" s="1"/>
  <c r="F23" i="11"/>
  <c r="G24" i="11" s="1"/>
  <c r="G22" i="11"/>
  <c r="H22" i="11" s="1"/>
  <c r="B128" i="4" l="1"/>
  <c r="F128" i="4" s="1"/>
  <c r="C127" i="4"/>
  <c r="D127" i="4" s="1"/>
  <c r="E127" i="4" s="1"/>
  <c r="B10" i="4"/>
  <c r="C10" i="4" s="1"/>
  <c r="C139" i="13"/>
  <c r="C140" i="13" s="1"/>
  <c r="C141" i="13" s="1"/>
  <c r="C103" i="13" s="1"/>
  <c r="C232" i="13" s="1"/>
  <c r="B129" i="4"/>
  <c r="F26" i="11"/>
  <c r="G26" i="11" s="1"/>
  <c r="B29" i="11"/>
  <c r="C29" i="11" s="1"/>
  <c r="C27" i="11"/>
  <c r="C28" i="11" s="1"/>
  <c r="D27" i="11"/>
  <c r="E27" i="11" s="1"/>
  <c r="B30" i="11"/>
  <c r="H25" i="11"/>
  <c r="I22" i="11"/>
  <c r="G23" i="11"/>
  <c r="H24" i="11" s="1"/>
  <c r="C128" i="4" l="1"/>
  <c r="D128" i="4" s="1"/>
  <c r="E128" i="4" s="1"/>
  <c r="B11" i="4"/>
  <c r="C11" i="4" s="1"/>
  <c r="I139" i="13"/>
  <c r="D240" i="13" s="1"/>
  <c r="C240" i="13"/>
  <c r="C129" i="4"/>
  <c r="D129" i="4" s="1"/>
  <c r="E129" i="4" s="1"/>
  <c r="B130" i="4"/>
  <c r="B131" i="4" s="1"/>
  <c r="C131" i="4" s="1"/>
  <c r="D131" i="4" s="1"/>
  <c r="E131" i="4" s="1"/>
  <c r="F129" i="4"/>
  <c r="I26" i="11"/>
  <c r="H26" i="11"/>
  <c r="F27" i="11"/>
  <c r="C30" i="11"/>
  <c r="D29" i="11"/>
  <c r="D28" i="11"/>
  <c r="E28" i="11" s="1"/>
  <c r="F28" i="11" s="1"/>
  <c r="B31" i="11"/>
  <c r="D30" i="11"/>
  <c r="E30" i="11" s="1"/>
  <c r="I25" i="11"/>
  <c r="H23" i="11"/>
  <c r="I23" i="11" s="1"/>
  <c r="F29" i="11"/>
  <c r="B12" i="4" l="1"/>
  <c r="C12" i="4" s="1"/>
  <c r="F131" i="4"/>
  <c r="B132" i="4"/>
  <c r="F132" i="4" s="1"/>
  <c r="F130" i="4"/>
  <c r="C130" i="4"/>
  <c r="D130" i="4" s="1"/>
  <c r="E130" i="4" s="1"/>
  <c r="B13" i="4"/>
  <c r="C13" i="4" s="1"/>
  <c r="G30" i="11"/>
  <c r="E29" i="11"/>
  <c r="G27" i="11"/>
  <c r="H27" i="11" s="1"/>
  <c r="I27" i="11" s="1"/>
  <c r="C31" i="11"/>
  <c r="G28" i="11"/>
  <c r="B32" i="11"/>
  <c r="C32" i="11" s="1"/>
  <c r="D31" i="11"/>
  <c r="E31" i="11" s="1"/>
  <c r="F31" i="11" s="1"/>
  <c r="G31" i="11" s="1"/>
  <c r="H31" i="11" s="1"/>
  <c r="F30" i="11"/>
  <c r="I24" i="11"/>
  <c r="G29" i="11"/>
  <c r="H30" i="11" s="1"/>
  <c r="C132" i="4" l="1"/>
  <c r="D132" i="4" s="1"/>
  <c r="E132" i="4" s="1"/>
  <c r="B133" i="4"/>
  <c r="B134" i="4" s="1"/>
  <c r="B14" i="4"/>
  <c r="H28" i="11"/>
  <c r="I28" i="11" s="1"/>
  <c r="B33" i="11"/>
  <c r="C33" i="11" s="1"/>
  <c r="D32" i="11"/>
  <c r="E32" i="11" s="1"/>
  <c r="I31" i="11"/>
  <c r="H29" i="11"/>
  <c r="I29" i="11" s="1"/>
  <c r="F133" i="4" l="1"/>
  <c r="C133" i="4"/>
  <c r="D133" i="4" s="1"/>
  <c r="E133" i="4" s="1"/>
  <c r="C14" i="4"/>
  <c r="B15" i="4"/>
  <c r="B34" i="11"/>
  <c r="C34" i="11" s="1"/>
  <c r="C134" i="4"/>
  <c r="D134" i="4" s="1"/>
  <c r="E134" i="4" s="1"/>
  <c r="F134" i="4"/>
  <c r="B135" i="4"/>
  <c r="D33" i="11"/>
  <c r="E33" i="11" s="1"/>
  <c r="F32" i="11"/>
  <c r="G32" i="11" s="1"/>
  <c r="H32" i="11" s="1"/>
  <c r="I32" i="11" s="1"/>
  <c r="B35" i="11"/>
  <c r="I30" i="11"/>
  <c r="D34" i="11" l="1"/>
  <c r="C15" i="4"/>
  <c r="B16" i="4"/>
  <c r="C35" i="11"/>
  <c r="E34" i="11"/>
  <c r="C135" i="4"/>
  <c r="D135" i="4" s="1"/>
  <c r="E135" i="4" s="1"/>
  <c r="F135" i="4"/>
  <c r="B136" i="4"/>
  <c r="F33" i="11"/>
  <c r="G33" i="11" s="1"/>
  <c r="H33" i="11" s="1"/>
  <c r="I33" i="11" s="1"/>
  <c r="D35" i="11"/>
  <c r="E35" i="11" s="1"/>
  <c r="B36" i="11"/>
  <c r="C36" i="11" s="1"/>
  <c r="F34" i="11"/>
  <c r="C16" i="4" l="1"/>
  <c r="B17" i="4"/>
  <c r="G34" i="11"/>
  <c r="H34" i="11" s="1"/>
  <c r="I34" i="11" s="1"/>
  <c r="B137" i="4"/>
  <c r="F136" i="4"/>
  <c r="C136" i="4"/>
  <c r="D136" i="4" s="1"/>
  <c r="E136" i="4" s="1"/>
  <c r="D36" i="11"/>
  <c r="E36" i="11" s="1"/>
  <c r="B37" i="11"/>
  <c r="C37" i="11" s="1"/>
  <c r="F35" i="11"/>
  <c r="G35" i="11" s="1"/>
  <c r="H35" i="11" s="1"/>
  <c r="C17" i="4" l="1"/>
  <c r="B18" i="4"/>
  <c r="I35" i="11"/>
  <c r="F137" i="4"/>
  <c r="C137" i="4"/>
  <c r="D137" i="4" s="1"/>
  <c r="E137" i="4" s="1"/>
  <c r="B138" i="4"/>
  <c r="D37" i="11"/>
  <c r="E37" i="11" s="1"/>
  <c r="B38" i="11"/>
  <c r="C38" i="11" s="1"/>
  <c r="F36" i="11"/>
  <c r="G36" i="11" s="1"/>
  <c r="H36" i="11" s="1"/>
  <c r="C18" i="4" l="1"/>
  <c r="B19" i="4"/>
  <c r="C138" i="4"/>
  <c r="D138" i="4" s="1"/>
  <c r="E138" i="4" s="1"/>
  <c r="F138" i="4"/>
  <c r="B139" i="4"/>
  <c r="D38" i="11"/>
  <c r="E38" i="11" s="1"/>
  <c r="B39" i="11"/>
  <c r="C39" i="11" s="1"/>
  <c r="F37" i="11"/>
  <c r="I36" i="11"/>
  <c r="C19" i="4" l="1"/>
  <c r="B20" i="4"/>
  <c r="F139" i="4"/>
  <c r="C139" i="4"/>
  <c r="D139" i="4" s="1"/>
  <c r="E139" i="4" s="1"/>
  <c r="B140" i="4"/>
  <c r="G37" i="11"/>
  <c r="H37" i="11" s="1"/>
  <c r="I37" i="11" s="1"/>
  <c r="D39" i="11"/>
  <c r="E39" i="11" s="1"/>
  <c r="B40" i="11"/>
  <c r="C40" i="11" s="1"/>
  <c r="F38" i="11"/>
  <c r="G38" i="11" s="1"/>
  <c r="C20" i="4" l="1"/>
  <c r="B21" i="4"/>
  <c r="F140" i="4"/>
  <c r="C140" i="4"/>
  <c r="D140" i="4" s="1"/>
  <c r="E140" i="4" s="1"/>
  <c r="B141" i="4"/>
  <c r="F39" i="11"/>
  <c r="G39" i="11" s="1"/>
  <c r="D40" i="11"/>
  <c r="E40" i="11" s="1"/>
  <c r="B41" i="11"/>
  <c r="C41" i="11" s="1"/>
  <c r="H38" i="11"/>
  <c r="I38" i="11" s="1"/>
  <c r="C21" i="4" l="1"/>
  <c r="B22" i="4"/>
  <c r="F141" i="4"/>
  <c r="C141" i="4"/>
  <c r="D141" i="4" s="1"/>
  <c r="E141" i="4" s="1"/>
  <c r="B142" i="4"/>
  <c r="B143" i="4" s="1"/>
  <c r="F40" i="11"/>
  <c r="G40" i="11" s="1"/>
  <c r="H40" i="11" s="1"/>
  <c r="B42" i="11"/>
  <c r="C42" i="11" s="1"/>
  <c r="D41" i="11"/>
  <c r="E41" i="11" s="1"/>
  <c r="H39" i="11"/>
  <c r="I39" i="11" s="1"/>
  <c r="C22" i="4" l="1"/>
  <c r="B23" i="4"/>
  <c r="C143" i="4"/>
  <c r="D143" i="4" s="1"/>
  <c r="E143" i="4" s="1"/>
  <c r="F143" i="4"/>
  <c r="B144" i="4"/>
  <c r="C142" i="4"/>
  <c r="D142" i="4" s="1"/>
  <c r="E142" i="4" s="1"/>
  <c r="F142" i="4"/>
  <c r="I40" i="11"/>
  <c r="B43" i="11"/>
  <c r="C43" i="11" s="1"/>
  <c r="D42" i="11"/>
  <c r="E42" i="11" s="1"/>
  <c r="F41" i="11"/>
  <c r="G41" i="11" s="1"/>
  <c r="C23" i="4" l="1"/>
  <c r="B24" i="4"/>
  <c r="C144" i="4"/>
  <c r="D144" i="4" s="1"/>
  <c r="E144" i="4" s="1"/>
  <c r="F144" i="4"/>
  <c r="B145" i="4"/>
  <c r="D43" i="11"/>
  <c r="E43" i="11" s="1"/>
  <c r="B44" i="11"/>
  <c r="C44" i="11" s="1"/>
  <c r="F42" i="11"/>
  <c r="G42" i="11" s="1"/>
  <c r="H42" i="11" s="1"/>
  <c r="H41" i="11"/>
  <c r="I41" i="11" s="1"/>
  <c r="C24" i="4" l="1"/>
  <c r="B25" i="4"/>
  <c r="C145" i="4"/>
  <c r="D145" i="4" s="1"/>
  <c r="E145" i="4" s="1"/>
  <c r="F145" i="4"/>
  <c r="B146" i="4"/>
  <c r="D44" i="11"/>
  <c r="E44" i="11" s="1"/>
  <c r="B45" i="11"/>
  <c r="C45" i="11" s="1"/>
  <c r="F43" i="11"/>
  <c r="I42" i="11"/>
  <c r="B26" i="4" l="1"/>
  <c r="C25" i="4"/>
  <c r="F146" i="4"/>
  <c r="C146" i="4"/>
  <c r="D146" i="4" s="1"/>
  <c r="E146" i="4" s="1"/>
  <c r="B147" i="4"/>
  <c r="B148" i="4" s="1"/>
  <c r="G43" i="11"/>
  <c r="H43" i="11" s="1"/>
  <c r="D45" i="11"/>
  <c r="E45" i="11" s="1"/>
  <c r="B46" i="11"/>
  <c r="C46" i="11" s="1"/>
  <c r="F44" i="11"/>
  <c r="G44" i="11" s="1"/>
  <c r="H44" i="11" s="1"/>
  <c r="I44" i="11" s="1"/>
  <c r="C26" i="4" l="1"/>
  <c r="B27" i="4"/>
  <c r="C148" i="4"/>
  <c r="D148" i="4" s="1"/>
  <c r="E148" i="4" s="1"/>
  <c r="F148" i="4"/>
  <c r="B149" i="4"/>
  <c r="B150" i="4" s="1"/>
  <c r="F147" i="4"/>
  <c r="C147" i="4"/>
  <c r="D147" i="4" s="1"/>
  <c r="E147" i="4" s="1"/>
  <c r="D46" i="11"/>
  <c r="E46" i="11" s="1"/>
  <c r="B47" i="11"/>
  <c r="C47" i="11" s="1"/>
  <c r="F45" i="11"/>
  <c r="G45" i="11" s="1"/>
  <c r="H45" i="11" s="1"/>
  <c r="I45" i="11" s="1"/>
  <c r="I43" i="11"/>
  <c r="C27" i="4" l="1"/>
  <c r="B28" i="4"/>
  <c r="F150" i="4"/>
  <c r="C150" i="4"/>
  <c r="D150" i="4" s="1"/>
  <c r="E150" i="4" s="1"/>
  <c r="B151" i="4"/>
  <c r="C149" i="4"/>
  <c r="D149" i="4" s="1"/>
  <c r="E149" i="4" s="1"/>
  <c r="F149" i="4"/>
  <c r="F46" i="11"/>
  <c r="G46" i="11" s="1"/>
  <c r="D47" i="11"/>
  <c r="E47" i="11" s="1"/>
  <c r="B48" i="11"/>
  <c r="C48" i="11" s="1"/>
  <c r="C28" i="4" l="1"/>
  <c r="B29" i="4"/>
  <c r="F151" i="4"/>
  <c r="C151" i="4"/>
  <c r="D151" i="4" s="1"/>
  <c r="E151" i="4" s="1"/>
  <c r="B152" i="4"/>
  <c r="H46" i="11"/>
  <c r="I46" i="11" s="1"/>
  <c r="D48" i="11"/>
  <c r="E48" i="11" s="1"/>
  <c r="B49" i="11"/>
  <c r="C49" i="11" s="1"/>
  <c r="F47" i="11"/>
  <c r="G47" i="11" s="1"/>
  <c r="H47" i="11" s="1"/>
  <c r="C29" i="4" l="1"/>
  <c r="B30" i="4"/>
  <c r="C152" i="4"/>
  <c r="D152" i="4" s="1"/>
  <c r="E152" i="4" s="1"/>
  <c r="F152" i="4"/>
  <c r="B153" i="4"/>
  <c r="I47" i="11"/>
  <c r="D49" i="11"/>
  <c r="E49" i="11" s="1"/>
  <c r="B50" i="11"/>
  <c r="C50" i="11" s="1"/>
  <c r="F48" i="11"/>
  <c r="G48" i="11" s="1"/>
  <c r="H48" i="11" s="1"/>
  <c r="I48" i="11" s="1"/>
  <c r="B31" i="4" l="1"/>
  <c r="C30" i="4"/>
  <c r="C153" i="4"/>
  <c r="D153" i="4" s="1"/>
  <c r="E153" i="4" s="1"/>
  <c r="F153" i="4"/>
  <c r="B154" i="4"/>
  <c r="D50" i="11"/>
  <c r="E50" i="11" s="1"/>
  <c r="B51" i="11"/>
  <c r="C51" i="11" s="1"/>
  <c r="F49" i="11"/>
  <c r="G49" i="11" s="1"/>
  <c r="H49" i="11" s="1"/>
  <c r="I49" i="11" s="1"/>
  <c r="C31" i="4" l="1"/>
  <c r="B32" i="4"/>
  <c r="F154" i="4"/>
  <c r="C154" i="4"/>
  <c r="D154" i="4" s="1"/>
  <c r="E154" i="4" s="1"/>
  <c r="B155" i="4"/>
  <c r="D51" i="11"/>
  <c r="E51" i="11" s="1"/>
  <c r="B52" i="11"/>
  <c r="C52" i="11" s="1"/>
  <c r="F50" i="11"/>
  <c r="B33" i="4" l="1"/>
  <c r="C32" i="4"/>
  <c r="C155" i="4"/>
  <c r="D155" i="4" s="1"/>
  <c r="E155" i="4" s="1"/>
  <c r="F155" i="4"/>
  <c r="B156" i="4"/>
  <c r="G50" i="11"/>
  <c r="H50" i="11" s="1"/>
  <c r="I50" i="11" s="1"/>
  <c r="D52" i="11"/>
  <c r="E52" i="11" s="1"/>
  <c r="B53" i="11"/>
  <c r="C53" i="11" s="1"/>
  <c r="F51" i="11"/>
  <c r="G51" i="11" s="1"/>
  <c r="H51" i="11" s="1"/>
  <c r="C33" i="4" l="1"/>
  <c r="B34" i="4"/>
  <c r="C156" i="4"/>
  <c r="D156" i="4" s="1"/>
  <c r="E156" i="4" s="1"/>
  <c r="F156" i="4"/>
  <c r="B157" i="4"/>
  <c r="F52" i="11"/>
  <c r="G52" i="11" s="1"/>
  <c r="H52" i="11" s="1"/>
  <c r="I52" i="11" s="1"/>
  <c r="D53" i="11"/>
  <c r="E53" i="11" s="1"/>
  <c r="B54" i="11"/>
  <c r="C54" i="11" s="1"/>
  <c r="I51" i="11"/>
  <c r="C34" i="4" l="1"/>
  <c r="B35" i="4"/>
  <c r="C157" i="4"/>
  <c r="D157" i="4" s="1"/>
  <c r="E157" i="4" s="1"/>
  <c r="F157" i="4"/>
  <c r="B158" i="4"/>
  <c r="B159" i="4" s="1"/>
  <c r="B160" i="4" s="1"/>
  <c r="F53" i="11"/>
  <c r="G53" i="11" s="1"/>
  <c r="H53" i="11" s="1"/>
  <c r="D54" i="11"/>
  <c r="E54" i="11" s="1"/>
  <c r="B55" i="11"/>
  <c r="C55" i="11" s="1"/>
  <c r="C35" i="4" l="1"/>
  <c r="B36" i="4"/>
  <c r="C160" i="4"/>
  <c r="D160" i="4" s="1"/>
  <c r="E160" i="4" s="1"/>
  <c r="F160" i="4"/>
  <c r="C158" i="4"/>
  <c r="D158" i="4" s="1"/>
  <c r="E158" i="4" s="1"/>
  <c r="F158" i="4"/>
  <c r="B161" i="4"/>
  <c r="C159" i="4"/>
  <c r="D159" i="4" s="1"/>
  <c r="E159" i="4" s="1"/>
  <c r="F159" i="4"/>
  <c r="I53" i="11"/>
  <c r="B56" i="11"/>
  <c r="C56" i="11" s="1"/>
  <c r="D55" i="11"/>
  <c r="E55" i="11" s="1"/>
  <c r="F54" i="11"/>
  <c r="G54" i="11" s="1"/>
  <c r="H54" i="11" s="1"/>
  <c r="C36" i="4" l="1"/>
  <c r="B37" i="4"/>
  <c r="B162" i="4"/>
  <c r="B163" i="4" s="1"/>
  <c r="C161" i="4"/>
  <c r="D161" i="4" s="1"/>
  <c r="E161" i="4" s="1"/>
  <c r="F161" i="4"/>
  <c r="D56" i="11"/>
  <c r="E56" i="11" s="1"/>
  <c r="B57" i="11"/>
  <c r="C57" i="11" s="1"/>
  <c r="F55" i="11"/>
  <c r="G55" i="11" s="1"/>
  <c r="I54" i="11"/>
  <c r="C37" i="4" l="1"/>
  <c r="B38" i="4"/>
  <c r="C163" i="4"/>
  <c r="D163" i="4" s="1"/>
  <c r="E163" i="4" s="1"/>
  <c r="F163" i="4"/>
  <c r="F162" i="4"/>
  <c r="C162" i="4"/>
  <c r="D162" i="4" s="1"/>
  <c r="E162" i="4" s="1"/>
  <c r="B164" i="4"/>
  <c r="F56" i="11"/>
  <c r="G56" i="11" s="1"/>
  <c r="H56" i="11" s="1"/>
  <c r="H55" i="11"/>
  <c r="I55" i="11" s="1"/>
  <c r="D57" i="11"/>
  <c r="E57" i="11" s="1"/>
  <c r="B58" i="11"/>
  <c r="C58" i="11" s="1"/>
  <c r="C38" i="4" l="1"/>
  <c r="B39" i="4"/>
  <c r="C164" i="4"/>
  <c r="D164" i="4" s="1"/>
  <c r="E164" i="4" s="1"/>
  <c r="F164" i="4"/>
  <c r="B165" i="4"/>
  <c r="F57" i="11"/>
  <c r="B59" i="11"/>
  <c r="C59" i="11" s="1"/>
  <c r="D58" i="11"/>
  <c r="E58" i="11" s="1"/>
  <c r="I56" i="11"/>
  <c r="C39" i="4" l="1"/>
  <c r="B40" i="4"/>
  <c r="C165" i="4"/>
  <c r="D165" i="4" s="1"/>
  <c r="E165" i="4" s="1"/>
  <c r="F165" i="4"/>
  <c r="B166" i="4"/>
  <c r="B167" i="4" s="1"/>
  <c r="B60" i="11"/>
  <c r="C60" i="11" s="1"/>
  <c r="D59" i="11"/>
  <c r="E59" i="11" s="1"/>
  <c r="F58" i="11"/>
  <c r="G57" i="11"/>
  <c r="H57" i="11" s="1"/>
  <c r="C40" i="4" l="1"/>
  <c r="B41" i="4"/>
  <c r="F166" i="4"/>
  <c r="C166" i="4"/>
  <c r="D166" i="4" s="1"/>
  <c r="E166" i="4" s="1"/>
  <c r="B168" i="4"/>
  <c r="C167" i="4"/>
  <c r="D167" i="4" s="1"/>
  <c r="E167" i="4" s="1"/>
  <c r="F167" i="4"/>
  <c r="G58" i="11"/>
  <c r="H58" i="11" s="1"/>
  <c r="I57" i="11"/>
  <c r="D60" i="11"/>
  <c r="E60" i="11" s="1"/>
  <c r="B61" i="11"/>
  <c r="C61" i="11" s="1"/>
  <c r="F59" i="11"/>
  <c r="C41" i="4" l="1"/>
  <c r="B42" i="4"/>
  <c r="F168" i="4"/>
  <c r="C168" i="4"/>
  <c r="D168" i="4" s="1"/>
  <c r="E168" i="4" s="1"/>
  <c r="B169" i="4"/>
  <c r="F60" i="11"/>
  <c r="G60" i="11" s="1"/>
  <c r="H60" i="11" s="1"/>
  <c r="G59" i="11"/>
  <c r="H59" i="11" s="1"/>
  <c r="I59" i="11" s="1"/>
  <c r="B62" i="11"/>
  <c r="C62" i="11" s="1"/>
  <c r="D61" i="11"/>
  <c r="E61" i="11" s="1"/>
  <c r="I58" i="11"/>
  <c r="C42" i="4" l="1"/>
  <c r="B43" i="4"/>
  <c r="C169" i="4"/>
  <c r="D169" i="4" s="1"/>
  <c r="E169" i="4" s="1"/>
  <c r="B170" i="4"/>
  <c r="F169" i="4"/>
  <c r="D62" i="11"/>
  <c r="E62" i="11" s="1"/>
  <c r="B63" i="11"/>
  <c r="C63" i="11" s="1"/>
  <c r="F61" i="11"/>
  <c r="G61" i="11" s="1"/>
  <c r="H61" i="11" s="1"/>
  <c r="I60" i="11"/>
  <c r="B44" i="4" l="1"/>
  <c r="C43" i="4"/>
  <c r="B171" i="4"/>
  <c r="F170" i="4"/>
  <c r="C170" i="4"/>
  <c r="D170" i="4" s="1"/>
  <c r="E170" i="4" s="1"/>
  <c r="B64" i="11"/>
  <c r="C64" i="11" s="1"/>
  <c r="I61" i="11"/>
  <c r="F62" i="11"/>
  <c r="D63" i="11"/>
  <c r="E63" i="11" s="1"/>
  <c r="C44" i="4" l="1"/>
  <c r="B45" i="4"/>
  <c r="C171" i="4"/>
  <c r="D171" i="4" s="1"/>
  <c r="E171" i="4" s="1"/>
  <c r="F171" i="4"/>
  <c r="B172" i="4"/>
  <c r="B65" i="11"/>
  <c r="C65" i="11" s="1"/>
  <c r="D64" i="11"/>
  <c r="E64" i="11" s="1"/>
  <c r="F63" i="11"/>
  <c r="G63" i="11" s="1"/>
  <c r="G62" i="11"/>
  <c r="H62" i="11" s="1"/>
  <c r="C45" i="4" l="1"/>
  <c r="B46" i="4"/>
  <c r="C172" i="4"/>
  <c r="D172" i="4" s="1"/>
  <c r="E172" i="4" s="1"/>
  <c r="F172" i="4"/>
  <c r="B173" i="4"/>
  <c r="H63" i="11"/>
  <c r="I63" i="11" s="1"/>
  <c r="B66" i="11"/>
  <c r="C66" i="11" s="1"/>
  <c r="D65" i="11"/>
  <c r="E65" i="11" s="1"/>
  <c r="I62" i="11"/>
  <c r="F64" i="11"/>
  <c r="G64" i="11" s="1"/>
  <c r="H64" i="11" s="1"/>
  <c r="C46" i="4" l="1"/>
  <c r="B47" i="4"/>
  <c r="F173" i="4"/>
  <c r="C173" i="4"/>
  <c r="D173" i="4" s="1"/>
  <c r="E173" i="4" s="1"/>
  <c r="B174" i="4"/>
  <c r="F65" i="11"/>
  <c r="G65" i="11" s="1"/>
  <c r="H65" i="11" s="1"/>
  <c r="B67" i="11"/>
  <c r="C67" i="11" s="1"/>
  <c r="D66" i="11"/>
  <c r="E66" i="11" s="1"/>
  <c r="I64" i="11"/>
  <c r="C47" i="4" l="1"/>
  <c r="B48" i="4"/>
  <c r="F174" i="4"/>
  <c r="C174" i="4"/>
  <c r="D174" i="4" s="1"/>
  <c r="E174" i="4" s="1"/>
  <c r="B175" i="4"/>
  <c r="I65" i="11"/>
  <c r="B68" i="11"/>
  <c r="C68" i="11" s="1"/>
  <c r="F66" i="11"/>
  <c r="G66" i="11" s="1"/>
  <c r="H66" i="11" s="1"/>
  <c r="D67" i="11"/>
  <c r="E67" i="11" s="1"/>
  <c r="B49" i="4" l="1"/>
  <c r="C48" i="4"/>
  <c r="C175" i="4"/>
  <c r="D175" i="4" s="1"/>
  <c r="E175" i="4" s="1"/>
  <c r="F175" i="4"/>
  <c r="B176" i="4"/>
  <c r="B69" i="11"/>
  <c r="C69" i="11" s="1"/>
  <c r="I66" i="11"/>
  <c r="F67" i="11"/>
  <c r="D68" i="11"/>
  <c r="E68" i="11" s="1"/>
  <c r="B50" i="4" l="1"/>
  <c r="C49" i="4"/>
  <c r="C176" i="4"/>
  <c r="D176" i="4" s="1"/>
  <c r="E176" i="4" s="1"/>
  <c r="F176" i="4"/>
  <c r="B177" i="4"/>
  <c r="B70" i="11"/>
  <c r="C70" i="11" s="1"/>
  <c r="G67" i="11"/>
  <c r="H67" i="11" s="1"/>
  <c r="I67" i="11" s="1"/>
  <c r="D69" i="11"/>
  <c r="E69" i="11" s="1"/>
  <c r="F68" i="11"/>
  <c r="G68" i="11" s="1"/>
  <c r="H68" i="11" s="1"/>
  <c r="C50" i="4" l="1"/>
  <c r="B51" i="4"/>
  <c r="F177" i="4"/>
  <c r="B178" i="4"/>
  <c r="C177" i="4"/>
  <c r="D177" i="4" s="1"/>
  <c r="E177" i="4" s="1"/>
  <c r="B71" i="11"/>
  <c r="C71" i="11" s="1"/>
  <c r="I68" i="11"/>
  <c r="F69" i="11"/>
  <c r="G69" i="11" s="1"/>
  <c r="D70" i="11"/>
  <c r="E70" i="11" s="1"/>
  <c r="B52" i="4" l="1"/>
  <c r="C51" i="4"/>
  <c r="F178" i="4"/>
  <c r="C178" i="4"/>
  <c r="D178" i="4" s="1"/>
  <c r="E178" i="4" s="1"/>
  <c r="B179" i="4"/>
  <c r="B72" i="11"/>
  <c r="C72" i="11" s="1"/>
  <c r="F70" i="11"/>
  <c r="G70" i="11" s="1"/>
  <c r="D71" i="11"/>
  <c r="E71" i="11" s="1"/>
  <c r="H69" i="11"/>
  <c r="I69" i="11" s="1"/>
  <c r="C52" i="4" l="1"/>
  <c r="B53" i="4"/>
  <c r="F179" i="4"/>
  <c r="B180" i="4"/>
  <c r="C179" i="4"/>
  <c r="D179" i="4" s="1"/>
  <c r="E179" i="4" s="1"/>
  <c r="B73" i="11"/>
  <c r="C73" i="11" s="1"/>
  <c r="F71" i="11"/>
  <c r="G71" i="11" s="1"/>
  <c r="D72" i="11"/>
  <c r="E72" i="11" s="1"/>
  <c r="H70" i="11"/>
  <c r="I70" i="11" s="1"/>
  <c r="C53" i="4" l="1"/>
  <c r="B54" i="4"/>
  <c r="F180" i="4"/>
  <c r="C180" i="4"/>
  <c r="D180" i="4" s="1"/>
  <c r="E180" i="4" s="1"/>
  <c r="B181" i="4"/>
  <c r="B74" i="11"/>
  <c r="C74" i="11" s="1"/>
  <c r="D73" i="11"/>
  <c r="E73" i="11" s="1"/>
  <c r="F72" i="11"/>
  <c r="G72" i="11" s="1"/>
  <c r="H72" i="11" s="1"/>
  <c r="I72" i="11" s="1"/>
  <c r="H71" i="11"/>
  <c r="I71" i="11" s="1"/>
  <c r="B55" i="4" l="1"/>
  <c r="C54" i="4"/>
  <c r="F181" i="4"/>
  <c r="C181" i="4"/>
  <c r="D181" i="4" s="1"/>
  <c r="E181" i="4" s="1"/>
  <c r="B182" i="4"/>
  <c r="B75" i="11"/>
  <c r="C75" i="11" s="1"/>
  <c r="F73" i="11"/>
  <c r="D74" i="11"/>
  <c r="E74" i="11" s="1"/>
  <c r="C55" i="4" l="1"/>
  <c r="B56" i="4"/>
  <c r="F182" i="4"/>
  <c r="C182" i="4"/>
  <c r="D182" i="4" s="1"/>
  <c r="E182" i="4" s="1"/>
  <c r="B183" i="4"/>
  <c r="B76" i="11"/>
  <c r="C76" i="11" s="1"/>
  <c r="G73" i="11"/>
  <c r="H73" i="11" s="1"/>
  <c r="I73" i="11" s="1"/>
  <c r="F74" i="11"/>
  <c r="G74" i="11" s="1"/>
  <c r="D75" i="11"/>
  <c r="E75" i="11" s="1"/>
  <c r="B57" i="4" l="1"/>
  <c r="C56" i="4"/>
  <c r="F183" i="4"/>
  <c r="C183" i="4"/>
  <c r="D183" i="4" s="1"/>
  <c r="E183" i="4" s="1"/>
  <c r="B184" i="4"/>
  <c r="B77" i="11"/>
  <c r="C77" i="11" s="1"/>
  <c r="F75" i="11"/>
  <c r="G75" i="11" s="1"/>
  <c r="D76" i="11"/>
  <c r="E76" i="11" s="1"/>
  <c r="H74" i="11"/>
  <c r="I74" i="11" s="1"/>
  <c r="C57" i="4" l="1"/>
  <c r="B58" i="4"/>
  <c r="F184" i="4"/>
  <c r="C184" i="4"/>
  <c r="D184" i="4" s="1"/>
  <c r="E184" i="4" s="1"/>
  <c r="B185" i="4"/>
  <c r="B78" i="11"/>
  <c r="C78" i="11" s="1"/>
  <c r="D77" i="11"/>
  <c r="E77" i="11" s="1"/>
  <c r="F76" i="11"/>
  <c r="G76" i="11" s="1"/>
  <c r="H75" i="11"/>
  <c r="I75" i="11" s="1"/>
  <c r="C58" i="4" l="1"/>
  <c r="B59" i="4"/>
  <c r="F185" i="4"/>
  <c r="C185" i="4"/>
  <c r="D185" i="4" s="1"/>
  <c r="E185" i="4" s="1"/>
  <c r="B186" i="4"/>
  <c r="B79" i="11"/>
  <c r="C79" i="11" s="1"/>
  <c r="F77" i="11"/>
  <c r="G77" i="11" s="1"/>
  <c r="D78" i="11"/>
  <c r="E78" i="11" s="1"/>
  <c r="H76" i="11"/>
  <c r="I76" i="11" s="1"/>
  <c r="C59" i="4" l="1"/>
  <c r="B60" i="4"/>
  <c r="F186" i="4"/>
  <c r="C186" i="4"/>
  <c r="D186" i="4" s="1"/>
  <c r="E186" i="4" s="1"/>
  <c r="B187" i="4"/>
  <c r="B80" i="11"/>
  <c r="C80" i="11" s="1"/>
  <c r="D79" i="11"/>
  <c r="E79" i="11" s="1"/>
  <c r="F78" i="11"/>
  <c r="G78" i="11" s="1"/>
  <c r="H78" i="11" s="1"/>
  <c r="H77" i="11"/>
  <c r="I77" i="11" s="1"/>
  <c r="B61" i="4" l="1"/>
  <c r="C60" i="4"/>
  <c r="F187" i="4"/>
  <c r="C187" i="4"/>
  <c r="D187" i="4" s="1"/>
  <c r="E187" i="4" s="1"/>
  <c r="B188" i="4"/>
  <c r="I78" i="11"/>
  <c r="B81" i="11"/>
  <c r="C81" i="11" s="1"/>
  <c r="D80" i="11"/>
  <c r="E80" i="11" s="1"/>
  <c r="F79" i="11"/>
  <c r="G79" i="11" s="1"/>
  <c r="C61" i="4" l="1"/>
  <c r="B62" i="4"/>
  <c r="F188" i="4"/>
  <c r="C188" i="4"/>
  <c r="D188" i="4" s="1"/>
  <c r="E188" i="4" s="1"/>
  <c r="B189" i="4"/>
  <c r="B82" i="11"/>
  <c r="C82" i="11" s="1"/>
  <c r="F80" i="11"/>
  <c r="G80" i="11" s="1"/>
  <c r="D81" i="11"/>
  <c r="E81" i="11" s="1"/>
  <c r="H79" i="11"/>
  <c r="I79" i="11" s="1"/>
  <c r="C62" i="4" l="1"/>
  <c r="B63" i="4"/>
  <c r="F189" i="4"/>
  <c r="C189" i="4"/>
  <c r="D189" i="4" s="1"/>
  <c r="E189" i="4" s="1"/>
  <c r="B190" i="4"/>
  <c r="B83" i="11"/>
  <c r="C83" i="11" s="1"/>
  <c r="D82" i="11"/>
  <c r="E82" i="11" s="1"/>
  <c r="F81" i="11"/>
  <c r="H80" i="11"/>
  <c r="I80" i="11" s="1"/>
  <c r="C63" i="4" l="1"/>
  <c r="B64" i="4"/>
  <c r="F190" i="4"/>
  <c r="C190" i="4"/>
  <c r="D190" i="4" s="1"/>
  <c r="E190" i="4" s="1"/>
  <c r="B191" i="4"/>
  <c r="B84" i="11"/>
  <c r="C84" i="11" s="1"/>
  <c r="G81" i="11"/>
  <c r="H81" i="11" s="1"/>
  <c r="D83" i="11"/>
  <c r="E83" i="11" s="1"/>
  <c r="F82" i="11"/>
  <c r="C64" i="4" l="1"/>
  <c r="B65" i="4"/>
  <c r="C191" i="4"/>
  <c r="D191" i="4" s="1"/>
  <c r="E191" i="4" s="1"/>
  <c r="F191" i="4"/>
  <c r="B192" i="4"/>
  <c r="B85" i="11"/>
  <c r="C85" i="11" s="1"/>
  <c r="D84" i="11"/>
  <c r="E84" i="11" s="1"/>
  <c r="F83" i="11"/>
  <c r="G83" i="11" s="1"/>
  <c r="G82" i="11"/>
  <c r="H82" i="11" s="1"/>
  <c r="I82" i="11" s="1"/>
  <c r="I81" i="11"/>
  <c r="C65" i="4" l="1"/>
  <c r="B66" i="4"/>
  <c r="F192" i="4"/>
  <c r="C192" i="4"/>
  <c r="D192" i="4" s="1"/>
  <c r="E192" i="4" s="1"/>
  <c r="B193" i="4"/>
  <c r="H83" i="11"/>
  <c r="I83" i="11" s="1"/>
  <c r="B86" i="11"/>
  <c r="C86" i="11" s="1"/>
  <c r="F84" i="11"/>
  <c r="G84" i="11" s="1"/>
  <c r="H84" i="11" s="1"/>
  <c r="I84" i="11" s="1"/>
  <c r="D85" i="11"/>
  <c r="E85" i="11" s="1"/>
  <c r="C66" i="4" l="1"/>
  <c r="B67" i="4"/>
  <c r="B194" i="4"/>
  <c r="F193" i="4"/>
  <c r="C193" i="4"/>
  <c r="D193" i="4" s="1"/>
  <c r="E193" i="4" s="1"/>
  <c r="B87" i="11"/>
  <c r="C87" i="11" s="1"/>
  <c r="D86" i="11"/>
  <c r="E86" i="11" s="1"/>
  <c r="F85" i="11"/>
  <c r="C67" i="4" l="1"/>
  <c r="B68" i="4"/>
  <c r="F194" i="4"/>
  <c r="C194" i="4"/>
  <c r="D194" i="4" s="1"/>
  <c r="E194" i="4" s="1"/>
  <c r="B195" i="4"/>
  <c r="B88" i="11"/>
  <c r="C88" i="11" s="1"/>
  <c r="G85" i="11"/>
  <c r="H85" i="11" s="1"/>
  <c r="I85" i="11" s="1"/>
  <c r="D87" i="11"/>
  <c r="E87" i="11" s="1"/>
  <c r="F86" i="11"/>
  <c r="G86" i="11" s="1"/>
  <c r="H86" i="11" s="1"/>
  <c r="I86" i="11" s="1"/>
  <c r="C68" i="4" l="1"/>
  <c r="B69" i="4"/>
  <c r="C195" i="4"/>
  <c r="D195" i="4" s="1"/>
  <c r="E195" i="4" s="1"/>
  <c r="F195" i="4"/>
  <c r="B196" i="4"/>
  <c r="B89" i="11"/>
  <c r="C89" i="11" s="1"/>
  <c r="F87" i="11"/>
  <c r="D88" i="11"/>
  <c r="E88" i="11" s="1"/>
  <c r="C69" i="4" l="1"/>
  <c r="B70" i="4"/>
  <c r="F196" i="4"/>
  <c r="C196" i="4"/>
  <c r="D196" i="4" s="1"/>
  <c r="E196" i="4" s="1"/>
  <c r="B197" i="4"/>
  <c r="B90" i="11"/>
  <c r="C90" i="11" s="1"/>
  <c r="G87" i="11"/>
  <c r="H87" i="11" s="1"/>
  <c r="I87" i="11" s="1"/>
  <c r="F88" i="11"/>
  <c r="D89" i="11"/>
  <c r="E89" i="11" s="1"/>
  <c r="C70" i="4" l="1"/>
  <c r="B71" i="4"/>
  <c r="F197" i="4"/>
  <c r="C197" i="4"/>
  <c r="D197" i="4" s="1"/>
  <c r="E197" i="4" s="1"/>
  <c r="B198" i="4"/>
  <c r="B91" i="11"/>
  <c r="C91" i="11" s="1"/>
  <c r="D90" i="11"/>
  <c r="E90" i="11" s="1"/>
  <c r="F89" i="11"/>
  <c r="G89" i="11" s="1"/>
  <c r="G88" i="11"/>
  <c r="H88" i="11" s="1"/>
  <c r="I88" i="11" s="1"/>
  <c r="C71" i="4" l="1"/>
  <c r="B72" i="4"/>
  <c r="C198" i="4"/>
  <c r="D198" i="4" s="1"/>
  <c r="E198" i="4" s="1"/>
  <c r="B199" i="4"/>
  <c r="F198" i="4"/>
  <c r="H89" i="11"/>
  <c r="I89" i="11" s="1"/>
  <c r="B92" i="11"/>
  <c r="C92" i="11" s="1"/>
  <c r="F90" i="11"/>
  <c r="G90" i="11" s="1"/>
  <c r="D91" i="11"/>
  <c r="E91" i="11" s="1"/>
  <c r="C72" i="4" l="1"/>
  <c r="B73" i="4"/>
  <c r="F199" i="4"/>
  <c r="C199" i="4"/>
  <c r="D199" i="4" s="1"/>
  <c r="E199" i="4" s="1"/>
  <c r="B200" i="4"/>
  <c r="B93" i="11"/>
  <c r="C93" i="11" s="1"/>
  <c r="H90" i="11"/>
  <c r="I90" i="11" s="1"/>
  <c r="F91" i="11"/>
  <c r="G91" i="11" s="1"/>
  <c r="D92" i="11"/>
  <c r="E92" i="11" s="1"/>
  <c r="C73" i="4" l="1"/>
  <c r="B74" i="4"/>
  <c r="C200" i="4"/>
  <c r="D200" i="4" s="1"/>
  <c r="E200" i="4" s="1"/>
  <c r="F200" i="4"/>
  <c r="B201" i="4"/>
  <c r="B94" i="11"/>
  <c r="C94" i="11" s="1"/>
  <c r="F92" i="11"/>
  <c r="G92" i="11" s="1"/>
  <c r="H92" i="11" s="1"/>
  <c r="D93" i="11"/>
  <c r="E93" i="11" s="1"/>
  <c r="H91" i="11"/>
  <c r="I91" i="11" s="1"/>
  <c r="C74" i="4" l="1"/>
  <c r="B75" i="4"/>
  <c r="F201" i="4"/>
  <c r="C201" i="4"/>
  <c r="D201" i="4" s="1"/>
  <c r="E201" i="4" s="1"/>
  <c r="B202" i="4"/>
  <c r="I92" i="11"/>
  <c r="B95" i="11"/>
  <c r="C95" i="11" s="1"/>
  <c r="F93" i="11"/>
  <c r="G93" i="11" s="1"/>
  <c r="D94" i="11"/>
  <c r="E94" i="11" s="1"/>
  <c r="C75" i="4" l="1"/>
  <c r="B76" i="4"/>
  <c r="C202" i="4"/>
  <c r="D202" i="4" s="1"/>
  <c r="E202" i="4" s="1"/>
  <c r="F202" i="4"/>
  <c r="B203" i="4"/>
  <c r="B96" i="11"/>
  <c r="C96" i="11" s="1"/>
  <c r="F94" i="11"/>
  <c r="G94" i="11" s="1"/>
  <c r="D95" i="11"/>
  <c r="E95" i="11" s="1"/>
  <c r="H93" i="11"/>
  <c r="I93" i="11" s="1"/>
  <c r="C76" i="4" l="1"/>
  <c r="B77" i="4"/>
  <c r="F203" i="4"/>
  <c r="C203" i="4"/>
  <c r="D203" i="4" s="1"/>
  <c r="E203" i="4" s="1"/>
  <c r="B204" i="4"/>
  <c r="B97" i="11"/>
  <c r="C97" i="11" s="1"/>
  <c r="F95" i="11"/>
  <c r="G95" i="11" s="1"/>
  <c r="H95" i="11" s="1"/>
  <c r="I95" i="11" s="1"/>
  <c r="D96" i="11"/>
  <c r="E96" i="11" s="1"/>
  <c r="H94" i="11"/>
  <c r="I94" i="11" s="1"/>
  <c r="C77" i="4" l="1"/>
  <c r="B78" i="4"/>
  <c r="C204" i="4"/>
  <c r="D204" i="4" s="1"/>
  <c r="E204" i="4" s="1"/>
  <c r="F204" i="4"/>
  <c r="B205" i="4"/>
  <c r="B98" i="11"/>
  <c r="C98" i="11" s="1"/>
  <c r="F96" i="11"/>
  <c r="G96" i="11" s="1"/>
  <c r="D97" i="11"/>
  <c r="E97" i="11" s="1"/>
  <c r="C78" i="4" l="1"/>
  <c r="B79" i="4"/>
  <c r="C205" i="4"/>
  <c r="D205" i="4" s="1"/>
  <c r="E205" i="4" s="1"/>
  <c r="B206" i="4"/>
  <c r="F205" i="4"/>
  <c r="B99" i="11"/>
  <c r="C99" i="11" s="1"/>
  <c r="D98" i="11"/>
  <c r="E98" i="11" s="1"/>
  <c r="F97" i="11"/>
  <c r="G97" i="11" s="1"/>
  <c r="H96" i="11"/>
  <c r="I96" i="11" s="1"/>
  <c r="B86" i="4"/>
  <c r="C79" i="4" l="1"/>
  <c r="B80" i="4"/>
  <c r="F206" i="4"/>
  <c r="C206" i="4"/>
  <c r="D206" i="4" s="1"/>
  <c r="E206" i="4" s="1"/>
  <c r="B207" i="4"/>
  <c r="B100" i="11"/>
  <c r="C100" i="11" s="1"/>
  <c r="D99" i="11"/>
  <c r="E99" i="11" s="1"/>
  <c r="F98" i="11"/>
  <c r="H97" i="11"/>
  <c r="I97" i="11" s="1"/>
  <c r="C86" i="4"/>
  <c r="B87" i="4"/>
  <c r="C80" i="4" l="1"/>
  <c r="B81" i="4"/>
  <c r="F207" i="4"/>
  <c r="B208" i="4"/>
  <c r="B209" i="4" s="1"/>
  <c r="B210" i="4" s="1"/>
  <c r="C207" i="4"/>
  <c r="D207" i="4" s="1"/>
  <c r="E207" i="4" s="1"/>
  <c r="B101" i="11"/>
  <c r="C101" i="11" s="1"/>
  <c r="G98" i="11"/>
  <c r="H98" i="11" s="1"/>
  <c r="I98" i="11" s="1"/>
  <c r="D100" i="11"/>
  <c r="E100" i="11" s="1"/>
  <c r="F99" i="11"/>
  <c r="G99" i="11" s="1"/>
  <c r="C87" i="4"/>
  <c r="B88" i="4"/>
  <c r="C81" i="4" l="1"/>
  <c r="B82" i="4"/>
  <c r="F209" i="4"/>
  <c r="C208" i="4"/>
  <c r="D208" i="4" s="1"/>
  <c r="E208" i="4" s="1"/>
  <c r="F208" i="4"/>
  <c r="C209" i="4"/>
  <c r="D209" i="4" s="1"/>
  <c r="E209" i="4" s="1"/>
  <c r="B102" i="11"/>
  <c r="C102" i="11" s="1"/>
  <c r="H99" i="11"/>
  <c r="I99" i="11" s="1"/>
  <c r="D101" i="11"/>
  <c r="E101" i="11" s="1"/>
  <c r="F100" i="11"/>
  <c r="C88" i="4"/>
  <c r="B89" i="4"/>
  <c r="F210" i="4"/>
  <c r="C210" i="4"/>
  <c r="D210" i="4" s="1"/>
  <c r="E210" i="4" s="1"/>
  <c r="B211" i="4"/>
  <c r="B83" i="4" l="1"/>
  <c r="C82" i="4"/>
  <c r="B103" i="11"/>
  <c r="C103" i="11" s="1"/>
  <c r="F101" i="11"/>
  <c r="G101" i="11" s="1"/>
  <c r="D102" i="11"/>
  <c r="E102" i="11" s="1"/>
  <c r="G100" i="11"/>
  <c r="H100" i="11" s="1"/>
  <c r="I100" i="11" s="1"/>
  <c r="C89" i="4"/>
  <c r="B90" i="4"/>
  <c r="F211" i="4"/>
  <c r="C211" i="4"/>
  <c r="D211" i="4" s="1"/>
  <c r="E211" i="4" s="1"/>
  <c r="B212" i="4"/>
  <c r="C83" i="4" l="1"/>
  <c r="B84" i="4"/>
  <c r="H101" i="11"/>
  <c r="I101" i="11" s="1"/>
  <c r="B104" i="11"/>
  <c r="C104" i="11" s="1"/>
  <c r="F102" i="11"/>
  <c r="G102" i="11" s="1"/>
  <c r="H102" i="11" s="1"/>
  <c r="D103" i="11"/>
  <c r="E103" i="11" s="1"/>
  <c r="C90" i="4"/>
  <c r="B91" i="4"/>
  <c r="F212" i="4"/>
  <c r="C212" i="4"/>
  <c r="D212" i="4" s="1"/>
  <c r="E212" i="4" s="1"/>
  <c r="B213" i="4"/>
  <c r="C84" i="4" l="1"/>
  <c r="B85" i="4"/>
  <c r="C85" i="4" s="1"/>
  <c r="I102" i="11"/>
  <c r="B105" i="11"/>
  <c r="C105" i="11" s="1"/>
  <c r="F103" i="11"/>
  <c r="G103" i="11" s="1"/>
  <c r="D104" i="11"/>
  <c r="E104" i="11" s="1"/>
  <c r="C91" i="4"/>
  <c r="B92" i="4"/>
  <c r="F213" i="4"/>
  <c r="C213" i="4"/>
  <c r="D213" i="4" s="1"/>
  <c r="E213" i="4" s="1"/>
  <c r="B214" i="4"/>
  <c r="B106" i="11" l="1"/>
  <c r="C106" i="11" s="1"/>
  <c r="F104" i="11"/>
  <c r="D105" i="11"/>
  <c r="E105" i="11" s="1"/>
  <c r="H103" i="11"/>
  <c r="I103" i="11" s="1"/>
  <c r="C92" i="4"/>
  <c r="B93" i="4"/>
  <c r="F214" i="4"/>
  <c r="C214" i="4"/>
  <c r="D214" i="4" s="1"/>
  <c r="E214" i="4" s="1"/>
  <c r="B215" i="4"/>
  <c r="B107" i="11" l="1"/>
  <c r="C107" i="11" s="1"/>
  <c r="G104" i="11"/>
  <c r="H104" i="11" s="1"/>
  <c r="I104" i="11" s="1"/>
  <c r="D106" i="11"/>
  <c r="E106" i="11" s="1"/>
  <c r="F105" i="11"/>
  <c r="G105" i="11" s="1"/>
  <c r="H105" i="11" s="1"/>
  <c r="C93" i="4"/>
  <c r="B94" i="4"/>
  <c r="F215" i="4"/>
  <c r="C215" i="4"/>
  <c r="D215" i="4" s="1"/>
  <c r="E215" i="4" s="1"/>
  <c r="B216" i="4"/>
  <c r="B108" i="11" l="1"/>
  <c r="C108" i="11" s="1"/>
  <c r="I105" i="11"/>
  <c r="F106" i="11"/>
  <c r="G106" i="11" s="1"/>
  <c r="H106" i="11" s="1"/>
  <c r="D107" i="11"/>
  <c r="E107" i="11" s="1"/>
  <c r="C94" i="4"/>
  <c r="B95" i="4"/>
  <c r="F216" i="4"/>
  <c r="C216" i="4"/>
  <c r="D216" i="4" s="1"/>
  <c r="E216" i="4" s="1"/>
  <c r="B217" i="4"/>
  <c r="B109" i="11" l="1"/>
  <c r="C109" i="11" s="1"/>
  <c r="I106" i="11"/>
  <c r="F107" i="11"/>
  <c r="G107" i="11" s="1"/>
  <c r="H107" i="11" s="1"/>
  <c r="I107" i="11" s="1"/>
  <c r="D108" i="11"/>
  <c r="E108" i="11" s="1"/>
  <c r="C95" i="4"/>
  <c r="B96" i="4"/>
  <c r="F217" i="4"/>
  <c r="C217" i="4"/>
  <c r="D217" i="4" s="1"/>
  <c r="E217" i="4" s="1"/>
  <c r="B218" i="4"/>
  <c r="B110" i="11" l="1"/>
  <c r="C110" i="11" s="1"/>
  <c r="F108" i="11"/>
  <c r="G108" i="11" s="1"/>
  <c r="H108" i="11" s="1"/>
  <c r="D109" i="11"/>
  <c r="E109" i="11" s="1"/>
  <c r="C96" i="4"/>
  <c r="B97" i="4"/>
  <c r="F218" i="4"/>
  <c r="C218" i="4"/>
  <c r="D218" i="4" s="1"/>
  <c r="E218" i="4" s="1"/>
  <c r="B219" i="4"/>
  <c r="B111" i="11" l="1"/>
  <c r="C111" i="11" s="1"/>
  <c r="D110" i="11"/>
  <c r="E110" i="11" s="1"/>
  <c r="F109" i="11"/>
  <c r="G109" i="11" s="1"/>
  <c r="H109" i="11" s="1"/>
  <c r="I109" i="11" s="1"/>
  <c r="I108" i="11"/>
  <c r="C97" i="4"/>
  <c r="B98" i="4"/>
  <c r="F219" i="4"/>
  <c r="C219" i="4"/>
  <c r="D219" i="4" s="1"/>
  <c r="E219" i="4" s="1"/>
  <c r="B220" i="4"/>
  <c r="B112" i="11" l="1"/>
  <c r="C112" i="11" s="1"/>
  <c r="F110" i="11"/>
  <c r="D111" i="11"/>
  <c r="E111" i="11" s="1"/>
  <c r="C98" i="4"/>
  <c r="B99" i="4"/>
  <c r="F220" i="4"/>
  <c r="C220" i="4"/>
  <c r="D220" i="4" s="1"/>
  <c r="E220" i="4" s="1"/>
  <c r="B221" i="4"/>
  <c r="B113" i="11" l="1"/>
  <c r="C113" i="11" s="1"/>
  <c r="G110" i="11"/>
  <c r="H110" i="11" s="1"/>
  <c r="I110" i="11" s="1"/>
  <c r="D112" i="11"/>
  <c r="E112" i="11" s="1"/>
  <c r="F111" i="11"/>
  <c r="C99" i="4"/>
  <c r="B100" i="4"/>
  <c r="F221" i="4"/>
  <c r="C221" i="4"/>
  <c r="D221" i="4" s="1"/>
  <c r="E221" i="4" s="1"/>
  <c r="B222" i="4"/>
  <c r="B114" i="11" l="1"/>
  <c r="C114" i="11" s="1"/>
  <c r="G111" i="11"/>
  <c r="H111" i="11" s="1"/>
  <c r="F112" i="11"/>
  <c r="G112" i="11" s="1"/>
  <c r="H112" i="11" s="1"/>
  <c r="D113" i="11"/>
  <c r="E113" i="11" s="1"/>
  <c r="C100" i="4"/>
  <c r="B101" i="4"/>
  <c r="F222" i="4"/>
  <c r="F223" i="4" s="1"/>
  <c r="F225" i="4" s="1"/>
  <c r="C222" i="4"/>
  <c r="I112" i="11" l="1"/>
  <c r="I111" i="11"/>
  <c r="D114" i="11"/>
  <c r="E114" i="11" s="1"/>
  <c r="F113" i="11"/>
  <c r="G113" i="11" s="1"/>
  <c r="D222" i="4"/>
  <c r="D223" i="4" s="1"/>
  <c r="D225" i="4" s="1"/>
  <c r="C223" i="4"/>
  <c r="C225" i="4" s="1"/>
  <c r="C101" i="4"/>
  <c r="B102" i="4"/>
  <c r="E222" i="4" l="1"/>
  <c r="E223" i="4" s="1"/>
  <c r="E225" i="4" s="1"/>
  <c r="F114" i="11"/>
  <c r="G114" i="11" s="1"/>
  <c r="H114" i="11" s="1"/>
  <c r="H113" i="11"/>
  <c r="I113" i="11" s="1"/>
  <c r="C102" i="4"/>
  <c r="B103" i="4"/>
  <c r="I114" i="11" l="1"/>
  <c r="C103" i="4"/>
  <c r="B104" i="4"/>
  <c r="C104" i="4" l="1"/>
  <c r="I150" i="4" s="1"/>
  <c r="B105" i="4"/>
  <c r="C105" i="4" s="1"/>
  <c r="I183" i="4" l="1"/>
  <c r="J157" i="4"/>
  <c r="J154" i="4"/>
  <c r="J146" i="4"/>
  <c r="J176" i="4"/>
  <c r="J153" i="4"/>
  <c r="J141" i="4"/>
  <c r="J162" i="4"/>
  <c r="J163" i="4"/>
  <c r="J214" i="4"/>
  <c r="J161" i="4"/>
  <c r="J189" i="4"/>
  <c r="J212" i="4"/>
  <c r="J194" i="4"/>
  <c r="J201" i="4"/>
  <c r="J221" i="4"/>
  <c r="J182" i="4"/>
  <c r="J181" i="4"/>
  <c r="J150" i="4"/>
  <c r="J215" i="4"/>
  <c r="J137" i="4"/>
  <c r="J156" i="4"/>
  <c r="J178" i="4"/>
  <c r="J155" i="4"/>
  <c r="J172" i="4"/>
  <c r="J196" i="4"/>
  <c r="J151" i="4"/>
  <c r="J191" i="4"/>
  <c r="J148" i="4"/>
  <c r="J197" i="4"/>
  <c r="J179" i="4"/>
  <c r="J217" i="4"/>
  <c r="J159" i="4"/>
  <c r="J138" i="4"/>
  <c r="J169" i="4"/>
  <c r="J219" i="4"/>
  <c r="J192" i="4"/>
  <c r="J177" i="4"/>
  <c r="J188" i="4"/>
  <c r="J198" i="4"/>
  <c r="J213" i="4"/>
  <c r="J199" i="4"/>
  <c r="J165" i="4"/>
  <c r="J193" i="4"/>
  <c r="J208" i="4"/>
  <c r="J209" i="4"/>
  <c r="J207" i="4"/>
  <c r="I185" i="4"/>
  <c r="I186" i="4"/>
  <c r="I151" i="4"/>
  <c r="J185" i="4"/>
  <c r="J222" i="4"/>
  <c r="I211" i="4"/>
  <c r="I203" i="4"/>
  <c r="I156" i="4"/>
  <c r="I155" i="4"/>
  <c r="I171" i="4"/>
  <c r="I173" i="4"/>
  <c r="I216" i="4"/>
  <c r="J142" i="4"/>
  <c r="I222" i="4"/>
  <c r="I154" i="4"/>
  <c r="I189" i="4"/>
  <c r="J164" i="4"/>
  <c r="I174" i="4"/>
  <c r="I161" i="4"/>
  <c r="I152" i="4"/>
  <c r="J145" i="4"/>
  <c r="I215" i="4"/>
  <c r="I213" i="4"/>
  <c r="I180" i="4"/>
  <c r="I221" i="4"/>
  <c r="I195" i="4"/>
  <c r="J211" i="4"/>
  <c r="J186" i="4"/>
  <c r="J206" i="4"/>
  <c r="J203" i="4"/>
  <c r="I176" i="4"/>
  <c r="J171" i="4"/>
  <c r="J210" i="4"/>
  <c r="I181" i="4"/>
  <c r="J173" i="4"/>
  <c r="I163" i="4"/>
  <c r="I202" i="4"/>
  <c r="I178" i="4"/>
  <c r="J205" i="4"/>
  <c r="J170" i="4"/>
  <c r="I218" i="4"/>
  <c r="J166" i="4"/>
  <c r="I169" i="4"/>
  <c r="I153" i="4"/>
  <c r="J149" i="4"/>
  <c r="J160" i="4"/>
  <c r="I177" i="4"/>
  <c r="J190" i="4"/>
  <c r="I196" i="4"/>
  <c r="J216" i="4"/>
  <c r="I190" i="4"/>
  <c r="J202" i="4"/>
  <c r="I164" i="4"/>
  <c r="J175" i="4"/>
  <c r="I159" i="4"/>
  <c r="I219" i="4"/>
  <c r="J195" i="4"/>
  <c r="I206" i="4"/>
  <c r="J158" i="4"/>
  <c r="J139" i="4"/>
  <c r="I170" i="4"/>
  <c r="J220" i="4"/>
  <c r="J152" i="4"/>
  <c r="I157" i="4"/>
  <c r="I160" i="4"/>
  <c r="J143" i="4"/>
  <c r="J204" i="4"/>
  <c r="I199" i="4"/>
  <c r="I162" i="4"/>
  <c r="I204" i="4"/>
  <c r="J200" i="4"/>
  <c r="J147" i="4"/>
  <c r="J140" i="4"/>
  <c r="J218" i="4"/>
  <c r="J183" i="4"/>
  <c r="I197" i="4"/>
  <c r="I193" i="4"/>
  <c r="I158" i="4"/>
  <c r="I184" i="4"/>
  <c r="J174" i="4"/>
  <c r="I217" i="4"/>
  <c r="I194" i="4"/>
  <c r="I201" i="4"/>
  <c r="J184" i="4"/>
  <c r="I191" i="4"/>
  <c r="J168" i="4"/>
  <c r="J167" i="4"/>
  <c r="J180" i="4"/>
  <c r="I198" i="4"/>
  <c r="I175" i="4"/>
  <c r="J187" i="4"/>
  <c r="I208" i="4"/>
  <c r="I205" i="4"/>
  <c r="I188" i="4"/>
  <c r="I209" i="4"/>
  <c r="I212" i="4"/>
  <c r="J144" i="4"/>
  <c r="I179" i="4"/>
  <c r="I210" i="4"/>
  <c r="I187" i="4"/>
  <c r="I200" i="4"/>
  <c r="I182" i="4"/>
  <c r="I207" i="4"/>
  <c r="I165" i="4"/>
  <c r="I214" i="4"/>
  <c r="I166" i="4"/>
  <c r="I172" i="4"/>
  <c r="I168" i="4"/>
  <c r="I167" i="4"/>
  <c r="I192" i="4"/>
  <c r="I220" i="4"/>
  <c r="J127" i="4"/>
  <c r="J131" i="4"/>
  <c r="J136" i="4"/>
  <c r="J132" i="4"/>
  <c r="J134" i="4"/>
  <c r="J124" i="4"/>
  <c r="J129" i="4"/>
  <c r="J126" i="4"/>
  <c r="J123" i="4"/>
  <c r="J224" i="4" s="1"/>
  <c r="E260" i="13" s="1"/>
  <c r="J125" i="4"/>
  <c r="J133" i="4"/>
  <c r="J130" i="4"/>
  <c r="J128" i="4"/>
  <c r="J135" i="4"/>
  <c r="I149" i="4"/>
  <c r="I148" i="4"/>
  <c r="I143" i="4"/>
  <c r="I147" i="4"/>
  <c r="I125" i="4"/>
  <c r="I137" i="4"/>
  <c r="I128" i="4"/>
  <c r="I144" i="4"/>
  <c r="I131" i="4"/>
  <c r="I140" i="4"/>
  <c r="I129" i="4"/>
  <c r="I146" i="4"/>
  <c r="I9" i="4"/>
  <c r="I126" i="4"/>
  <c r="I133" i="4"/>
  <c r="I141" i="4"/>
  <c r="I145" i="4"/>
  <c r="I135" i="4"/>
  <c r="I130" i="4"/>
  <c r="I142" i="4"/>
  <c r="I124" i="4"/>
  <c r="I139" i="4"/>
  <c r="I127" i="4"/>
  <c r="I123" i="4"/>
  <c r="C259" i="13" s="1"/>
  <c r="I134" i="4"/>
  <c r="I136" i="4"/>
  <c r="I138" i="4"/>
  <c r="I132" i="4"/>
  <c r="C260" i="13" l="1"/>
  <c r="J223" i="4"/>
  <c r="E146" i="8"/>
  <c r="C151" i="8" s="1"/>
  <c r="E155" i="8" s="1"/>
  <c r="D261" i="13"/>
  <c r="C88" i="8"/>
  <c r="E261" i="13"/>
  <c r="F261" i="13" s="1"/>
  <c r="C146" i="8"/>
  <c r="C149" i="8" s="1"/>
  <c r="D88" i="8"/>
  <c r="D146" i="8"/>
  <c r="J110" i="4"/>
  <c r="C143" i="8"/>
  <c r="C144" i="8" s="1"/>
  <c r="C145" i="8" s="1"/>
  <c r="I223" i="4"/>
  <c r="D259" i="13" s="1"/>
  <c r="B270" i="13"/>
  <c r="E143" i="8"/>
  <c r="D143" i="8"/>
  <c r="D144" i="8" s="1"/>
  <c r="D145" i="8" s="1"/>
  <c r="I224" i="4"/>
  <c r="D260" i="13" l="1"/>
  <c r="J225" i="4"/>
  <c r="F260" i="13" s="1"/>
  <c r="C150" i="8"/>
  <c r="D155" i="8" s="1"/>
  <c r="C155" i="8"/>
  <c r="E144" i="8"/>
  <c r="E145" i="8" s="1"/>
  <c r="C91" i="8"/>
  <c r="C89" i="8"/>
  <c r="C90" i="8"/>
  <c r="C138" i="8" s="1"/>
  <c r="E259" i="13"/>
  <c r="I225" i="4"/>
  <c r="F259" i="13" s="1"/>
  <c r="D76" i="8"/>
  <c r="C76" i="8"/>
  <c r="D91" i="8"/>
  <c r="D89" i="8"/>
  <c r="D90" i="8"/>
  <c r="B150" i="8"/>
  <c r="C186" i="8" s="1"/>
  <c r="D186" i="8" s="1"/>
  <c r="D154" i="8"/>
  <c r="B149" i="8"/>
  <c r="D181" i="8" s="1"/>
  <c r="C154" i="8"/>
  <c r="D83" i="8" l="1"/>
  <c r="C83" i="8"/>
  <c r="D138" i="8"/>
  <c r="B122" i="8" s="1"/>
  <c r="C181" i="8"/>
  <c r="C182" i="8" s="1"/>
  <c r="D182" i="8" s="1"/>
  <c r="D77" i="8"/>
  <c r="D79" i="8"/>
  <c r="D101" i="8" s="1"/>
  <c r="D78" i="8"/>
  <c r="D99" i="8" s="1"/>
  <c r="D95" i="8"/>
  <c r="C77" i="8"/>
  <c r="C95" i="8"/>
  <c r="C79" i="8"/>
  <c r="C101" i="8" s="1"/>
  <c r="C78" i="8"/>
  <c r="C99" i="8" s="1"/>
  <c r="E127" i="8"/>
  <c r="B121" i="8"/>
  <c r="B151" i="8"/>
  <c r="E154" i="8"/>
  <c r="E130" i="8" l="1"/>
  <c r="C84" i="8"/>
  <c r="C105" i="8"/>
  <c r="D84" i="8"/>
  <c r="D105" i="8"/>
  <c r="E181" i="8"/>
  <c r="E178" i="8"/>
  <c r="E160" i="8" s="1"/>
  <c r="E186" i="8"/>
  <c r="I186" i="13"/>
  <c r="I187" i="13"/>
  <c r="I188" i="13"/>
  <c r="C178" i="8"/>
  <c r="I185" i="13"/>
  <c r="C133" i="8"/>
  <c r="C97" i="8"/>
  <c r="D97" i="8"/>
  <c r="D133" i="8"/>
  <c r="D107" i="8" l="1"/>
  <c r="D136" i="8"/>
  <c r="C136" i="8"/>
  <c r="C107" i="8"/>
  <c r="D197" i="8"/>
  <c r="F197" i="8" s="1"/>
  <c r="C160" i="8"/>
  <c r="E182" i="8"/>
  <c r="C197" i="8" s="1"/>
  <c r="E197" i="8" s="1"/>
  <c r="I189" i="13"/>
  <c r="I184" i="13"/>
  <c r="I183" i="13"/>
  <c r="I182" i="13"/>
  <c r="C111" i="8"/>
  <c r="D134" i="8"/>
  <c r="C110" i="8"/>
  <c r="C134" i="8"/>
  <c r="D127" i="8" l="1"/>
  <c r="B115" i="8"/>
  <c r="D130" i="8"/>
  <c r="B116" i="8"/>
  <c r="C201" i="8"/>
  <c r="D201" i="8" s="1"/>
  <c r="E106" i="1"/>
  <c r="B127" i="8"/>
  <c r="D163" i="8" s="1"/>
  <c r="C127" i="8"/>
  <c r="B110" i="8"/>
  <c r="B130" i="8"/>
  <c r="D168" i="8" s="1"/>
  <c r="B111" i="8"/>
  <c r="C130" i="8"/>
  <c r="C168" i="8" l="1"/>
  <c r="C170" i="8"/>
  <c r="E168" i="8"/>
  <c r="E170" i="8"/>
  <c r="E169" i="8" s="1"/>
  <c r="D170" i="8"/>
  <c r="D169" i="8" s="1"/>
  <c r="C165" i="8"/>
  <c r="E165" i="8"/>
  <c r="E164" i="8" s="1"/>
  <c r="D165" i="8"/>
  <c r="D164" i="8" s="1"/>
  <c r="E163" i="8"/>
  <c r="C163" i="8"/>
  <c r="D194" i="8" l="1"/>
  <c r="F194" i="8" s="1"/>
  <c r="C164" i="8"/>
  <c r="C194" i="8"/>
  <c r="C169" i="8"/>
  <c r="E190" i="8" l="1"/>
  <c r="E194" i="8"/>
  <c r="C200" i="8" s="1"/>
  <c r="C202" i="8" l="1"/>
  <c r="D200" i="8"/>
  <c r="D202" i="8" s="1"/>
</calcChain>
</file>

<file path=xl/comments1.xml><?xml version="1.0" encoding="utf-8"?>
<comments xmlns="http://schemas.openxmlformats.org/spreadsheetml/2006/main">
  <authors>
    <author>Ross Smith IV</author>
    <author>Paul Galjan</author>
    <author>rosssmi</author>
    <author>David Mosier</author>
    <author>David Mosier (MCS)</author>
  </authors>
  <commentList>
    <comment ref="B22" authorId="0" shapeId="0">
      <text>
        <r>
          <rPr>
            <sz val="9"/>
            <color indexed="81"/>
            <rFont val="Tahoma"/>
            <family val="2"/>
          </rPr>
          <t>Select the type of Global Catalog server architecture you will be utilizing in your Exchange environment.  This choice will affect your core ratio planning for global catalogs.</t>
        </r>
      </text>
    </comment>
    <comment ref="E22" authorId="0" shapeId="0">
      <text>
        <r>
          <rPr>
            <sz val="9"/>
            <color indexed="81"/>
            <rFont val="Tahoma"/>
            <family val="2"/>
          </rPr>
          <t>Select Yes if you plan to deploy mailbox resiliency in a site resilient configuration.</t>
        </r>
      </text>
    </comment>
    <comment ref="B23" authorId="0" shapeId="0">
      <text>
        <r>
          <rPr>
            <sz val="9"/>
            <color indexed="81"/>
            <rFont val="Tahoma"/>
            <family val="2"/>
          </rPr>
          <t>Select Yes if you plan to deploy the Mailbox and Client Access server roles on the same server as this affects server memory sizing from a storage sizing perspective.</t>
        </r>
      </text>
    </comment>
    <comment ref="E23" authorId="0" shapeId="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For the namespace or datacenter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There are two types of Active/Active user distribution models:
1. Active/Active (Single DAG) - This model stretches a DAG across the two datacenters and has active mailboxes located in each datacenter.  A corresponding passive copy is located in the alternate datacenter.  This scenario does have a single point of failure (potentially), the WAN connection; however, this can be mitigated by placing the Witness server in a third datacenter.  Loss of the WAN connection will result in the mailbox servers in one of the datacenters going into a failed state from a failover cluster perspective (due to loss of quorum):
----DC1---                                                                          ----DC2----
DAG1                                                                                       DAG1 
Active Copies                                                                    Active Copies
Passive Copies                                                                 Passive Copies
2.  Active/Active (Multiple DAGs) - This model leverages multiple DAGs to remove single points of failure (e.g., the WAN).  In this model, there are least two DAGs, with each DAG having its active copies in the alternate datacenter:
----DC1---                                                                          ----DC2----
DAG1 (Active/Passive Copies)                                DAG1 (Passive Copies)
DAG2 (Passive Copies)                                               DAG2 (Active/Passive Copies)
</t>
        </r>
      </text>
    </comment>
    <comment ref="B24" authorId="0" shapeId="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E24" authorId="1" shapeId="0">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shapeId="0">
      <text>
        <r>
          <rPr>
            <sz val="9"/>
            <color indexed="81"/>
            <rFont val="Tahoma"/>
            <family val="2"/>
          </rPr>
          <t>Enabling High Availability has additional requirements in terms of storage, CPU, and memory.</t>
        </r>
      </text>
    </comment>
    <comment ref="E25" authorId="0" shapeId="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0" shapeId="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E26"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7" authorId="0" shapeId="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B30" authorId="0" shapeId="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E30"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31" authorId="0" shapeId="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E31" authorId="0" shapeId="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2" authorId="0" shapeId="0">
      <text>
        <r>
          <rPr>
            <sz val="9"/>
            <color indexed="81"/>
            <rFont val="Tahoma"/>
            <family val="2"/>
          </rPr>
          <t>Enter the number of database copies (non-lagged) that reside in the second datacenter for the database availability group.</t>
        </r>
      </text>
    </comment>
    <comment ref="E32" authorId="0" shapeId="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3" authorId="0" shapeId="0">
      <text>
        <r>
          <rPr>
            <sz val="9"/>
            <color indexed="81"/>
            <rFont val="Tahoma"/>
            <family val="2"/>
          </rPr>
          <t>Enter the number of lagged database copies you plan to deploy in the second datacenter.</t>
        </r>
      </text>
    </comment>
    <comment ref="B36" authorId="2" shapeId="0">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value to use is 20-30%.   </t>
        </r>
      </text>
    </comment>
    <comment ref="E36" authorId="0" shapeId="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No to this question, otherwise use the default settings by selecting Yes.</t>
        </r>
      </text>
    </comment>
    <comment ref="B37" authorId="0" shapeId="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E37" authorId="0" shapeId="0">
      <text>
        <r>
          <rPr>
            <sz val="8"/>
            <color indexed="81"/>
            <rFont val="Tahoma"/>
            <family val="2"/>
          </rPr>
          <t>Enter in a custom maximum database size you would like to design toward. 
Note: You must select "No" to the question "Use Recommended Maximum Database Sizes" in order for this value to be utilized.</t>
        </r>
      </text>
    </comment>
    <comment ref="B38" authorId="0" shapeId="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E38" authorId="0" shapeId="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9" authorId="0" shapeId="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E39" authorId="0" shapeId="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40" authorId="0" shapeId="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E40"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1" authorId="0" shapeId="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B44" authorId="0" shapeId="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E44" authorId="0" shapeId="0">
      <text>
        <r>
          <rPr>
            <sz val="9"/>
            <color indexed="81"/>
            <rFont val="Tahoma"/>
            <family val="2"/>
          </rPr>
          <t>The number of days a message can remain in a transport queue before it is expired.  This value maps to the MessageExpirationTimeout paramter on Set-TransportService.  The default value is 2 days.</t>
        </r>
      </text>
    </comment>
    <comment ref="B45" authorId="0" shapeId="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E45" authorId="0" shapeId="0">
      <text>
        <r>
          <rPr>
            <sz val="9"/>
            <color indexed="81"/>
            <rFont val="Tahoma"/>
            <family val="2"/>
          </rPr>
          <t>The number of days a message can remain in the Safety Net queue before it is expired.  This value maps to the SafetyNetHoldTime paramter on Set-TransportConfig.  The default is 2 days.  The value you set for this should be equal to or greater than ReplayLagTime.</t>
        </r>
      </text>
    </comment>
    <comment ref="B52" authorId="0" shapeId="0">
      <text>
        <r>
          <rPr>
            <sz val="9"/>
            <color indexed="81"/>
            <rFont val="Tahoma"/>
            <family val="2"/>
          </rPr>
          <t>Select the number of days considered to be a work-week for your environment.</t>
        </r>
      </text>
    </comment>
    <comment ref="B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60" authorId="2" shapeId="0">
      <text>
        <r>
          <rPr>
            <sz val="8"/>
            <color indexed="81"/>
            <rFont val="Tahoma"/>
            <family val="2"/>
          </rPr>
          <t>Send/Receive Quota Limit that will be used for the majority of the mailboxes.</t>
        </r>
      </text>
    </comment>
    <comment ref="E60" authorId="2" shapeId="0">
      <text>
        <r>
          <rPr>
            <sz val="8"/>
            <color indexed="81"/>
            <rFont val="Tahoma"/>
            <family val="2"/>
          </rPr>
          <t>Send/Receive Quota Limit that will be used for the majority of the mailboxes.</t>
        </r>
      </text>
    </comment>
    <comment ref="B61" authorId="2" shapeId="0">
      <text>
        <r>
          <rPr>
            <sz val="8"/>
            <color indexed="81"/>
            <rFont val="Tahoma"/>
            <family val="2"/>
          </rPr>
          <t xml:space="preserve">The Archive Quota setting which specifies the archive mailbox size at which it no longer accepts messages.
</t>
        </r>
      </text>
    </comment>
    <comment ref="E61" authorId="2" shapeId="0">
      <text>
        <r>
          <rPr>
            <sz val="8"/>
            <color indexed="81"/>
            <rFont val="Tahoma"/>
            <family val="2"/>
          </rPr>
          <t xml:space="preserve">The Archive Quota setting which specifies the archive mailbox size at which it no longer accepts messages.
</t>
        </r>
      </text>
    </comment>
    <comment ref="B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5" authorId="0" shapeId="0">
      <text>
        <r>
          <rPr>
            <sz val="9"/>
            <color indexed="81"/>
            <rFont val="Tahoma"/>
            <family val="2"/>
          </rPr>
          <t>Enter the percentage of users within this tier that will have the IOPS and Megacycles Multiplication Factor applied.</t>
        </r>
      </text>
    </comment>
    <comment ref="E65" authorId="0" shapeId="0">
      <text>
        <r>
          <rPr>
            <sz val="9"/>
            <color indexed="81"/>
            <rFont val="Tahoma"/>
            <family val="2"/>
          </rPr>
          <t>Enter the percentage of users within this tier that will have the IOPS and Megacycles Multiplication Factor applied.</t>
        </r>
      </text>
    </comment>
    <comment ref="B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1" authorId="0" shapeId="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E71"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E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E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E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E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E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79" authorId="2" shapeId="0">
      <text>
        <r>
          <rPr>
            <sz val="8"/>
            <color indexed="81"/>
            <rFont val="Tahoma"/>
            <family val="2"/>
          </rPr>
          <t>Send/Receive Quota Limit that will be used for the majority of the mailboxes.</t>
        </r>
      </text>
    </comment>
    <comment ref="E79" authorId="2" shapeId="0">
      <text>
        <r>
          <rPr>
            <sz val="8"/>
            <color indexed="81"/>
            <rFont val="Tahoma"/>
            <family val="2"/>
          </rPr>
          <t>Send/Receive Quota Limit that will be used for the majority of the mailboxes.</t>
        </r>
      </text>
    </comment>
    <comment ref="B80" authorId="2" shapeId="0">
      <text>
        <r>
          <rPr>
            <sz val="8"/>
            <color indexed="81"/>
            <rFont val="Tahoma"/>
            <family val="2"/>
          </rPr>
          <t xml:space="preserve">The Archive Quota setting which specifies the archive mailbox size at which it no longer accepts messages.
</t>
        </r>
      </text>
    </comment>
    <comment ref="E80" authorId="2" shapeId="0">
      <text>
        <r>
          <rPr>
            <sz val="8"/>
            <color indexed="81"/>
            <rFont val="Tahoma"/>
            <family val="2"/>
          </rPr>
          <t xml:space="preserve">The Archive Quota setting which specifies the archive mailbox size at which it no longer accepts messages.
</t>
        </r>
      </text>
    </comment>
    <comment ref="B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E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E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E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4" authorId="0" shapeId="0">
      <text>
        <r>
          <rPr>
            <sz val="9"/>
            <color indexed="81"/>
            <rFont val="Tahoma"/>
            <family val="2"/>
          </rPr>
          <t>Enter the percentage of users within this tier that will have the IOPS and Megacycles Multiplication Factor applied.</t>
        </r>
      </text>
    </comment>
    <comment ref="E84" authorId="0" shapeId="0">
      <text>
        <r>
          <rPr>
            <sz val="9"/>
            <color indexed="81"/>
            <rFont val="Tahoma"/>
            <family val="2"/>
          </rPr>
          <t>Enter the percentage of users within this tier that will have the IOPS and Megacycles Multiplication Factor applied.</t>
        </r>
      </text>
    </comment>
    <comment ref="B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E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E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E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E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E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E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97" authorId="0" shapeId="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98" authorId="0" shapeId="0">
      <text>
        <r>
          <rPr>
            <sz val="8"/>
            <color indexed="81"/>
            <rFont val="Tahoma"/>
            <family val="2"/>
          </rPr>
          <t>The frequency at which you perform a backup.</t>
        </r>
      </text>
    </comment>
    <comment ref="B99" authorId="0" shapeId="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100" authorId="0" shapeId="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07" authorId="0" shapeId="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08" authorId="0" shapeId="0">
      <text>
        <r>
          <rPr>
            <sz val="9"/>
            <color indexed="81"/>
            <rFont val="Tahoma"/>
            <family val="2"/>
          </rPr>
          <t>Exchange 2013 supports JBOD scenarios where you deploy multiple databases per volume to maximize the efficiency of the disk.</t>
        </r>
      </text>
    </comment>
    <comment ref="B109" authorId="0" shapeId="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10" authorId="0" shapeId="0">
      <text>
        <r>
          <rPr>
            <sz val="9"/>
            <color indexed="81"/>
            <rFont val="Tahoma"/>
            <family val="2"/>
          </rPr>
          <t>If your server architecture is limited to a certain number of disks, choose No and enter the number of disks available to house databases in the accompanying field.</t>
        </r>
      </text>
    </comment>
    <comment ref="B111" authorId="3" shapeId="0">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2" authorId="4" shapeId="0">
      <text>
        <r>
          <rPr>
            <b/>
            <sz val="9"/>
            <color indexed="81"/>
            <rFont val="Tahoma"/>
            <family val="2"/>
          </rPr>
          <t>The number of volumes used for AutoReseed for a DAG.  This number is used by the Diskpart.ps1 script to determine how many extra volumes to format and mount for automatic seeding.</t>
        </r>
      </text>
    </comment>
    <comment ref="B115"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16" authorId="2" shapeId="0">
      <text>
        <r>
          <rPr>
            <sz val="8"/>
            <color indexed="81"/>
            <rFont val="Tahoma"/>
            <family val="2"/>
          </rPr>
          <t>Select the disk capacity and disk type that will be used in the storage design.
Note: Not all capacity choices are available in each disk type.</t>
        </r>
      </text>
    </comment>
    <comment ref="B117" authorId="0" shapeId="0">
      <text>
        <r>
          <rPr>
            <sz val="9"/>
            <color indexed="81"/>
            <rFont val="Tahoma"/>
            <family val="2"/>
          </rPr>
          <t>Select the disk capacity and disk type that will be used in the storage design.
Note: Not all capacity choices are available in each disk type.</t>
        </r>
      </text>
    </comment>
    <comment ref="B118" authorId="0" shapeId="0">
      <text>
        <r>
          <rPr>
            <sz val="9"/>
            <color indexed="81"/>
            <rFont val="Tahoma"/>
            <family val="2"/>
          </rPr>
          <t>Select the disk capacity and disk type that will be used in the storage design.
Note: Not all capacity choices are available in each disk type.</t>
        </r>
      </text>
    </comment>
    <comment ref="B121"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22" authorId="2" shapeId="0">
      <text>
        <r>
          <rPr>
            <sz val="8"/>
            <color indexed="81"/>
            <rFont val="Tahoma"/>
            <family val="2"/>
          </rPr>
          <t>Select the disk capacity and disk type that will be used in the storage design.
Note: Not all capacity choices are available in each disk type.</t>
        </r>
      </text>
    </comment>
    <comment ref="B123" authorId="0" shapeId="0">
      <text>
        <r>
          <rPr>
            <sz val="9"/>
            <color indexed="81"/>
            <rFont val="Tahoma"/>
            <family val="2"/>
          </rPr>
          <t>Select the disk capacity and disk type that will be used in the storage design.
Note: Not all capacity choices are available in each disk type.</t>
        </r>
      </text>
    </comment>
    <comment ref="B124" authorId="0" shapeId="0">
      <text>
        <r>
          <rPr>
            <sz val="9"/>
            <color indexed="81"/>
            <rFont val="Tahoma"/>
            <family val="2"/>
          </rPr>
          <t>Select the disk capacity and disk type that will be used in the storage design.
Note: Not all capacity choices are available in each disk type.</t>
        </r>
      </text>
    </comment>
    <comment ref="B131"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esults. 
3. Under Available Configurations, Cofirm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2" authorId="0" shapeId="0">
      <text>
        <r>
          <rPr>
            <sz val="9"/>
            <color indexed="81"/>
            <rFont val="Tahoma"/>
            <family val="2"/>
          </rPr>
          <t>Select the number of processor cores that you will deploy in your mailbox servers that reside in the secondary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3" authorId="0" shapeId="0">
      <text>
        <r>
          <rPr>
            <sz val="9"/>
            <color indexed="81"/>
            <rFont val="Tahoma"/>
            <family val="2"/>
          </rPr>
          <t>Select the number of processor cores that you will deploy in your lagged database copy servers.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6" authorId="0" shapeId="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44" authorId="0" shapeId="0">
      <text>
        <r>
          <rPr>
            <sz val="9"/>
            <color indexed="81"/>
            <rFont val="Tahoma"/>
            <family val="2"/>
          </rPr>
          <t>This column represents the hours in the day.</t>
        </r>
      </text>
    </comment>
    <comment ref="C144" authorId="0" shapeId="0">
      <text>
        <r>
          <rPr>
            <sz val="9"/>
            <color indexed="81"/>
            <rFont val="Tahoma"/>
            <family val="2"/>
          </rPr>
          <t>This is the percentage of logs generated on the server for each hour in the day within your existing messaging environment.
If the messaging environment is not using Exchange, then evaluate the messaging environment and enter in the rate of change per hour here.</t>
        </r>
      </text>
    </comment>
    <comment ref="E144" authorId="0" shapeId="0">
      <text>
        <r>
          <rPr>
            <sz val="9"/>
            <color indexed="81"/>
            <rFont val="Tahoma"/>
            <family val="2"/>
          </rPr>
          <t>Select the network link that will be used between the two physical locations.</t>
        </r>
      </text>
    </comment>
    <comment ref="E145" authorId="0" shapeId="0">
      <text>
        <r>
          <rPr>
            <sz val="9"/>
            <color indexed="81"/>
            <rFont val="Tahoma"/>
            <family val="2"/>
          </rPr>
          <t>Enter the network link latency.</t>
        </r>
      </text>
    </comment>
    <comment ref="C174" authorId="0" shapeId="0">
      <text>
        <r>
          <rPr>
            <sz val="9"/>
            <color indexed="81"/>
            <rFont val="Tahoma"/>
            <family val="2"/>
          </rPr>
          <t>Enter the names you would like to use to represent your servers.</t>
        </r>
      </text>
    </comment>
    <comment ref="F174" authorId="0" shapeId="0">
      <text>
        <r>
          <rPr>
            <sz val="9"/>
            <color indexed="81"/>
            <rFont val="Tahoma"/>
            <family val="2"/>
          </rPr>
          <t>Enter the Database naming prefix you would like to use in your environment; this value will be used in the script generation.</t>
        </r>
      </text>
    </comment>
    <comment ref="B193" authorId="3" shapeId="0">
      <text>
        <r>
          <rPr>
            <sz val="9"/>
            <color indexed="81"/>
            <rFont val="Tahoma"/>
            <family val="2"/>
          </rPr>
          <t>Determines if sets of servers are grouped together for database distribution or if the distribution is spread evenly over all servers.</t>
        </r>
      </text>
    </comment>
    <comment ref="B194" authorId="3" shapeId="0">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195" authorId="3" shapeId="0">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197" authorId="0" shapeId="0">
      <text>
        <r>
          <rPr>
            <sz val="9"/>
            <color indexed="81"/>
            <rFont val="Tahoma"/>
            <family val="2"/>
          </rPr>
          <t>Enter the number of servers in each failure domain.</t>
        </r>
      </text>
    </comment>
    <comment ref="D197" authorId="0" shapeId="0">
      <text>
        <r>
          <rPr>
            <sz val="9"/>
            <color indexed="81"/>
            <rFont val="Tahoma"/>
            <family val="2"/>
          </rPr>
          <t>Enter the number of database copies for each database that exists within a failure domain.</t>
        </r>
      </text>
    </comment>
    <comment ref="B206" authorId="3" shapeId="0">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07" authorId="3" shapeId="0">
      <text>
        <r>
          <rPr>
            <b/>
            <sz val="9"/>
            <color indexed="81"/>
            <rFont val="Tahoma"/>
            <family val="2"/>
          </rPr>
          <t>This is the number of mailbox servers calculated to be in the primary site.</t>
        </r>
      </text>
    </comment>
    <comment ref="C210" authorId="0" shapeId="0">
      <text>
        <r>
          <rPr>
            <sz val="9"/>
            <color indexed="81"/>
            <rFont val="Tahoma"/>
            <family val="2"/>
          </rPr>
          <t>Enter the number of servers in each failure domain.</t>
        </r>
      </text>
    </comment>
    <comment ref="D210" authorId="0" shapeId="0">
      <text>
        <r>
          <rPr>
            <sz val="9"/>
            <color indexed="81"/>
            <rFont val="Tahoma"/>
            <family val="2"/>
          </rPr>
          <t>Enter the number of database copies for each database that exists within a failure domain.</t>
        </r>
      </text>
    </comment>
    <comment ref="B219" authorId="3" shapeId="0">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20" authorId="3" shapeId="0">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authors>
    <author>Ross Smith IV</author>
    <author>rosssmi</author>
    <author>David Mosier</author>
  </authors>
  <commentList>
    <comment ref="B10" authorId="0" shapeId="0">
      <text>
        <r>
          <rPr>
            <sz val="9"/>
            <color indexed="81"/>
            <rFont val="Tahoma"/>
            <family val="2"/>
          </rPr>
          <t>Calculated number of mailboxes that includes growth factor.</t>
        </r>
      </text>
    </comment>
    <comment ref="H10" authorId="0" shapeId="0">
      <text>
        <r>
          <rPr>
            <sz val="9"/>
            <color indexed="81"/>
            <rFont val="Tahoma"/>
            <family val="2"/>
          </rPr>
          <t>Calculated number of mailboxes that includes growth factor.</t>
        </r>
      </text>
    </comment>
    <comment ref="B11" authorId="0" shapeId="0">
      <text>
        <r>
          <rPr>
            <sz val="8"/>
            <color indexed="81"/>
            <rFont val="Tahoma"/>
            <family val="2"/>
          </rPr>
          <t>This is the user profile based on the number of messages a user sends and receives each day.</t>
        </r>
      </text>
    </comment>
    <comment ref="H11" authorId="0" shapeId="0">
      <text>
        <r>
          <rPr>
            <sz val="8"/>
            <color indexed="81"/>
            <rFont val="Tahoma"/>
            <family val="2"/>
          </rPr>
          <t>This is the user profile based on the number of messages a user sends and receives each day.</t>
        </r>
      </text>
    </comment>
    <comment ref="B12" authorId="0" shapeId="0">
      <text>
        <r>
          <rPr>
            <sz val="9"/>
            <color indexed="81"/>
            <rFont val="Tahoma"/>
            <family val="2"/>
          </rPr>
          <t>Calculated IOPS Multiplication Factor based on user population</t>
        </r>
      </text>
    </comment>
    <comment ref="H12" authorId="0" shapeId="0">
      <text>
        <r>
          <rPr>
            <sz val="9"/>
            <color indexed="81"/>
            <rFont val="Tahoma"/>
            <family val="2"/>
          </rPr>
          <t>Calculated IOPS Multiplication Factor based on user population</t>
        </r>
      </text>
    </comment>
    <comment ref="B13" authorId="0" shapeId="0">
      <text>
        <r>
          <rPr>
            <sz val="9"/>
            <color indexed="81"/>
            <rFont val="Tahoma"/>
            <family val="2"/>
          </rPr>
          <t>Calculated megacycles multiplication factor based on user population</t>
        </r>
      </text>
    </comment>
    <comment ref="H13" authorId="0" shapeId="0">
      <text>
        <r>
          <rPr>
            <sz val="9"/>
            <color indexed="81"/>
            <rFont val="Tahoma"/>
            <family val="2"/>
          </rPr>
          <t>Calculated megacycles multiplication factor based on user population</t>
        </r>
      </text>
    </comment>
    <comment ref="B14" authorId="0" shapeId="0">
      <text>
        <r>
          <rPr>
            <sz val="9"/>
            <color indexed="81"/>
            <rFont val="Tahoma"/>
            <family val="2"/>
          </rPr>
          <t>The total number of megacycles required to support the active mailbox.</t>
        </r>
      </text>
    </comment>
    <comment ref="H14" authorId="0" shapeId="0">
      <text>
        <r>
          <rPr>
            <sz val="9"/>
            <color indexed="81"/>
            <rFont val="Tahoma"/>
            <family val="2"/>
          </rPr>
          <t>The total number of megacycles required to support the active mailbox.</t>
        </r>
      </text>
    </comment>
    <comment ref="B15" authorId="0" shapeId="0">
      <text>
        <r>
          <rPr>
            <sz val="9"/>
            <color indexed="81"/>
            <rFont val="Tahoma"/>
            <family val="2"/>
          </rPr>
          <t>The total number of megacycles to support the mailbox on a passive database.</t>
        </r>
      </text>
    </comment>
    <comment ref="H15" authorId="0" shapeId="0">
      <text>
        <r>
          <rPr>
            <sz val="9"/>
            <color indexed="81"/>
            <rFont val="Tahoma"/>
            <family val="2"/>
          </rPr>
          <t>The total number of megacycles to support the mailbox on a passive database.</t>
        </r>
      </text>
    </comment>
    <comment ref="B16" authorId="0" shapeId="0">
      <text>
        <r>
          <rPr>
            <sz val="9"/>
            <color indexed="81"/>
            <rFont val="Tahoma"/>
            <family val="2"/>
          </rPr>
          <t>Total Number of megacycles required to support the mailbox on the CAS.</t>
        </r>
      </text>
    </comment>
    <comment ref="H16" authorId="0" shapeId="0">
      <text>
        <r>
          <rPr>
            <sz val="9"/>
            <color indexed="81"/>
            <rFont val="Tahoma"/>
            <family val="2"/>
          </rPr>
          <t>Total Number of megacycles required to support the mailbox on the CAS.</t>
        </r>
      </text>
    </comment>
    <comment ref="B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shapeId="0">
      <text>
        <r>
          <rPr>
            <sz val="8"/>
            <color indexed="81"/>
            <rFont val="Tahoma"/>
            <family val="2"/>
          </rPr>
          <t>This is the actual mailbox you must allocate in terms of capacity design.  This value includes deleted item retention and whitespace calculations.</t>
        </r>
      </text>
    </comment>
    <comment ref="H22" authorId="0" shapeId="0">
      <text>
        <r>
          <rPr>
            <sz val="8"/>
            <color indexed="81"/>
            <rFont val="Tahoma"/>
            <family val="2"/>
          </rPr>
          <t>This is the actual mailbox you must allocate in terms of capacity design.  This value includes deleted item retention and whitespace calculations.</t>
        </r>
      </text>
    </comment>
    <comment ref="B23" authorId="0" shapeId="0">
      <text>
        <r>
          <rPr>
            <sz val="9"/>
            <color indexed="81"/>
            <rFont val="Tahoma"/>
            <family val="2"/>
          </rPr>
          <t>This is the base IOPS profile based on the message profile</t>
        </r>
      </text>
    </comment>
    <comment ref="H23" authorId="0" shapeId="0">
      <text>
        <r>
          <rPr>
            <sz val="9"/>
            <color indexed="81"/>
            <rFont val="Tahoma"/>
            <family val="2"/>
          </rPr>
          <t>This is the base IOPS profile based on the message profile</t>
        </r>
      </text>
    </comment>
    <comment ref="B24" authorId="0" shapeId="0">
      <text>
        <r>
          <rPr>
            <sz val="9"/>
            <color indexed="81"/>
            <rFont val="Tahoma"/>
            <family val="2"/>
          </rPr>
          <t>Calculated read I/Os for the base mailbox IOPS profile.</t>
        </r>
      </text>
    </comment>
    <comment ref="H24" authorId="0" shapeId="0">
      <text>
        <r>
          <rPr>
            <sz val="9"/>
            <color indexed="81"/>
            <rFont val="Tahoma"/>
            <family val="2"/>
          </rPr>
          <t>Calculated read I/Os for the base mailbox IOPS profile.</t>
        </r>
      </text>
    </comment>
    <comment ref="B25" authorId="0" shapeId="0">
      <text>
        <r>
          <rPr>
            <sz val="9"/>
            <color indexed="81"/>
            <rFont val="Tahoma"/>
            <family val="2"/>
          </rPr>
          <t>Calculated writes I/Os for the base mailbox IOPS profile.</t>
        </r>
      </text>
    </comment>
    <comment ref="H25" authorId="0" shapeId="0">
      <text>
        <r>
          <rPr>
            <sz val="9"/>
            <color indexed="81"/>
            <rFont val="Tahoma"/>
            <family val="2"/>
          </rPr>
          <t>Calculated writes I/Os for the base mailbox IOPS profile.</t>
        </r>
      </text>
    </comment>
    <comment ref="B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shapeId="0">
      <text>
        <r>
          <rPr>
            <sz val="8"/>
            <color indexed="81"/>
            <rFont val="Tahoma"/>
            <family val="2"/>
          </rPr>
          <t>This calculation determines the database reads that will occur per mailbox.</t>
        </r>
      </text>
    </comment>
    <comment ref="H27" authorId="0" shapeId="0">
      <text>
        <r>
          <rPr>
            <sz val="8"/>
            <color indexed="81"/>
            <rFont val="Tahoma"/>
            <family val="2"/>
          </rPr>
          <t>This calculation determines the database reads that will occur per mailbox.</t>
        </r>
      </text>
    </comment>
    <comment ref="B28" authorId="0" shapeId="0">
      <text>
        <r>
          <rPr>
            <sz val="8"/>
            <color indexed="81"/>
            <rFont val="Tahoma"/>
            <family val="2"/>
          </rPr>
          <t>This calculation will determine the number of database writes / mailbox.</t>
        </r>
      </text>
    </comment>
    <comment ref="H28" authorId="0" shapeId="0">
      <text>
        <r>
          <rPr>
            <sz val="8"/>
            <color indexed="81"/>
            <rFont val="Tahoma"/>
            <family val="2"/>
          </rPr>
          <t>This calculation will determine the number of database writes / mailbox.</t>
        </r>
      </text>
    </comment>
    <comment ref="B29" authorId="0" shapeId="0">
      <text>
        <r>
          <rPr>
            <sz val="9"/>
            <color indexed="81"/>
            <rFont val="Tahoma"/>
            <family val="2"/>
          </rPr>
          <t>This is the calculated read:write ratio for the mailbox tier based on the calculated database reads and writes as a result of the IOPS prediction formula.</t>
        </r>
      </text>
    </comment>
    <comment ref="H29" authorId="0" shapeId="0">
      <text>
        <r>
          <rPr>
            <sz val="9"/>
            <color indexed="81"/>
            <rFont val="Tahoma"/>
            <family val="2"/>
          </rPr>
          <t>This is the calculated read:write ratio for the mailbox tier based on the calculated database reads and writes as a result of the IOPS prediction formula.</t>
        </r>
      </text>
    </comment>
    <comment ref="B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shapeId="0">
      <text>
        <r>
          <rPr>
            <sz val="9"/>
            <color indexed="81"/>
            <rFont val="Tahoma"/>
            <family val="2"/>
          </rPr>
          <t>This is the amount of database disk transfers (host perspective) generated by the mailbox tier.  This value also takes into account user concurrency.</t>
        </r>
      </text>
    </comment>
    <comment ref="H31" authorId="0" shapeId="0">
      <text>
        <r>
          <rPr>
            <sz val="9"/>
            <color indexed="81"/>
            <rFont val="Tahoma"/>
            <family val="2"/>
          </rPr>
          <t>This is the amount of database disk transfers (host perspective) generated by the mailbox tier.  This value also takes into account user concurrency.</t>
        </r>
      </text>
    </comment>
    <comment ref="B32" authorId="0" shapeId="0">
      <text>
        <r>
          <rPr>
            <sz val="9"/>
            <color indexed="81"/>
            <rFont val="Tahoma"/>
            <family val="2"/>
          </rPr>
          <t>This is the number of database read disk transfers (host perspective) generated by the mailbox tier.</t>
        </r>
      </text>
    </comment>
    <comment ref="H32" authorId="0" shapeId="0">
      <text>
        <r>
          <rPr>
            <sz val="9"/>
            <color indexed="81"/>
            <rFont val="Tahoma"/>
            <family val="2"/>
          </rPr>
          <t>This is the number of database read disk transfers (host perspective) generated by the mailbox tier.</t>
        </r>
      </text>
    </comment>
    <comment ref="B33" authorId="0" shapeId="0">
      <text>
        <r>
          <rPr>
            <sz val="9"/>
            <color indexed="81"/>
            <rFont val="Tahoma"/>
            <family val="2"/>
          </rPr>
          <t>This is the number of database write transfers (host perspective) generated by the mailbox tier.</t>
        </r>
      </text>
    </comment>
    <comment ref="H33" authorId="0" shapeId="0">
      <text>
        <r>
          <rPr>
            <sz val="9"/>
            <color indexed="81"/>
            <rFont val="Tahoma"/>
            <family val="2"/>
          </rPr>
          <t>This is the number of database write transfers (host perspective) generated by the mailbox tier.</t>
        </r>
      </text>
    </comment>
    <comment ref="B36" authorId="0" shapeId="0">
      <text>
        <r>
          <rPr>
            <sz val="9"/>
            <color indexed="81"/>
            <rFont val="Tahoma"/>
            <family val="2"/>
          </rPr>
          <t>Calculated number of mailboxes that includes growth factor.</t>
        </r>
      </text>
    </comment>
    <comment ref="H36" authorId="0" shapeId="0">
      <text>
        <r>
          <rPr>
            <sz val="9"/>
            <color indexed="81"/>
            <rFont val="Tahoma"/>
            <family val="2"/>
          </rPr>
          <t>Calculated number of mailboxes that includes growth factor.</t>
        </r>
      </text>
    </comment>
    <comment ref="B37" authorId="0" shapeId="0">
      <text>
        <r>
          <rPr>
            <sz val="8"/>
            <color indexed="81"/>
            <rFont val="Tahoma"/>
            <family val="2"/>
          </rPr>
          <t>This is the user profile based on the number of messages a user sends and receives each day.</t>
        </r>
      </text>
    </comment>
    <comment ref="H37" authorId="0" shapeId="0">
      <text>
        <r>
          <rPr>
            <sz val="8"/>
            <color indexed="81"/>
            <rFont val="Tahoma"/>
            <family val="2"/>
          </rPr>
          <t>This is the user profile based on the number of messages a user sends and receives each day.</t>
        </r>
      </text>
    </comment>
    <comment ref="B38" authorId="0" shapeId="0">
      <text>
        <r>
          <rPr>
            <sz val="9"/>
            <color indexed="81"/>
            <rFont val="Tahoma"/>
            <family val="2"/>
          </rPr>
          <t>Calculated IOPS Multiplication Factor based on user population</t>
        </r>
      </text>
    </comment>
    <comment ref="H38" authorId="0" shapeId="0">
      <text>
        <r>
          <rPr>
            <sz val="9"/>
            <color indexed="81"/>
            <rFont val="Tahoma"/>
            <family val="2"/>
          </rPr>
          <t>Calculated IOPS Multiplication Factor based on user population</t>
        </r>
      </text>
    </comment>
    <comment ref="B39" authorId="0" shapeId="0">
      <text>
        <r>
          <rPr>
            <sz val="9"/>
            <color indexed="81"/>
            <rFont val="Tahoma"/>
            <family val="2"/>
          </rPr>
          <t>Calculated megacycles multiplication factor based on user population</t>
        </r>
      </text>
    </comment>
    <comment ref="H39" authorId="0" shapeId="0">
      <text>
        <r>
          <rPr>
            <sz val="9"/>
            <color indexed="81"/>
            <rFont val="Tahoma"/>
            <family val="2"/>
          </rPr>
          <t>Calculated megacycles multiplication factor based on user population</t>
        </r>
      </text>
    </comment>
    <comment ref="B40" authorId="0" shapeId="0">
      <text>
        <r>
          <rPr>
            <sz val="9"/>
            <color indexed="81"/>
            <rFont val="Tahoma"/>
            <family val="2"/>
          </rPr>
          <t>The total number of megacycles required to support the active mailbox.</t>
        </r>
      </text>
    </comment>
    <comment ref="H40" authorId="0" shapeId="0">
      <text>
        <r>
          <rPr>
            <sz val="9"/>
            <color indexed="81"/>
            <rFont val="Tahoma"/>
            <family val="2"/>
          </rPr>
          <t>The total number of megacycles required to support the active mailbox.</t>
        </r>
      </text>
    </comment>
    <comment ref="B41" authorId="0" shapeId="0">
      <text>
        <r>
          <rPr>
            <sz val="9"/>
            <color indexed="81"/>
            <rFont val="Tahoma"/>
            <family val="2"/>
          </rPr>
          <t>The total number of megacycles to support the mailbox on a passive database.</t>
        </r>
      </text>
    </comment>
    <comment ref="H41" authorId="0" shapeId="0">
      <text>
        <r>
          <rPr>
            <sz val="9"/>
            <color indexed="81"/>
            <rFont val="Tahoma"/>
            <family val="2"/>
          </rPr>
          <t>The total number of megacycles to support the mailbox on a passive database.</t>
        </r>
      </text>
    </comment>
    <comment ref="B42" authorId="0" shapeId="0">
      <text>
        <r>
          <rPr>
            <sz val="9"/>
            <color indexed="81"/>
            <rFont val="Tahoma"/>
            <family val="2"/>
          </rPr>
          <t>Total Number of megacycles required to support the mailbox on the CAS.</t>
        </r>
      </text>
    </comment>
    <comment ref="H42" authorId="0" shapeId="0">
      <text>
        <r>
          <rPr>
            <sz val="9"/>
            <color indexed="81"/>
            <rFont val="Tahoma"/>
            <family val="2"/>
          </rPr>
          <t>Total Number of megacycles required to support the mailbox on the CAS.</t>
        </r>
      </text>
    </comment>
    <comment ref="B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shapeId="0">
      <text>
        <r>
          <rPr>
            <sz val="8"/>
            <color indexed="81"/>
            <rFont val="Tahoma"/>
            <family val="2"/>
          </rPr>
          <t>This is the actual mailbox you must allocate in terms of capacity design.  This value includes deleted item retention and whitespace calculations.</t>
        </r>
      </text>
    </comment>
    <comment ref="H48" authorId="0" shapeId="0">
      <text>
        <r>
          <rPr>
            <sz val="8"/>
            <color indexed="81"/>
            <rFont val="Tahoma"/>
            <family val="2"/>
          </rPr>
          <t>This is the actual mailbox you must allocate in terms of capacity design.  This value includes deleted item retention and whitespace calculations.</t>
        </r>
      </text>
    </comment>
    <comment ref="B49" authorId="0" shapeId="0">
      <text>
        <r>
          <rPr>
            <sz val="9"/>
            <color indexed="81"/>
            <rFont val="Tahoma"/>
            <family val="2"/>
          </rPr>
          <t>This is the base IOPS profile based on the message profile</t>
        </r>
      </text>
    </comment>
    <comment ref="H49" authorId="0" shapeId="0">
      <text>
        <r>
          <rPr>
            <sz val="9"/>
            <color indexed="81"/>
            <rFont val="Tahoma"/>
            <family val="2"/>
          </rPr>
          <t>This is the base IOPS profile based on the message profile</t>
        </r>
      </text>
    </comment>
    <comment ref="B50" authorId="0" shapeId="0">
      <text>
        <r>
          <rPr>
            <sz val="9"/>
            <color indexed="81"/>
            <rFont val="Tahoma"/>
            <family val="2"/>
          </rPr>
          <t>Calculated read I/Os for the base mailbox IOPS profile.</t>
        </r>
      </text>
    </comment>
    <comment ref="H50" authorId="0" shapeId="0">
      <text>
        <r>
          <rPr>
            <sz val="9"/>
            <color indexed="81"/>
            <rFont val="Tahoma"/>
            <family val="2"/>
          </rPr>
          <t>Calculated read I/Os for the base mailbox IOPS profile.</t>
        </r>
      </text>
    </comment>
    <comment ref="B51" authorId="0" shapeId="0">
      <text>
        <r>
          <rPr>
            <sz val="9"/>
            <color indexed="81"/>
            <rFont val="Tahoma"/>
            <family val="2"/>
          </rPr>
          <t>Calculated writes I/Os for the base mailbox IOPS profile.</t>
        </r>
      </text>
    </comment>
    <comment ref="H51" authorId="0" shapeId="0">
      <text>
        <r>
          <rPr>
            <sz val="9"/>
            <color indexed="81"/>
            <rFont val="Tahoma"/>
            <family val="2"/>
          </rPr>
          <t>Calculated writes I/Os for the base mailbox IOPS profile.</t>
        </r>
      </text>
    </comment>
    <comment ref="B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shapeId="0">
      <text>
        <r>
          <rPr>
            <sz val="8"/>
            <color indexed="81"/>
            <rFont val="Tahoma"/>
            <family val="2"/>
          </rPr>
          <t>This calculation determines the database reads that will occur per mailbox.</t>
        </r>
      </text>
    </comment>
    <comment ref="H53" authorId="0" shapeId="0">
      <text>
        <r>
          <rPr>
            <sz val="8"/>
            <color indexed="81"/>
            <rFont val="Tahoma"/>
            <family val="2"/>
          </rPr>
          <t>This calculation determines the database reads that will occur per mailbox.</t>
        </r>
      </text>
    </comment>
    <comment ref="B54" authorId="0" shapeId="0">
      <text>
        <r>
          <rPr>
            <sz val="8"/>
            <color indexed="81"/>
            <rFont val="Tahoma"/>
            <family val="2"/>
          </rPr>
          <t>This calculation will determine the number of database writes / mailbox.</t>
        </r>
      </text>
    </comment>
    <comment ref="H54" authorId="0" shapeId="0">
      <text>
        <r>
          <rPr>
            <sz val="8"/>
            <color indexed="81"/>
            <rFont val="Tahoma"/>
            <family val="2"/>
          </rPr>
          <t>This calculation will determine the number of database writes / mailbox.</t>
        </r>
      </text>
    </comment>
    <comment ref="B55" authorId="0" shapeId="0">
      <text>
        <r>
          <rPr>
            <sz val="9"/>
            <color indexed="81"/>
            <rFont val="Tahoma"/>
            <family val="2"/>
          </rPr>
          <t>This is the calculated read:write ratio for the mailbox tier based on the calculated database reads and writes as a result of the IOPS prediction formula.</t>
        </r>
      </text>
    </comment>
    <comment ref="H55" authorId="0" shapeId="0">
      <text>
        <r>
          <rPr>
            <sz val="9"/>
            <color indexed="81"/>
            <rFont val="Tahoma"/>
            <family val="2"/>
          </rPr>
          <t>This is the calculated read:write ratio for the mailbox tier based on the calculated database reads and writes as a result of the IOPS prediction formula.</t>
        </r>
      </text>
    </comment>
    <comment ref="B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shapeId="0">
      <text>
        <r>
          <rPr>
            <sz val="9"/>
            <color indexed="81"/>
            <rFont val="Tahoma"/>
            <family val="2"/>
          </rPr>
          <t>This is the amount of database disk transfers (host perspective) generated by the mailbox tier.  This value also takes into account user concurrency.</t>
        </r>
      </text>
    </comment>
    <comment ref="H57" authorId="0" shapeId="0">
      <text>
        <r>
          <rPr>
            <sz val="9"/>
            <color indexed="81"/>
            <rFont val="Tahoma"/>
            <family val="2"/>
          </rPr>
          <t>This is the amount of database disk transfers (host perspective) generated by the mailbox tier.  This value also takes into account user concurrency.</t>
        </r>
      </text>
    </comment>
    <comment ref="B58" authorId="0" shapeId="0">
      <text>
        <r>
          <rPr>
            <sz val="9"/>
            <color indexed="81"/>
            <rFont val="Tahoma"/>
            <family val="2"/>
          </rPr>
          <t>This is the number of database read disk transfers (host perspective) generated by the mailbox tier.</t>
        </r>
      </text>
    </comment>
    <comment ref="H58" authorId="0" shapeId="0">
      <text>
        <r>
          <rPr>
            <sz val="9"/>
            <color indexed="81"/>
            <rFont val="Tahoma"/>
            <family val="2"/>
          </rPr>
          <t>This is the number of database read disk transfers (host perspective) generated by the mailbox tier.</t>
        </r>
      </text>
    </comment>
    <comment ref="B59" authorId="0" shapeId="0">
      <text>
        <r>
          <rPr>
            <sz val="9"/>
            <color indexed="81"/>
            <rFont val="Tahoma"/>
            <family val="2"/>
          </rPr>
          <t>This is the number of database write transfers (host perspective) generated by the mailbox tier.</t>
        </r>
      </text>
    </comment>
    <comment ref="H59" authorId="0" shapeId="0">
      <text>
        <r>
          <rPr>
            <sz val="9"/>
            <color indexed="81"/>
            <rFont val="Tahoma"/>
            <family val="2"/>
          </rPr>
          <t>This is the number of database write transfers (host perspective) generated by the mailbox tier.</t>
        </r>
      </text>
    </comment>
    <comment ref="B62" authorId="0" shapeId="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2" authorId="0" shapeId="0">
      <text>
        <r>
          <rPr>
            <sz val="9"/>
            <color indexed="81"/>
            <rFont val="Tahoma"/>
            <family val="2"/>
          </rPr>
          <t>This is the number of mailbox database copy instances that will be located in the primary datacenter.</t>
        </r>
      </text>
    </comment>
    <comment ref="B63" authorId="0" shapeId="0">
      <text>
        <r>
          <rPr>
            <sz val="9"/>
            <color indexed="81"/>
            <rFont val="Tahoma"/>
            <family val="2"/>
          </rPr>
          <t>This is the maximum number of databases that should be deployed on each mailbox server based on the LUN architecture configuration.</t>
        </r>
      </text>
    </comment>
    <comment ref="H63" authorId="0" shapeId="0">
      <text>
        <r>
          <rPr>
            <sz val="9"/>
            <color indexed="81"/>
            <rFont val="Tahoma"/>
            <family val="2"/>
          </rPr>
          <t>This is the number of mailbox database copy instances that will be located in the secondary
 datacenter.</t>
        </r>
      </text>
    </comment>
    <comment ref="B64" authorId="0" shapeId="0">
      <text>
        <r>
          <rPr>
            <sz val="9"/>
            <color indexed="81"/>
            <rFont val="Tahoma"/>
            <family val="2"/>
          </rPr>
          <t>This is the maximum number of databases that can be supported within the DAG based on the number of mailbox servers and the total number of copies.</t>
        </r>
      </text>
    </comment>
    <comment ref="H64" authorId="0" shapeId="0">
      <text>
        <r>
          <rPr>
            <sz val="9"/>
            <color indexed="81"/>
            <rFont val="Tahoma"/>
            <family val="2"/>
          </rPr>
          <t>This is the number of lagged database copy instances that will be located in the primary datacenter.</t>
        </r>
      </text>
    </comment>
    <comment ref="B65" authorId="0" shapeId="0">
      <text>
        <r>
          <rPr>
            <sz val="9"/>
            <color indexed="81"/>
            <rFont val="Tahoma"/>
            <family val="2"/>
          </rPr>
          <t>This is the ratio for the number of Tier-1 mailboxes when compared with the total mailboxes on the server.</t>
        </r>
      </text>
    </comment>
    <comment ref="H65" authorId="0" shapeId="0">
      <text>
        <r>
          <rPr>
            <sz val="9"/>
            <color indexed="81"/>
            <rFont val="Tahoma"/>
            <family val="2"/>
          </rPr>
          <t>This is the number of lagged database copy instances that will be located in the secondary
 datacenter.</t>
        </r>
      </text>
    </comment>
    <comment ref="B66" authorId="0" shapeId="0">
      <text>
        <r>
          <rPr>
            <sz val="9"/>
            <color indexed="81"/>
            <rFont val="Tahoma"/>
            <family val="2"/>
          </rPr>
          <t>This is the ratio for the number of Tier-2 mailboxes when compared with the total mailboxes on the server.</t>
        </r>
      </text>
    </comment>
    <comment ref="H66" authorId="0" shapeId="0">
      <text>
        <r>
          <rPr>
            <sz val="9"/>
            <color indexed="81"/>
            <rFont val="Tahoma"/>
            <family val="2"/>
          </rPr>
          <t>Total Calculated number of HA copy instances.</t>
        </r>
      </text>
    </comment>
    <comment ref="B67" authorId="0" shapeId="0">
      <text>
        <r>
          <rPr>
            <sz val="9"/>
            <color indexed="81"/>
            <rFont val="Tahoma"/>
            <family val="2"/>
          </rPr>
          <t>This is the ratio for the number of Tier-3 mailboxes when compared with the total mailboxes on the server.</t>
        </r>
      </text>
    </comment>
    <comment ref="H67" authorId="0" shapeId="0">
      <text>
        <r>
          <rPr>
            <sz val="9"/>
            <color indexed="81"/>
            <rFont val="Tahoma"/>
            <family val="2"/>
          </rPr>
          <t>Total number of calculated lagged copy instances.</t>
        </r>
      </text>
    </comment>
    <comment ref="B68" authorId="0" shapeId="0">
      <text>
        <r>
          <rPr>
            <sz val="9"/>
            <color indexed="81"/>
            <rFont val="Tahoma"/>
            <family val="2"/>
          </rPr>
          <t>This is the ratio for the number of Tier-4 mailboxes when compared with the total mailboxes on the server.</t>
        </r>
      </text>
    </comment>
    <comment ref="B69" authorId="0" shapeId="0">
      <text>
        <r>
          <rPr>
            <sz val="9"/>
            <color indexed="81"/>
            <rFont val="Tahoma"/>
            <family val="2"/>
          </rPr>
          <t>This is the number of mailboxes within the specified tier that will be placed on each database.</t>
        </r>
      </text>
    </comment>
    <comment ref="B70" authorId="0" shapeId="0">
      <text>
        <r>
          <rPr>
            <sz val="9"/>
            <color indexed="81"/>
            <rFont val="Tahoma"/>
            <family val="2"/>
          </rPr>
          <t>This is the number of mailboxes within the specified tier that will be placed on each database.</t>
        </r>
      </text>
    </comment>
    <comment ref="H70" authorId="0" shapeId="0">
      <text>
        <r>
          <rPr>
            <sz val="9"/>
            <color indexed="81"/>
            <rFont val="Tahoma"/>
            <family val="2"/>
          </rPr>
          <t>This is the aggregate database read:write ratio based on the different mailbox tier's read:write ratios.</t>
        </r>
      </text>
    </comment>
    <comment ref="B71" authorId="0" shapeId="0">
      <text>
        <r>
          <rPr>
            <sz val="9"/>
            <color indexed="81"/>
            <rFont val="Tahoma"/>
            <family val="2"/>
          </rPr>
          <t>This is the number of mailboxes within the specified tier that will be placed on each database.</t>
        </r>
      </text>
    </comment>
    <comment ref="H71" authorId="1" shapeId="0">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2" authorId="0" shapeId="0">
      <text>
        <r>
          <rPr>
            <sz val="9"/>
            <color indexed="81"/>
            <rFont val="Tahoma"/>
            <family val="2"/>
          </rPr>
          <t>This is the number of mailboxes within the specified tier that will be placed on each database.</t>
        </r>
      </text>
    </comment>
    <comment ref="H72" authorId="1" shapeId="0">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3" authorId="0" shapeId="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H73" authorId="1" shapeId="0">
      <text>
        <r>
          <rPr>
            <sz val="8"/>
            <color indexed="81"/>
            <rFont val="Tahoma"/>
            <family val="2"/>
          </rPr>
          <t>Number of database read transfers per second measured at the host that must be supported.</t>
        </r>
      </text>
    </comment>
    <comment ref="B74" authorId="0" shapeId="0">
      <text>
        <r>
          <rPr>
            <sz val="9"/>
            <color indexed="81"/>
            <rFont val="Tahoma"/>
            <family val="2"/>
          </rPr>
          <t>This calculation determines the maximum number of mailboxes that could be supported within a database based on capacity assuming a single disk is used.</t>
        </r>
      </text>
    </comment>
    <comment ref="H74" authorId="1" shapeId="0">
      <text>
        <r>
          <rPr>
            <sz val="8"/>
            <color indexed="81"/>
            <rFont val="Tahoma"/>
            <family val="2"/>
          </rPr>
          <t>Number of database write transfers per second measured at the host that must be supported.</t>
        </r>
      </text>
    </comment>
    <comment ref="B75" authorId="0" shapeId="0">
      <text>
        <r>
          <rPr>
            <sz val="9"/>
            <color indexed="81"/>
            <rFont val="Tahoma"/>
            <family val="2"/>
          </rPr>
          <t>The number of users per database that is calculated here is based on ensuring that the recommended maximum database size is not exceeded.</t>
        </r>
      </text>
    </comment>
    <comment ref="H75" authorId="1" shapeId="0">
      <text>
        <r>
          <rPr>
            <sz val="8"/>
            <color indexed="81"/>
            <rFont val="Tahoma"/>
            <family val="2"/>
          </rPr>
          <t>For standalone configurations, 40% of database writes are log writes.
For HA configurations, 50% of database writes are log writes.</t>
        </r>
      </text>
    </comment>
    <comment ref="B76" authorId="0" shapeId="0">
      <text>
        <r>
          <rPr>
            <sz val="9"/>
            <color indexed="81"/>
            <rFont val="Tahoma"/>
            <family val="2"/>
          </rPr>
          <t xml:space="preserve">This calculation determines the number of databases that should be deployed within the DAG or mailbox server to host the mailbox population. </t>
        </r>
      </text>
    </comment>
    <comment ref="H76" authorId="0" shapeId="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77"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7" authorId="0" shapeId="0">
      <text>
        <r>
          <rPr>
            <sz val="9"/>
            <color indexed="81"/>
            <rFont val="Tahoma"/>
            <family val="2"/>
          </rPr>
          <t>The number of IOPS required for each unique database instance.</t>
        </r>
      </text>
    </comment>
    <comment ref="B78" authorId="0" shapeId="0">
      <text>
        <r>
          <rPr>
            <sz val="9"/>
            <color indexed="81"/>
            <rFont val="Tahoma"/>
            <family val="2"/>
          </rPr>
          <t>Determines the recommended number of databases that should be deployed in the environment</t>
        </r>
      </text>
    </comment>
    <comment ref="H78" authorId="0" shapeId="0">
      <text>
        <r>
          <rPr>
            <sz val="9"/>
            <color indexed="81"/>
            <rFont val="Tahoma"/>
            <family val="2"/>
          </rPr>
          <t>The number of IOPS required for each active log stream.</t>
        </r>
      </text>
    </comment>
    <comment ref="B79" authorId="2" shapeId="0">
      <text>
        <r>
          <rPr>
            <b/>
            <sz val="9"/>
            <color indexed="81"/>
            <rFont val="Tahoma"/>
            <family val="2"/>
          </rPr>
          <t>Determines the recommended number of databases that should be deployed in the environment</t>
        </r>
      </text>
    </comment>
    <comment ref="B80" authorId="0" shapeId="0">
      <text>
        <r>
          <rPr>
            <sz val="8"/>
            <color indexed="81"/>
            <rFont val="Tahoma"/>
            <family val="2"/>
          </rPr>
          <t xml:space="preserve">This is the recommended number of mailboxes per database that should be deployed. </t>
        </r>
      </text>
    </comment>
    <comment ref="B81" authorId="2" shapeId="0">
      <text>
        <r>
          <rPr>
            <b/>
            <sz val="9"/>
            <color indexed="81"/>
            <rFont val="Tahoma"/>
            <family val="2"/>
          </rPr>
          <t>This is the maximum number of databases that can fit onto a single volume</t>
        </r>
      </text>
    </comment>
    <comment ref="B82" authorId="0" shapeId="0">
      <text>
        <r>
          <rPr>
            <sz val="9"/>
            <color indexed="81"/>
            <rFont val="Tahoma"/>
            <family val="2"/>
          </rPr>
          <t>The number of databases per volume.</t>
        </r>
      </text>
    </comment>
    <comment ref="B85" authorId="0" shapeId="0">
      <text>
        <r>
          <rPr>
            <sz val="9"/>
            <color indexed="81"/>
            <rFont val="Tahoma"/>
            <family val="2"/>
          </rPr>
          <t>The number of databases being deployed in the first datacenter.</t>
        </r>
      </text>
    </comment>
    <comment ref="H85" authorId="0" shapeId="0">
      <text>
        <r>
          <rPr>
            <sz val="9"/>
            <color indexed="81"/>
            <rFont val="Tahoma"/>
            <family val="2"/>
          </rPr>
          <t>This is the calculated number of servers required to deploy in the first datacenter to support the active mailbox database copies.</t>
        </r>
      </text>
    </comment>
    <comment ref="B86" authorId="0" shapeId="0">
      <text>
        <r>
          <rPr>
            <sz val="9"/>
            <color indexed="81"/>
            <rFont val="Tahoma"/>
            <family val="2"/>
          </rPr>
          <t>The number of databases being deployed in the second datacenter for Active/Active (Single DAG) scenarios.</t>
        </r>
      </text>
    </comment>
    <comment ref="H86" authorId="0" shapeId="0">
      <text>
        <r>
          <rPr>
            <sz val="9"/>
            <color indexed="81"/>
            <rFont val="Tahoma"/>
            <family val="2"/>
          </rPr>
          <t>For Active/Active site resilience model this is the calculated number of servers required to deploy in the first datacenter to support the passive mailbox database copies.</t>
        </r>
      </text>
    </comment>
    <comment ref="B87" authorId="0" shapeId="0">
      <text>
        <r>
          <rPr>
            <sz val="9"/>
            <color indexed="81"/>
            <rFont val="Tahoma"/>
            <family val="2"/>
          </rPr>
          <t>This is the total number of Active and Passive HA copies in the first datacenter.</t>
        </r>
      </text>
    </comment>
    <comment ref="H87" authorId="0" shapeId="0">
      <text>
        <r>
          <rPr>
            <sz val="9"/>
            <color indexed="81"/>
            <rFont val="Tahoma"/>
            <family val="2"/>
          </rPr>
          <t>For Active/Active site resilience model this is the calculated number of servers required to deploy in the second datacenter to support the active mailbox database copies.</t>
        </r>
      </text>
    </comment>
    <comment ref="B88" authorId="0" shapeId="0">
      <text>
        <r>
          <rPr>
            <sz val="9"/>
            <color indexed="81"/>
            <rFont val="Tahoma"/>
            <family val="2"/>
          </rPr>
          <t>This is the total number of Active and Passive HA copies in the second datacenter.</t>
        </r>
      </text>
    </comment>
    <comment ref="H88" authorId="0" shapeId="0">
      <text>
        <r>
          <rPr>
            <sz val="9"/>
            <color indexed="81"/>
            <rFont val="Tahoma"/>
            <family val="2"/>
          </rPr>
          <t>For Active/Passive site resilience model this is the calculated number of servers required to deploy in the second datacenter to support the mailbox database copies.</t>
        </r>
      </text>
    </comment>
    <comment ref="B89" authorId="0" shapeId="0">
      <text>
        <r>
          <rPr>
            <sz val="9"/>
            <color indexed="81"/>
            <rFont val="Tahoma"/>
            <family val="2"/>
          </rPr>
          <t>This is the number of passive HA database copies that will be deployed in the second datacenter.</t>
        </r>
      </text>
    </comment>
    <comment ref="B90" authorId="0" shapeId="0">
      <text>
        <r>
          <rPr>
            <sz val="9"/>
            <color indexed="81"/>
            <rFont val="Tahoma"/>
            <family val="2"/>
          </rPr>
          <t>This is the total number of passive HA and lagged copies in the second datacenter when dedicated lagged servers are not deployed.</t>
        </r>
      </text>
    </comment>
    <comment ref="B91" authorId="0" shapeId="0">
      <text>
        <r>
          <rPr>
            <sz val="9"/>
            <color indexed="81"/>
            <rFont val="Tahoma"/>
            <family val="2"/>
          </rPr>
          <t>This is the number of passive HA database copies that will be deployed in the first datacenter based on the active copies in the second datacenter.</t>
        </r>
      </text>
    </comment>
    <comment ref="B92" authorId="0" shapeId="0">
      <text>
        <r>
          <rPr>
            <sz val="9"/>
            <color indexed="81"/>
            <rFont val="Tahoma"/>
            <family val="2"/>
          </rPr>
          <t>This is the total number of passive HA and lagged copies in the first datacenter when dedicated lagged servers are not deployed based on the active copies in the second datacenter.</t>
        </r>
      </text>
    </comment>
    <comment ref="H95" authorId="0" shapeId="0">
      <text>
        <r>
          <rPr>
            <sz val="9"/>
            <color indexed="81"/>
            <rFont val="Tahoma"/>
            <family val="2"/>
          </rPr>
          <t>The number of days the lagged copy waits before replaying logs into the database.</t>
        </r>
      </text>
    </comment>
    <comment ref="B96" authorId="0" shapeId="0">
      <text>
        <r>
          <rPr>
            <sz val="9"/>
            <color indexed="81"/>
            <rFont val="Tahoma"/>
            <family val="2"/>
          </rPr>
          <t>This is the total number of mailboxes in the environment.</t>
        </r>
      </text>
    </comment>
    <comment ref="H96" authorId="0" shapeId="0">
      <text>
        <r>
          <rPr>
            <sz val="9"/>
            <color indexed="81"/>
            <rFont val="Tahoma"/>
            <family val="2"/>
          </rPr>
          <t>The number of days the lagged copy waits before truncating logs.</t>
        </r>
      </text>
    </comment>
    <comment ref="B97" authorId="0" shapeId="0">
      <text>
        <r>
          <rPr>
            <sz val="9"/>
            <color indexed="81"/>
            <rFont val="Tahoma"/>
            <family val="2"/>
          </rPr>
          <t>The number of mailboxes per database availability group.</t>
        </r>
      </text>
    </comment>
    <comment ref="H97" authorId="0" shapeId="0">
      <text>
        <r>
          <rPr>
            <sz val="9"/>
            <color indexed="81"/>
            <rFont val="Tahoma"/>
            <family val="2"/>
          </rPr>
          <t>This is the number of dedicated lagged copy servers that are calculated based on the number of lagged database copies.</t>
        </r>
      </text>
    </comment>
    <comment ref="B98" authorId="0" shapeId="0">
      <text>
        <r>
          <rPr>
            <sz val="9"/>
            <color indexed="81"/>
            <rFont val="Tahoma"/>
            <family val="2"/>
          </rPr>
          <t>This is the number of mailbox servers entered in the Input tab.</t>
        </r>
      </text>
    </comment>
    <comment ref="H98" authorId="0" shapeId="0">
      <text>
        <r>
          <rPr>
            <sz val="9"/>
            <color indexed="81"/>
            <rFont val="Tahoma"/>
            <family val="2"/>
          </rPr>
          <t>This is the number of dedicated lagged copy servers that are calculated based on the number of lagged database copies located within the primary datacenter.</t>
        </r>
      </text>
    </comment>
    <comment ref="B99" authorId="0" shapeId="0">
      <text>
        <r>
          <rPr>
            <sz val="9"/>
            <color indexed="81"/>
            <rFont val="Tahoma"/>
            <family val="2"/>
          </rPr>
          <t>This is the total number of mailboxes on the server.</t>
        </r>
      </text>
    </comment>
    <comment ref="H99" authorId="0" shapeId="0">
      <text>
        <r>
          <rPr>
            <sz val="9"/>
            <color indexed="81"/>
            <rFont val="Tahoma"/>
            <family val="2"/>
          </rPr>
          <t>This is the number of dedicated lagged copy servers that will be deployed in the second datacenter.</t>
        </r>
      </text>
    </comment>
    <comment ref="B100" authorId="0" shapeId="0">
      <text>
        <r>
          <rPr>
            <sz val="9"/>
            <color indexed="81"/>
            <rFont val="Tahoma"/>
            <family val="2"/>
          </rPr>
          <t>The calculated number of users in the environment based on the calculated number of databases.</t>
        </r>
      </text>
    </comment>
    <comment ref="H100" authorId="0" shapeId="0">
      <text>
        <r>
          <rPr>
            <sz val="9"/>
            <color indexed="81"/>
            <rFont val="Tahoma"/>
            <family val="2"/>
          </rPr>
          <t>This is the number of lagged database copies that are required per DAG located within the first datacenter.</t>
        </r>
      </text>
    </comment>
    <comment ref="B101" authorId="0" shapeId="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1" authorId="0" shapeId="0">
      <text>
        <r>
          <rPr>
            <sz val="9"/>
            <color indexed="81"/>
            <rFont val="Tahoma"/>
            <family val="2"/>
          </rPr>
          <t>This is the number of lagged database copies that are required per DAG located within the second datacenter.</t>
        </r>
      </text>
    </comment>
    <comment ref="B102"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2" authorId="0" shapeId="0">
      <text>
        <r>
          <rPr>
            <sz val="8"/>
            <color indexed="81"/>
            <rFont val="Tahoma"/>
            <family val="2"/>
          </rPr>
          <t>This is the amount of RAM required for the  Exchange mailbox server that meets the memory requirements for the mailbox assistants, CI, and the database cache.</t>
        </r>
      </text>
    </comment>
    <comment ref="B103" authorId="0" shapeId="0">
      <text>
        <r>
          <rPr>
            <sz val="8"/>
            <color indexed="81"/>
            <rFont val="Tahoma"/>
            <family val="2"/>
          </rPr>
          <t>This is the calculated database cache / mailbox available per mailbox based on the amount of physical memory available for the ESE database cache.</t>
        </r>
      </text>
    </comment>
    <comment ref="B104" authorId="0" shapeId="0">
      <text>
        <r>
          <rPr>
            <sz val="9"/>
            <color indexed="81"/>
            <rFont val="Tahoma"/>
            <family val="2"/>
          </rPr>
          <t>Calculated number of messages generated for active copies</t>
        </r>
      </text>
    </comment>
    <comment ref="B105" authorId="0" shapeId="0">
      <text>
        <r>
          <rPr>
            <sz val="9"/>
            <color indexed="81"/>
            <rFont val="Tahoma"/>
            <family val="2"/>
          </rPr>
          <t>Calculated number of messages generated for passive copies</t>
        </r>
      </text>
    </comment>
    <comment ref="B106" authorId="0" shapeId="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B107"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108"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109" authorId="0" shapeId="0">
      <text>
        <r>
          <rPr>
            <sz val="9"/>
            <color indexed="81"/>
            <rFont val="Tahoma"/>
            <family val="2"/>
          </rPr>
          <t>Exchange 2013 supports JBOD scenarios where you deploy multiple databases per volume to maximize the efficiency of the disk.</t>
        </r>
      </text>
    </comment>
    <comment ref="B110" authorId="0" shapeId="0">
      <text>
        <r>
          <rPr>
            <sz val="9"/>
            <color indexed="81"/>
            <rFont val="Tahoma"/>
            <family val="2"/>
          </rPr>
          <t>Determines whether your server architecture is limited to a certain number of disks.</t>
        </r>
      </text>
    </comment>
    <comment ref="B111" authorId="0" shapeId="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B114"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5"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6"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7" authorId="0" shapeId="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B118" authorId="0" shapeId="0">
      <text>
        <r>
          <rPr>
            <sz val="9"/>
            <color indexed="81"/>
            <rFont val="Tahoma"/>
            <family val="2"/>
          </rPr>
          <t>This is the total number of database copies that are activated within the secondary datacenter after a single server failure in the primary datacenter.</t>
        </r>
      </text>
    </comment>
    <comment ref="B119"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0"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1" authorId="0" shapeId="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2" authorId="0" shapeId="0">
      <text>
        <r>
          <rPr>
            <sz val="9"/>
            <color indexed="81"/>
            <rFont val="Tahoma"/>
            <family val="2"/>
          </rPr>
          <t xml:space="preserve">This is the total number of database copies that are activated within the secondary datacenter after a double server failure in the primary datacenter. </t>
        </r>
      </text>
    </comment>
    <comment ref="B125"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5" authorId="0" shapeId="0">
      <text>
        <r>
          <rPr>
            <sz val="9"/>
            <color indexed="81"/>
            <rFont val="Tahoma"/>
            <family val="2"/>
          </rPr>
          <t>This is the recommended storage architecture for the servers within the primary datacenter.  This is based on the number of database copies and LUN architecture.</t>
        </r>
      </text>
    </comment>
    <comment ref="B126"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6" authorId="0" shapeId="0">
      <text>
        <r>
          <rPr>
            <sz val="9"/>
            <color indexed="81"/>
            <rFont val="Tahoma"/>
            <family val="2"/>
          </rPr>
          <t>This is the recommended storage architecture for the servers within the second datacenter.  This is based on the number of database copies and LUN architecture.</t>
        </r>
      </text>
    </comment>
    <comment ref="B127"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7" authorId="0" shapeId="0">
      <text>
        <r>
          <rPr>
            <sz val="9"/>
            <color indexed="81"/>
            <rFont val="Tahoma"/>
            <family val="2"/>
          </rPr>
          <t>This is the recommended storage architecture for the dedicated lagged copy servers.  This is based on the number of database copies and LUN architecture.</t>
        </r>
      </text>
    </comment>
    <comment ref="B128"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1" authorId="0" shapeId="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H131" authorId="0" shapeId="0">
      <text>
        <r>
          <rPr>
            <sz val="8"/>
            <color indexed="81"/>
            <rFont val="Tahoma"/>
            <family val="2"/>
          </rPr>
          <t>This is the minimum amount of memory needed by ESE to help alleviate database reads and writes per user.</t>
        </r>
      </text>
    </comment>
    <comment ref="B132" authorId="0" shapeId="0">
      <text>
        <r>
          <rPr>
            <sz val="8"/>
            <color indexed="81"/>
            <rFont val="Tahoma"/>
            <family val="2"/>
          </rPr>
          <t>This is the minimum amount of memory needed by ESE to help alleviate database reads and writes per user.</t>
        </r>
      </text>
    </comment>
    <comment ref="H132" authorId="0" shapeId="0">
      <text>
        <r>
          <rPr>
            <sz val="9"/>
            <color indexed="81"/>
            <rFont val="Tahoma"/>
            <family val="2"/>
          </rPr>
          <t>Amount of pages used in memory for the ESE cache</t>
        </r>
      </text>
    </comment>
    <comment ref="B133" authorId="0" shapeId="0">
      <text>
        <r>
          <rPr>
            <sz val="9"/>
            <color indexed="81"/>
            <rFont val="Tahoma"/>
            <family val="2"/>
          </rPr>
          <t>Amount of pages used in memory for the ESE cache</t>
        </r>
      </text>
    </comment>
    <comment ref="H133" authorId="0" shapeId="0">
      <text>
        <r>
          <rPr>
            <sz val="9"/>
            <color indexed="81"/>
            <rFont val="Tahoma"/>
            <family val="2"/>
          </rPr>
          <t>Calculated number of messages generated for active copies</t>
        </r>
      </text>
    </comment>
    <comment ref="B134" authorId="0" shapeId="0">
      <text>
        <r>
          <rPr>
            <sz val="9"/>
            <color indexed="81"/>
            <rFont val="Tahoma"/>
            <family val="2"/>
          </rPr>
          <t>Amount of cache pages allocated to active databases.</t>
        </r>
      </text>
    </comment>
    <comment ref="H134" authorId="0" shapeId="0">
      <text>
        <r>
          <rPr>
            <sz val="9"/>
            <color indexed="81"/>
            <rFont val="Tahoma"/>
            <family val="2"/>
          </rPr>
          <t>Calculated number of messages generated for passive copies</t>
        </r>
      </text>
    </comment>
    <comment ref="B135" authorId="0" shapeId="0">
      <text>
        <r>
          <rPr>
            <sz val="9"/>
            <color indexed="81"/>
            <rFont val="Tahoma"/>
            <family val="2"/>
          </rPr>
          <t>Amount of cache pages allocated to passive copies.</t>
        </r>
      </text>
    </comment>
    <comment ref="H135" authorId="0" shapeId="0">
      <text>
        <r>
          <rPr>
            <sz val="9"/>
            <color indexed="81"/>
            <rFont val="Tahoma"/>
            <family val="2"/>
          </rPr>
          <t>Amount of estimated memory required to support content indexing</t>
        </r>
      </text>
    </comment>
    <comment ref="B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6"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7" authorId="0" shapeId="0">
      <text>
        <r>
          <rPr>
            <sz val="9"/>
            <color indexed="81"/>
            <rFont val="Tahoma"/>
            <family val="2"/>
          </rPr>
          <t>Amount of estimated memory required to support content indexing
7GB + 110 bytes per active item) + (24 bytes per passive item)</t>
        </r>
      </text>
    </comment>
    <comment ref="H137" authorId="0" shapeId="0">
      <text>
        <r>
          <rPr>
            <sz val="9"/>
            <color indexed="81"/>
            <rFont val="Tahoma"/>
            <family val="2"/>
          </rPr>
          <t>Amount of memory required to support the CAS components on Multi-Role installations.</t>
        </r>
      </text>
    </comment>
    <comment ref="B138" authorId="0" shapeId="0">
      <text>
        <r>
          <rPr>
            <sz val="9"/>
            <color indexed="81"/>
            <rFont val="Tahoma"/>
            <family val="2"/>
          </rPr>
          <t>Amount of memory required to support the CAS components on Multi-Role installations.</t>
        </r>
      </text>
    </comment>
    <comment ref="H138"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9"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9" authorId="0" shapeId="0">
      <text>
        <r>
          <rPr>
            <sz val="8"/>
            <color indexed="81"/>
            <rFont val="Tahoma"/>
            <family val="2"/>
          </rPr>
          <t>This is the amount of RAM required for the  Exchange mailbox server that meets the memory requirements for the mailbox assistants, CI and the database cache.</t>
        </r>
      </text>
    </comment>
    <comment ref="B140" authorId="0" shapeId="0">
      <text>
        <r>
          <rPr>
            <sz val="8"/>
            <color indexed="81"/>
            <rFont val="Tahoma"/>
            <family val="2"/>
          </rPr>
          <t>This is the amount of RAM required for the  Exchange 2013 mailbox server that meets the memory requirements.</t>
        </r>
      </text>
    </comment>
    <comment ref="H140" authorId="0" shapeId="0">
      <text>
        <r>
          <rPr>
            <sz val="9"/>
            <color indexed="81"/>
            <rFont val="Tahoma"/>
            <family val="2"/>
          </rPr>
          <t>Total amount of RAM required for a dedicated CAS.</t>
        </r>
      </text>
    </comment>
    <comment ref="B141" authorId="0" shapeId="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B142" authorId="0" shapeId="0">
      <text>
        <r>
          <rPr>
            <sz val="9"/>
            <color indexed="81"/>
            <rFont val="Tahoma"/>
            <family val="2"/>
          </rPr>
          <t>Total amount of RAM required for a dedicated CAS.</t>
        </r>
      </text>
    </comment>
    <comment ref="B145" authorId="0" shapeId="0">
      <text>
        <r>
          <rPr>
            <sz val="8"/>
            <color indexed="81"/>
            <rFont val="Tahoma"/>
            <family val="2"/>
          </rPr>
          <t>This is the calculated number of transaction logs that are generated per day for the server.
This includes the data overhead factor.</t>
        </r>
      </text>
    </comment>
    <comment ref="H145" authorId="1" shapeId="0">
      <text>
        <r>
          <rPr>
            <sz val="8"/>
            <color indexed="81"/>
            <rFont val="Tahoma"/>
            <family val="2"/>
          </rPr>
          <t>The calculated amount of database disk space required based on the mailbox size and number of users.</t>
        </r>
      </text>
    </comment>
    <comment ref="B146" authorId="0" shapeId="0">
      <text>
        <r>
          <rPr>
            <sz val="8"/>
            <color indexed="81"/>
            <rFont val="Tahoma"/>
            <family val="2"/>
          </rPr>
          <t>This is the number of transaction logs generated per database per day.
This includes the data overhead factor.</t>
        </r>
      </text>
    </comment>
    <comment ref="H146" authorId="0" shapeId="0">
      <text>
        <r>
          <rPr>
            <sz val="9"/>
            <color indexed="81"/>
            <rFont val="Tahoma"/>
            <family val="2"/>
          </rPr>
          <t>This is the amount of disk space required to support all database copies.</t>
        </r>
      </text>
    </comment>
    <comment ref="B147" authorId="0" shapeId="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H147" authorId="0" shapeId="0">
      <text>
        <r>
          <rPr>
            <sz val="9"/>
            <color indexed="81"/>
            <rFont val="Tahoma"/>
            <family val="2"/>
          </rPr>
          <t>This is the amount of disk space required per DAG member.</t>
        </r>
      </text>
    </comment>
    <comment ref="B148" authorId="0" shapeId="0">
      <text>
        <r>
          <rPr>
            <sz val="8"/>
            <color indexed="81"/>
            <rFont val="Tahoma"/>
            <family val="2"/>
          </rPr>
          <t>Calculated log disk capacity required based on the number of mailboxes that may be moved in a single night.
This includes the data overhead factor.</t>
        </r>
      </text>
    </comment>
    <comment ref="H148" authorId="0" shapeId="0">
      <text>
        <r>
          <rPr>
            <sz val="8"/>
            <color indexed="81"/>
            <rFont val="Tahoma"/>
            <family val="2"/>
          </rPr>
          <t>This calculation determines the amount of transaction log disk space needed for backup/recovery and mailbox moves and incorporates data growth overhead.</t>
        </r>
      </text>
    </comment>
    <comment ref="B149" authorId="0" shapeId="0">
      <text>
        <r>
          <rPr>
            <sz val="9"/>
            <color indexed="81"/>
            <rFont val="Tahoma"/>
            <family val="2"/>
          </rPr>
          <t>This is the number of transaction logs that will be generated throughout the week during mailbox moves.</t>
        </r>
      </text>
    </comment>
    <comment ref="H149" authorId="0" shapeId="0">
      <text>
        <r>
          <rPr>
            <sz val="9"/>
            <color indexed="81"/>
            <rFont val="Tahoma"/>
            <family val="2"/>
          </rPr>
          <t>This calculation determines the total log space required for all database copies.</t>
        </r>
      </text>
    </comment>
    <comment ref="B150" authorId="0" shapeId="0">
      <text>
        <r>
          <rPr>
            <sz val="9"/>
            <color indexed="81"/>
            <rFont val="Tahoma"/>
            <family val="2"/>
          </rPr>
          <t>This is the number of database transaction logs that will be generated throughout the week during mailbox moves.</t>
        </r>
      </text>
    </comment>
    <comment ref="H150" authorId="0" shapeId="0">
      <text>
        <r>
          <rPr>
            <sz val="9"/>
            <color indexed="81"/>
            <rFont val="Tahoma"/>
            <family val="2"/>
          </rPr>
          <t>This is the log disk space required per DAG member which is based on the number of copies each DAG member hosts.</t>
        </r>
      </text>
    </comment>
    <comment ref="B151" authorId="0" shapeId="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2" authorId="0" shapeId="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3" authorId="0" shapeId="0">
      <text>
        <r>
          <rPr>
            <sz val="9"/>
            <color indexed="81"/>
            <rFont val="Tahoma"/>
            <family val="2"/>
          </rPr>
          <t>This is the total transaction logs generated for both user and mailbox moves per database each day.</t>
        </r>
      </text>
    </comment>
    <comment ref="B154" authorId="0" shapeId="0">
      <text>
        <r>
          <rPr>
            <sz val="9"/>
            <color indexed="81"/>
            <rFont val="Tahoma"/>
            <family val="2"/>
          </rPr>
          <t>This is the total transaction logs generated for both user and mailbox moves for the server each day.</t>
        </r>
      </text>
    </comment>
    <comment ref="B157" authorId="0" shapeId="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H157"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8" authorId="0" shapeId="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H158"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59" authorId="0" shapeId="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H159"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160" authorId="0" shapeId="0">
      <text>
        <r>
          <rPr>
            <sz val="9"/>
            <color indexed="81"/>
            <rFont val="Tahoma"/>
            <family val="2"/>
          </rPr>
          <t>The total number of available megacycles per server based on the number of processor cores and the megacycles per core.</t>
        </r>
      </text>
    </comment>
    <comment ref="B161" authorId="0" shapeId="0">
      <text>
        <r>
          <rPr>
            <sz val="9"/>
            <color indexed="81"/>
            <rFont val="Tahoma"/>
            <family val="2"/>
          </rPr>
          <t>The total number of available megacycles per server based on the number of processor cores and the megacycles per core.</t>
        </r>
      </text>
    </comment>
    <comment ref="B162" authorId="0" shapeId="0">
      <text>
        <r>
          <rPr>
            <sz val="9"/>
            <color indexed="81"/>
            <rFont val="Tahoma"/>
            <family val="2"/>
          </rPr>
          <t>The total number of available megacycles per server based on the number of processor cores and the megacycles per core.</t>
        </r>
      </text>
    </comment>
    <comment ref="B163"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H163" authorId="0" shapeId="0">
      <text>
        <r>
          <rPr>
            <sz val="9"/>
            <color indexed="81"/>
            <rFont val="Tahoma"/>
            <family val="2"/>
          </rPr>
          <t>This calculations determines if the number of DAG members in the primary datacenter, secondary datacenter, and lagged copy servers, is greater than 16.</t>
        </r>
      </text>
    </comment>
    <comment ref="B164"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4" authorId="0" shapeId="0">
      <text>
        <r>
          <rPr>
            <sz val="9"/>
            <color indexed="81"/>
            <rFont val="Tahoma"/>
            <family val="2"/>
          </rPr>
          <t>This validation check determines if the HA copy placement in each AD site is correct (i.e., that the correct number is deployed).</t>
        </r>
      </text>
    </comment>
    <comment ref="B165"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166"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167"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H168" authorId="0" shapeId="0">
      <text>
        <r>
          <rPr>
            <sz val="9"/>
            <color indexed="81"/>
            <rFont val="Tahoma"/>
            <family val="2"/>
          </rPr>
          <t>This is the validation check field for the calculator.</t>
        </r>
      </text>
    </comment>
    <comment ref="B169" authorId="0" shapeId="0">
      <text>
        <r>
          <rPr>
            <sz val="9"/>
            <color indexed="81"/>
            <rFont val="Tahoma"/>
            <family val="2"/>
          </rPr>
          <t>Amount of megacycles required to support the CPU load on CAS.</t>
        </r>
      </text>
    </comment>
    <comment ref="B170" authorId="0" shapeId="0">
      <text>
        <r>
          <rPr>
            <sz val="9"/>
            <color indexed="81"/>
            <rFont val="Tahoma"/>
            <family val="2"/>
          </rPr>
          <t>Amount of megacycles required to support the CPU load on CAS.</t>
        </r>
      </text>
    </comment>
    <comment ref="B173" authorId="0" shapeId="0">
      <text>
        <r>
          <rPr>
            <sz val="9"/>
            <color indexed="81"/>
            <rFont val="Tahoma"/>
            <family val="2"/>
          </rPr>
          <t>Number of cores required to support the Mailbox Server role related activities.</t>
        </r>
      </text>
    </comment>
    <comment ref="H173" authorId="0" shapeId="0">
      <text>
        <r>
          <rPr>
            <sz val="9"/>
            <color indexed="81"/>
            <rFont val="Tahoma"/>
            <family val="2"/>
          </rPr>
          <t>This is the number of active mailbox databases in the first datacenter.</t>
        </r>
      </text>
    </comment>
    <comment ref="B174" authorId="0" shapeId="0">
      <text>
        <r>
          <rPr>
            <sz val="9"/>
            <color indexed="81"/>
            <rFont val="Tahoma"/>
            <family val="2"/>
          </rPr>
          <t>Number of cores required to support the Mailbox Server role for the active mailbox population.</t>
        </r>
      </text>
    </comment>
    <comment ref="H174" authorId="0" shapeId="0">
      <text>
        <r>
          <rPr>
            <sz val="9"/>
            <color indexed="81"/>
            <rFont val="Tahoma"/>
            <family val="2"/>
          </rPr>
          <t>This is the number of target (passive) database copies in the first datacenter (site resilience only).</t>
        </r>
      </text>
    </comment>
    <comment ref="B175" authorId="0" shapeId="0">
      <text>
        <r>
          <rPr>
            <sz val="9"/>
            <color indexed="81"/>
            <rFont val="Tahoma"/>
            <family val="2"/>
          </rPr>
          <t>Number of cores required to support the Client Access Server role related activities.</t>
        </r>
      </text>
    </comment>
    <comment ref="H175" authorId="0" shapeId="0">
      <text>
        <r>
          <rPr>
            <sz val="9"/>
            <color indexed="81"/>
            <rFont val="Tahoma"/>
            <family val="2"/>
          </rPr>
          <t>This is the number of active mailbox databases in the second datacenter.</t>
        </r>
      </text>
    </comment>
    <comment ref="B176" authorId="0" shapeId="0">
      <text>
        <r>
          <rPr>
            <sz val="9"/>
            <color indexed="81"/>
            <rFont val="Tahoma"/>
            <family val="2"/>
          </rPr>
          <t>Number of cores required to support the Mailbox Server role related activities for the lagged copy servers.</t>
        </r>
      </text>
    </comment>
    <comment ref="H176" authorId="0" shapeId="0">
      <text>
        <r>
          <rPr>
            <sz val="9"/>
            <color indexed="81"/>
            <rFont val="Tahoma"/>
            <family val="2"/>
          </rPr>
          <t>This is the number of target (passive) database copies in the second datacenter.</t>
        </r>
      </text>
    </comment>
    <comment ref="B177" authorId="0" shapeId="0">
      <text>
        <r>
          <rPr>
            <sz val="9"/>
            <color indexed="81"/>
            <rFont val="Tahoma"/>
            <family val="2"/>
          </rPr>
          <t>Number of cores required to support the Mailbox Server role related activities.</t>
        </r>
      </text>
    </comment>
    <comment ref="H177" authorId="0" shapeId="0">
      <text>
        <r>
          <rPr>
            <sz val="9"/>
            <color indexed="81"/>
            <rFont val="Tahoma"/>
            <family val="2"/>
          </rPr>
          <t>This is the number of target lagged copy databases deployed in the first datacenter (site resilience only).</t>
        </r>
      </text>
    </comment>
    <comment ref="B178" authorId="0" shapeId="0">
      <text>
        <r>
          <rPr>
            <sz val="9"/>
            <color indexed="81"/>
            <rFont val="Tahoma"/>
            <family val="2"/>
          </rPr>
          <t>Number of cores required to support the Mailbox Server role for the active mailbox population.</t>
        </r>
      </text>
    </comment>
    <comment ref="H178" authorId="0" shapeId="0">
      <text>
        <r>
          <rPr>
            <sz val="9"/>
            <color indexed="81"/>
            <rFont val="Tahoma"/>
            <family val="2"/>
          </rPr>
          <t>This is the number of target lagged copy databases deployed in the second datacenter.</t>
        </r>
      </text>
    </comment>
    <comment ref="B179" authorId="0" shapeId="0">
      <text>
        <r>
          <rPr>
            <sz val="9"/>
            <color indexed="81"/>
            <rFont val="Tahoma"/>
            <family val="2"/>
          </rPr>
          <t>Number of cores required to support the Client Access Server role related activities.</t>
        </r>
      </text>
    </comment>
    <comment ref="H179" authorId="0" shapeId="0">
      <text>
        <r>
          <rPr>
            <sz val="9"/>
            <color indexed="81"/>
            <rFont val="Tahoma"/>
            <family val="2"/>
          </rPr>
          <t>This is the calculated number of log streams being replicated between the two datacenters for a given DAG.</t>
        </r>
      </text>
    </comment>
    <comment ref="B180" authorId="0" shapeId="0">
      <text>
        <r>
          <rPr>
            <sz val="9"/>
            <color indexed="81"/>
            <rFont val="Tahoma"/>
            <family val="2"/>
          </rPr>
          <t>The recommended number of Global Catalog Processor Cores you should deploy within the datacenter.</t>
        </r>
      </text>
    </comment>
    <comment ref="B181" authorId="0" shapeId="0">
      <text>
        <r>
          <rPr>
            <sz val="9"/>
            <color indexed="81"/>
            <rFont val="Tahoma"/>
            <family val="2"/>
          </rPr>
          <t>The recommended number of Global Catalog Processor Cores you should deploy within the datacenter.</t>
        </r>
      </text>
    </comment>
    <comment ref="B184" authorId="0" shapeId="0">
      <text>
        <r>
          <rPr>
            <sz val="9"/>
            <color indexed="81"/>
            <rFont val="Tahoma"/>
            <family val="2"/>
          </rPr>
          <t>The calculated Safety Net Hold Time (compares Safety Net Hold Time with Replay Lag Time and takes the larger value).</t>
        </r>
      </text>
    </comment>
    <comment ref="B185" authorId="0" shapeId="0">
      <text>
        <r>
          <rPr>
            <sz val="9"/>
            <color indexed="81"/>
            <rFont val="Tahoma"/>
            <family val="2"/>
          </rPr>
          <t>Messages / Day</t>
        </r>
      </text>
    </comment>
    <comment ref="B186" authorId="0" shapeId="0">
      <text>
        <r>
          <rPr>
            <sz val="9"/>
            <color indexed="81"/>
            <rFont val="Tahoma"/>
            <family val="2"/>
          </rPr>
          <t>Messages / day across remaining servers in worst failure mode</t>
        </r>
      </text>
    </comment>
    <comment ref="B187" authorId="0" shapeId="0">
      <text>
        <r>
          <rPr>
            <sz val="9"/>
            <color indexed="81"/>
            <rFont val="Tahoma"/>
            <family val="2"/>
          </rPr>
          <t>Messages persisted in shadow queues</t>
        </r>
      </text>
    </comment>
    <comment ref="B188" authorId="0" shapeId="0">
      <text>
        <r>
          <rPr>
            <sz val="9"/>
            <color indexed="81"/>
            <rFont val="Tahoma"/>
            <family val="2"/>
          </rPr>
          <t>The number of messages persisted in Safety Net or in queues (worst case).</t>
        </r>
      </text>
    </comment>
    <comment ref="B189" authorId="0" shapeId="0">
      <text>
        <r>
          <rPr>
            <sz val="9"/>
            <color indexed="81"/>
            <rFont val="Tahoma"/>
            <family val="2"/>
          </rPr>
          <t>The transport database size per server.</t>
        </r>
      </text>
    </comment>
    <comment ref="B190" authorId="0" shapeId="0">
      <text>
        <r>
          <rPr>
            <sz val="9"/>
            <color indexed="81"/>
            <rFont val="Tahoma"/>
            <family val="2"/>
          </rPr>
          <t>Determines if system disk can support the transport queue database.</t>
        </r>
      </text>
    </comment>
    <comment ref="B191" authorId="0" shapeId="0">
      <text>
        <r>
          <rPr>
            <sz val="9"/>
            <color indexed="81"/>
            <rFont val="Tahoma"/>
            <family val="2"/>
          </rPr>
          <t>Determines if system disk can support the transport queue database.</t>
        </r>
      </text>
    </comment>
    <comment ref="B194" authorId="0" shapeId="0">
      <text>
        <r>
          <rPr>
            <sz val="9"/>
            <color indexed="81"/>
            <rFont val="Tahoma"/>
            <family val="2"/>
          </rPr>
          <t>Recommended minimum number of CAS to deploy when not deploying multi-role.</t>
        </r>
      </text>
    </comment>
    <comment ref="B195" authorId="0" shapeId="0">
      <text>
        <r>
          <rPr>
            <sz val="9"/>
            <color indexed="81"/>
            <rFont val="Tahoma"/>
            <family val="2"/>
          </rPr>
          <t>Recommended minimum number of CAS to deploy when not deploying multi-role.</t>
        </r>
      </text>
    </comment>
    <comment ref="B196" authorId="0" shapeId="0">
      <text>
        <r>
          <rPr>
            <sz val="9"/>
            <color indexed="81"/>
            <rFont val="Tahoma"/>
            <family val="2"/>
          </rPr>
          <t>Recommended minimum number of CAS to deploy when not deploying multi-role (this includes two additional servers to account for failure scenarios.</t>
        </r>
      </text>
    </comment>
    <comment ref="B197" authorId="0" shapeId="0">
      <text>
        <r>
          <rPr>
            <sz val="9"/>
            <color indexed="81"/>
            <rFont val="Tahoma"/>
            <family val="2"/>
          </rPr>
          <t>Recommended minimum number of CAS to deploy when not deploying multi-role (this includes two additional servers to account for failure scenarios.</t>
        </r>
      </text>
    </comment>
    <comment ref="B202" authorId="0" shapeId="0">
      <text>
        <r>
          <rPr>
            <sz val="9"/>
            <color indexed="81"/>
            <rFont val="Tahoma"/>
            <family val="2"/>
          </rPr>
          <t>The recommended number of Global Catalog Processor Cores you should deploy within the datacenter.</t>
        </r>
      </text>
    </comment>
    <comment ref="B205" authorId="0" shapeId="0">
      <text>
        <r>
          <rPr>
            <sz val="9"/>
            <color indexed="81"/>
            <rFont val="Tahoma"/>
            <family val="2"/>
          </rPr>
          <t>The recommended minimum amount of processor cores that should be deployed in dedicated Client Access Servers.</t>
        </r>
      </text>
    </comment>
    <comment ref="B206" authorId="0" shapeId="0">
      <text>
        <r>
          <rPr>
            <sz val="9"/>
            <color indexed="81"/>
            <rFont val="Tahoma"/>
            <family val="2"/>
          </rPr>
          <t>The recommended minimum amount of memory that should be deployed in dedicated Client Access Servers.</t>
        </r>
      </text>
    </comment>
    <comment ref="B209" authorId="0" shapeId="0">
      <text>
        <r>
          <rPr>
            <sz val="9"/>
            <color indexed="81"/>
            <rFont val="Tahoma"/>
            <family val="2"/>
          </rPr>
          <t>Minimum Number of Recommended CAS to deploy when not deploying multi-role servers.</t>
        </r>
      </text>
    </comment>
    <comment ref="B210" authorId="0" shapeId="0">
      <text>
        <r>
          <rPr>
            <sz val="9"/>
            <color indexed="81"/>
            <rFont val="Tahoma"/>
            <family val="2"/>
          </rPr>
          <t>The number of DAGs deployed in the environment.</t>
        </r>
      </text>
    </comment>
    <comment ref="B211" authorId="0" shapeId="0">
      <text>
        <r>
          <rPr>
            <sz val="9"/>
            <color indexed="81"/>
            <rFont val="Tahoma"/>
            <family val="2"/>
          </rPr>
          <t>This is the total number of mailboxes that are active.</t>
        </r>
      </text>
    </comment>
    <comment ref="B212" authorId="0" shapeId="0">
      <text>
        <r>
          <rPr>
            <sz val="9"/>
            <color indexed="81"/>
            <rFont val="Tahoma"/>
            <family val="2"/>
          </rPr>
          <t>The number of mailbox servers that will be deployed within the solution.</t>
        </r>
      </text>
    </comment>
    <comment ref="B213" authorId="0" shapeId="0">
      <text>
        <r>
          <rPr>
            <sz val="9"/>
            <color indexed="81"/>
            <rFont val="Tahoma"/>
            <family val="2"/>
          </rPr>
          <t>The number of dedicated lagged copy servers that are being deployed in the solution.</t>
        </r>
      </text>
    </comment>
    <comment ref="B214" authorId="0" shapeId="0">
      <text>
        <r>
          <rPr>
            <sz val="9"/>
            <color indexed="81"/>
            <rFont val="Tahoma"/>
            <family val="2"/>
          </rPr>
          <t>The total number of servers that are being deployed.</t>
        </r>
      </text>
    </comment>
    <comment ref="B217" authorId="0" shapeId="0">
      <text>
        <r>
          <rPr>
            <sz val="8"/>
            <color indexed="81"/>
            <rFont val="Tahoma"/>
            <family val="2"/>
          </rPr>
          <t>Number of users per mailbox server.</t>
        </r>
      </text>
    </comment>
    <comment ref="B218" authorId="0" shapeId="0">
      <text>
        <r>
          <rPr>
            <sz val="9"/>
            <color indexed="81"/>
            <rFont val="Tahoma"/>
            <family val="2"/>
          </rPr>
          <t>This is the recommended number of tiered mailboxes per database based on the design requirements.</t>
        </r>
      </text>
    </comment>
    <comment ref="B219" authorId="0" shapeId="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20" authorId="0" shapeId="0">
      <text>
        <r>
          <rPr>
            <sz val="9"/>
            <color indexed="81"/>
            <rFont val="Tahoma"/>
            <family val="2"/>
          </rPr>
          <t>Number of transaction logs generated per mailbox.</t>
        </r>
      </text>
    </comment>
    <comment ref="B221" authorId="0" shapeId="0">
      <text>
        <r>
          <rPr>
            <sz val="8"/>
            <color indexed="81"/>
            <rFont val="Tahoma"/>
            <family val="2"/>
          </rPr>
          <t>This is the calculated IOPS profile / mailbox based on the input factors.</t>
        </r>
      </text>
    </comment>
    <comment ref="B222" authorId="0" shapeId="0">
      <text>
        <r>
          <rPr>
            <sz val="8"/>
            <color indexed="81"/>
            <rFont val="Tahoma"/>
            <family val="2"/>
          </rPr>
          <t>This is the database read:write ratio for the given mailbox tier.</t>
        </r>
      </text>
    </comment>
    <comment ref="B225" authorId="0" shapeId="0">
      <text>
        <r>
          <rPr>
            <sz val="9"/>
            <color indexed="81"/>
            <rFont val="Tahoma"/>
            <family val="2"/>
          </rPr>
          <t>The number of HA database copies per database.</t>
        </r>
      </text>
    </comment>
    <comment ref="B226" authorId="0" shapeId="0">
      <text>
        <r>
          <rPr>
            <sz val="9"/>
            <color indexed="81"/>
            <rFont val="Tahoma"/>
            <family val="2"/>
          </rPr>
          <t>The number of lagged database copies per database.</t>
        </r>
      </text>
    </comment>
    <comment ref="B227" authorId="0" shapeId="0">
      <text>
        <r>
          <rPr>
            <sz val="9"/>
            <color indexed="81"/>
            <rFont val="Tahoma"/>
            <family val="2"/>
          </rPr>
          <t>The total number of database copies for each database.</t>
        </r>
      </text>
    </comment>
    <comment ref="B230" authorId="0" shapeId="0">
      <text>
        <r>
          <rPr>
            <sz val="9"/>
            <color indexed="81"/>
            <rFont val="Tahoma"/>
            <family val="2"/>
          </rPr>
          <t>The number of databases required to support the solution.</t>
        </r>
      </text>
    </comment>
    <comment ref="B231" authorId="0" shapeId="0">
      <text>
        <r>
          <rPr>
            <sz val="8"/>
            <color indexed="81"/>
            <rFont val="Tahoma"/>
            <family val="2"/>
          </rPr>
          <t>This is the recommended number of users per database based on the design requirements.</t>
        </r>
      </text>
    </comment>
    <comment ref="B232" authorId="0" shapeId="0">
      <text>
        <r>
          <rPr>
            <sz val="8"/>
            <color indexed="81"/>
            <rFont val="Tahoma"/>
            <family val="2"/>
          </rPr>
          <t>This is the database cache  per mailbox calculated from the amount of RAM available to ESE.</t>
        </r>
      </text>
    </comment>
    <comment ref="B235" authorId="0" shapeId="0">
      <text>
        <r>
          <rPr>
            <sz val="9"/>
            <color indexed="81"/>
            <rFont val="Tahoma"/>
            <family val="2"/>
          </rPr>
          <t>The total number of database copies supported /server, /DAG, and within the environment.</t>
        </r>
      </text>
    </comment>
    <comment ref="B240" authorId="0" shapeId="0">
      <text>
        <r>
          <rPr>
            <sz val="8"/>
            <color indexed="81"/>
            <rFont val="Tahoma"/>
            <family val="2"/>
          </rPr>
          <t>This is the recommended amount of RAM the  Exchange Mailbox server should contain based on design requirements.</t>
        </r>
      </text>
    </comment>
    <comment ref="B241" authorId="0" shapeId="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42"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t>
        </r>
      </text>
    </comment>
    <comment ref="B243" authorId="0" shapeId="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The CPU used to host passive mailboxes/databases is not applied to this calculation.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44" authorId="0" shapeId="0">
      <text>
        <r>
          <rPr>
            <sz val="9"/>
            <color indexed="81"/>
            <rFont val="Tahoma"/>
            <family val="2"/>
          </rPr>
          <t>This is the total adjusted megacycles available on the server platform based on the number of processor cores and SPECint2006 Rate Value normalized against the baseline platform.</t>
        </r>
      </text>
    </comment>
    <comment ref="B245" authorId="0" shapeId="0">
      <text>
        <r>
          <rPr>
            <sz val="9"/>
            <color indexed="81"/>
            <rFont val="Tahoma"/>
            <family val="2"/>
          </rPr>
          <t>This is the possible storage architecture for the mailbox servers.  This is based on the number of database copies and volume architecture.</t>
        </r>
      </text>
    </comment>
    <comment ref="B246" authorId="0" shapeId="0">
      <text>
        <r>
          <rPr>
            <sz val="9"/>
            <color indexed="81"/>
            <rFont val="Tahoma"/>
            <family val="2"/>
          </rPr>
          <t>The recommended location for where the transport queue database should be placed.</t>
        </r>
      </text>
    </comment>
    <comment ref="B251" authorId="0" shapeId="0">
      <text>
        <r>
          <rPr>
            <sz val="8"/>
            <color indexed="81"/>
            <rFont val="Tahoma"/>
            <family val="2"/>
          </rPr>
          <t>This is the number of transaction logs generated for  per day based on the configuration chosen and includes a data overhead factor.</t>
        </r>
      </text>
    </comment>
    <comment ref="B252" authorId="0" shapeId="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53" authorId="0" shapeId="0">
      <text>
        <r>
          <rPr>
            <sz val="9"/>
            <color indexed="81"/>
            <rFont val="Tahoma"/>
            <family val="2"/>
          </rPr>
          <t>This is the total transaction logs generated for both user and mailbox moves per day.</t>
        </r>
      </text>
    </comment>
    <comment ref="B256" authorId="0" shapeId="0">
      <text>
        <r>
          <rPr>
            <sz val="9"/>
            <color indexed="81"/>
            <rFont val="Tahoma"/>
            <family val="2"/>
          </rPr>
          <t>The total amount of disk space required to support the transport mail.que file.</t>
        </r>
      </text>
    </comment>
    <comment ref="B257" authorId="0" shapeId="0">
      <text>
        <r>
          <rPr>
            <sz val="9"/>
            <color indexed="81"/>
            <rFont val="Tahoma"/>
            <family val="2"/>
          </rPr>
          <t>This is the total amount of disk space required to support the mailbox databases.</t>
        </r>
      </text>
    </comment>
    <comment ref="B258" authorId="0" shapeId="0">
      <text>
        <r>
          <rPr>
            <sz val="9"/>
            <color indexed="81"/>
            <rFont val="Tahoma"/>
            <family val="2"/>
          </rPr>
          <t>This is the total amount of disk space required to support the logs.</t>
        </r>
      </text>
    </comment>
    <comment ref="B259" authorId="0" shapeId="0">
      <text>
        <r>
          <rPr>
            <sz val="8"/>
            <color indexed="81"/>
            <rFont val="Tahoma"/>
            <family val="2"/>
          </rPr>
          <t>This is the total amount of volume disk space required to support the databases based on the design requirements.</t>
        </r>
      </text>
    </comment>
    <comment ref="B260" authorId="0" shapeId="0">
      <text>
        <r>
          <rPr>
            <sz val="8"/>
            <color indexed="81"/>
            <rFont val="Tahoma"/>
            <family val="2"/>
          </rPr>
          <t>This is the total amount of volume disk space required to support the transaction logs based on the design requirements.</t>
        </r>
      </text>
    </comment>
    <comment ref="B261" authorId="0" shapeId="0">
      <text>
        <r>
          <rPr>
            <sz val="8"/>
            <color indexed="81"/>
            <rFont val="Tahoma"/>
            <family val="2"/>
          </rPr>
          <t>This is the amount of space required for a Restore Volume to support restoring a set of databases and transaction logs based on the design requirements.</t>
        </r>
      </text>
    </comment>
    <comment ref="B264" authorId="0" shapeId="0">
      <text>
        <r>
          <rPr>
            <sz val="8"/>
            <color indexed="81"/>
            <rFont val="Tahoma"/>
            <family val="2"/>
          </rPr>
          <t>This is the amount of I/O that must be sustained from the host perspective.  This value does not take into account RAID parity overhead.</t>
        </r>
      </text>
    </comment>
    <comment ref="B265" authorId="0" shapeId="0">
      <text>
        <r>
          <rPr>
            <sz val="8"/>
            <color indexed="81"/>
            <rFont val="Tahoma"/>
            <family val="2"/>
          </rPr>
          <t>This is the amount of log I/O that must be sustained from the host perspective.  This value does not take into account RAID parity overhead.</t>
        </r>
      </text>
    </comment>
    <comment ref="B266" authorId="0" shapeId="0">
      <text>
        <r>
          <rPr>
            <sz val="9"/>
            <color indexed="81"/>
            <rFont val="Tahoma"/>
            <family val="2"/>
          </rPr>
          <t>This is the database read:write ratio for the solution.</t>
        </r>
      </text>
    </comment>
    <comment ref="B267" authorId="0" shapeId="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authors>
    <author>Ross Smith IV</author>
  </authors>
  <commentList>
    <comment ref="B10" authorId="0" shapeId="0">
      <text>
        <r>
          <rPr>
            <sz val="9"/>
            <color indexed="81"/>
            <rFont val="Tahoma"/>
            <family val="2"/>
          </rPr>
          <t>The number of servers hosting active mailbox databases within the primary datacenter.</t>
        </r>
      </text>
    </comment>
    <comment ref="B11"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shapeId="0">
      <text>
        <r>
          <rPr>
            <sz val="9"/>
            <color indexed="81"/>
            <rFont val="Tahoma"/>
            <family val="2"/>
          </rPr>
          <t>A Lagged Copy Server is a server which is dedicated to hosting database copies that delay the replay of transaction log files for a period of time.</t>
        </r>
      </text>
    </comment>
    <comment ref="B15"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6"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7"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0"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7" authorId="0" shapeId="0">
      <text>
        <r>
          <rPr>
            <sz val="9"/>
            <color indexed="81"/>
            <rFont val="Tahoma"/>
            <family val="2"/>
          </rPr>
          <t>The number of servers hosting active mailbox databases within the primary datacenter (preferred datacenter for those mailbox databases).</t>
        </r>
      </text>
    </comment>
    <comment ref="B28"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29" authorId="0" shapeId="0">
      <text>
        <r>
          <rPr>
            <sz val="9"/>
            <color indexed="81"/>
            <rFont val="Tahoma"/>
            <family val="2"/>
          </rPr>
          <t>A Lagged Copy Server is a server which is dedicated to hosting database copies that delay the replay of transaction log files for a period of time.</t>
        </r>
      </text>
    </comment>
    <comment ref="B32"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3"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4"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7"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2" authorId="0" shapeId="0">
      <text>
        <r>
          <rPr>
            <sz val="9"/>
            <color indexed="81"/>
            <rFont val="Tahoma"/>
            <family val="2"/>
          </rPr>
          <t>The number of servers hosting active mailbox databases within the primary datacenter (preferred datacenter for those mailbox databases).</t>
        </r>
      </text>
    </comment>
    <comment ref="B43"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4" authorId="0" shapeId="0">
      <text>
        <r>
          <rPr>
            <sz val="9"/>
            <color indexed="81"/>
            <rFont val="Tahoma"/>
            <family val="2"/>
          </rPr>
          <t>A Lagged Copy Server is a server which is dedicated to hosting database copies that delay the replay of transaction log files for a period of time.</t>
        </r>
      </text>
    </comment>
    <comment ref="B47"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8"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9"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2"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authors>
    <author>Mike Hendrickson</author>
  </authors>
  <commentList>
    <comment ref="W21" authorId="0" shapeId="0">
      <text>
        <r>
          <rPr>
            <sz val="9"/>
            <color indexed="81"/>
            <rFont val="Tahoma"/>
            <family val="2"/>
          </rPr>
          <t>Lag</t>
        </r>
      </text>
    </comment>
    <comment ref="X22" authorId="0" shapeId="0">
      <text>
        <r>
          <rPr>
            <sz val="9"/>
            <color indexed="81"/>
            <rFont val="Tahoma"/>
            <family val="2"/>
          </rPr>
          <t>Lag</t>
        </r>
      </text>
    </comment>
    <comment ref="Y23" authorId="0" shapeId="0">
      <text>
        <r>
          <rPr>
            <sz val="9"/>
            <color indexed="81"/>
            <rFont val="Tahoma"/>
            <family val="2"/>
          </rPr>
          <t>Lag</t>
        </r>
      </text>
    </comment>
    <comment ref="V24" authorId="0" shapeId="0">
      <text>
        <r>
          <rPr>
            <sz val="9"/>
            <color indexed="81"/>
            <rFont val="Tahoma"/>
            <family val="2"/>
          </rPr>
          <t>Lag</t>
        </r>
      </text>
    </comment>
    <comment ref="G25" authorId="0" shapeId="0">
      <text>
        <r>
          <rPr>
            <sz val="9"/>
            <color indexed="81"/>
            <rFont val="Tahoma"/>
            <family val="2"/>
          </rPr>
          <t>Lag</t>
        </r>
      </text>
    </comment>
    <comment ref="H26" authorId="0" shapeId="0">
      <text>
        <r>
          <rPr>
            <sz val="9"/>
            <color indexed="81"/>
            <rFont val="Tahoma"/>
            <family val="2"/>
          </rPr>
          <t>Lag</t>
        </r>
      </text>
    </comment>
    <comment ref="E27" authorId="0" shapeId="0">
      <text>
        <r>
          <rPr>
            <sz val="9"/>
            <color indexed="81"/>
            <rFont val="Tahoma"/>
            <family val="2"/>
          </rPr>
          <t>Lag</t>
        </r>
      </text>
    </comment>
    <comment ref="F28" authorId="0" shapeId="0">
      <text>
        <r>
          <rPr>
            <sz val="9"/>
            <color indexed="81"/>
            <rFont val="Tahoma"/>
            <family val="2"/>
          </rPr>
          <t>Lag</t>
        </r>
      </text>
    </comment>
    <comment ref="Y29" authorId="0" shapeId="0">
      <text>
        <r>
          <rPr>
            <sz val="9"/>
            <color indexed="81"/>
            <rFont val="Tahoma"/>
            <family val="2"/>
          </rPr>
          <t>Lag</t>
        </r>
      </text>
    </comment>
    <comment ref="V30" authorId="0" shapeId="0">
      <text>
        <r>
          <rPr>
            <sz val="9"/>
            <color indexed="81"/>
            <rFont val="Tahoma"/>
            <family val="2"/>
          </rPr>
          <t>Lag</t>
        </r>
      </text>
    </comment>
    <comment ref="W31" authorId="0" shapeId="0">
      <text>
        <r>
          <rPr>
            <sz val="9"/>
            <color indexed="81"/>
            <rFont val="Tahoma"/>
            <family val="2"/>
          </rPr>
          <t>Lag</t>
        </r>
      </text>
    </comment>
    <comment ref="X32" authorId="0" shapeId="0">
      <text>
        <r>
          <rPr>
            <sz val="9"/>
            <color indexed="81"/>
            <rFont val="Tahoma"/>
            <family val="2"/>
          </rPr>
          <t>Lag</t>
        </r>
      </text>
    </comment>
    <comment ref="F33" authorId="0" shapeId="0">
      <text>
        <r>
          <rPr>
            <sz val="9"/>
            <color indexed="81"/>
            <rFont val="Tahoma"/>
            <family val="2"/>
          </rPr>
          <t>Lag</t>
        </r>
      </text>
    </comment>
    <comment ref="G34" authorId="0" shapeId="0">
      <text>
        <r>
          <rPr>
            <sz val="9"/>
            <color indexed="81"/>
            <rFont val="Tahoma"/>
            <family val="2"/>
          </rPr>
          <t>Lag</t>
        </r>
      </text>
    </comment>
    <comment ref="H35" authorId="0" shapeId="0">
      <text>
        <r>
          <rPr>
            <sz val="9"/>
            <color indexed="81"/>
            <rFont val="Tahoma"/>
            <family val="2"/>
          </rPr>
          <t>Lag</t>
        </r>
      </text>
    </comment>
    <comment ref="E36" authorId="0" shapeId="0">
      <text>
        <r>
          <rPr>
            <sz val="9"/>
            <color indexed="81"/>
            <rFont val="Tahoma"/>
            <family val="2"/>
          </rPr>
          <t>Lag</t>
        </r>
      </text>
    </comment>
    <comment ref="X37" authorId="0" shapeId="0">
      <text>
        <r>
          <rPr>
            <sz val="9"/>
            <color indexed="81"/>
            <rFont val="Tahoma"/>
            <family val="2"/>
          </rPr>
          <t>Lag</t>
        </r>
      </text>
    </comment>
    <comment ref="Y38" authorId="0" shapeId="0">
      <text>
        <r>
          <rPr>
            <sz val="9"/>
            <color indexed="81"/>
            <rFont val="Tahoma"/>
            <family val="2"/>
          </rPr>
          <t>Lag</t>
        </r>
      </text>
    </comment>
    <comment ref="V39" authorId="0" shapeId="0">
      <text>
        <r>
          <rPr>
            <sz val="9"/>
            <color indexed="81"/>
            <rFont val="Tahoma"/>
            <family val="2"/>
          </rPr>
          <t>Lag</t>
        </r>
      </text>
    </comment>
    <comment ref="W40" authorId="0" shapeId="0">
      <text>
        <r>
          <rPr>
            <sz val="9"/>
            <color indexed="81"/>
            <rFont val="Tahoma"/>
            <family val="2"/>
          </rPr>
          <t>Lag</t>
        </r>
      </text>
    </comment>
    <comment ref="H41" authorId="0" shapeId="0">
      <text>
        <r>
          <rPr>
            <sz val="9"/>
            <color indexed="81"/>
            <rFont val="Tahoma"/>
            <family val="2"/>
          </rPr>
          <t>Lag</t>
        </r>
      </text>
    </comment>
    <comment ref="E42" authorId="0" shapeId="0">
      <text>
        <r>
          <rPr>
            <sz val="9"/>
            <color indexed="81"/>
            <rFont val="Tahoma"/>
            <family val="2"/>
          </rPr>
          <t>Lag</t>
        </r>
      </text>
    </comment>
    <comment ref="F43" authorId="0" shapeId="0">
      <text>
        <r>
          <rPr>
            <sz val="9"/>
            <color indexed="81"/>
            <rFont val="Tahoma"/>
            <family val="2"/>
          </rPr>
          <t>Lag</t>
        </r>
      </text>
    </comment>
    <comment ref="G44" authorId="0" shapeId="0">
      <text>
        <r>
          <rPr>
            <sz val="9"/>
            <color indexed="81"/>
            <rFont val="Tahoma"/>
            <family val="2"/>
          </rPr>
          <t>Lag</t>
        </r>
      </text>
    </comment>
    <comment ref="W45" authorId="0" shapeId="0">
      <text>
        <r>
          <rPr>
            <sz val="9"/>
            <color indexed="81"/>
            <rFont val="Tahoma"/>
            <family val="2"/>
          </rPr>
          <t>Lag</t>
        </r>
      </text>
    </comment>
    <comment ref="X46" authorId="0" shapeId="0">
      <text>
        <r>
          <rPr>
            <sz val="9"/>
            <color indexed="81"/>
            <rFont val="Tahoma"/>
            <family val="2"/>
          </rPr>
          <t>Lag</t>
        </r>
      </text>
    </comment>
    <comment ref="Y47" authorId="0" shapeId="0">
      <text>
        <r>
          <rPr>
            <sz val="9"/>
            <color indexed="81"/>
            <rFont val="Tahoma"/>
            <family val="2"/>
          </rPr>
          <t>Lag</t>
        </r>
      </text>
    </comment>
    <comment ref="V48" authorId="0" shapeId="0">
      <text>
        <r>
          <rPr>
            <sz val="9"/>
            <color indexed="81"/>
            <rFont val="Tahoma"/>
            <family val="2"/>
          </rPr>
          <t>Lag</t>
        </r>
      </text>
    </comment>
    <comment ref="G49" authorId="0" shapeId="0">
      <text>
        <r>
          <rPr>
            <sz val="9"/>
            <color indexed="81"/>
            <rFont val="Tahoma"/>
            <family val="2"/>
          </rPr>
          <t>Lag</t>
        </r>
      </text>
    </comment>
    <comment ref="H50" authorId="0" shapeId="0">
      <text>
        <r>
          <rPr>
            <sz val="9"/>
            <color indexed="81"/>
            <rFont val="Tahoma"/>
            <family val="2"/>
          </rPr>
          <t>Lag</t>
        </r>
      </text>
    </comment>
    <comment ref="E51" authorId="0" shapeId="0">
      <text>
        <r>
          <rPr>
            <sz val="9"/>
            <color indexed="81"/>
            <rFont val="Tahoma"/>
            <family val="2"/>
          </rPr>
          <t>Lag</t>
        </r>
      </text>
    </comment>
    <comment ref="F52" authorId="0" shapeId="0">
      <text>
        <r>
          <rPr>
            <sz val="9"/>
            <color indexed="81"/>
            <rFont val="Tahoma"/>
            <family val="2"/>
          </rPr>
          <t>Lag</t>
        </r>
      </text>
    </comment>
    <comment ref="Y53" authorId="0" shapeId="0">
      <text>
        <r>
          <rPr>
            <sz val="9"/>
            <color indexed="81"/>
            <rFont val="Tahoma"/>
            <family val="2"/>
          </rPr>
          <t>Lag</t>
        </r>
      </text>
    </comment>
    <comment ref="V54" authorId="0" shapeId="0">
      <text>
        <r>
          <rPr>
            <sz val="9"/>
            <color indexed="81"/>
            <rFont val="Tahoma"/>
            <family val="2"/>
          </rPr>
          <t>Lag</t>
        </r>
      </text>
    </comment>
    <comment ref="W55" authorId="0" shapeId="0">
      <text>
        <r>
          <rPr>
            <sz val="9"/>
            <color indexed="81"/>
            <rFont val="Tahoma"/>
            <family val="2"/>
          </rPr>
          <t>Lag</t>
        </r>
      </text>
    </comment>
    <comment ref="X56" authorId="0" shapeId="0">
      <text>
        <r>
          <rPr>
            <sz val="9"/>
            <color indexed="81"/>
            <rFont val="Tahoma"/>
            <family val="2"/>
          </rPr>
          <t>Lag</t>
        </r>
      </text>
    </comment>
    <comment ref="F57" authorId="0" shapeId="0">
      <text>
        <r>
          <rPr>
            <sz val="9"/>
            <color indexed="81"/>
            <rFont val="Tahoma"/>
            <family val="2"/>
          </rPr>
          <t>Lag</t>
        </r>
      </text>
    </comment>
    <comment ref="G58" authorId="0" shapeId="0">
      <text>
        <r>
          <rPr>
            <sz val="9"/>
            <color indexed="81"/>
            <rFont val="Tahoma"/>
            <family val="2"/>
          </rPr>
          <t>Lag</t>
        </r>
      </text>
    </comment>
    <comment ref="H59" authorId="0" shapeId="0">
      <text>
        <r>
          <rPr>
            <sz val="9"/>
            <color indexed="81"/>
            <rFont val="Tahoma"/>
            <family val="2"/>
          </rPr>
          <t>Lag</t>
        </r>
      </text>
    </comment>
    <comment ref="E60" authorId="0" shapeId="0">
      <text>
        <r>
          <rPr>
            <sz val="9"/>
            <color indexed="81"/>
            <rFont val="Tahoma"/>
            <family val="2"/>
          </rPr>
          <t>Lag</t>
        </r>
      </text>
    </comment>
    <comment ref="X61" authorId="0" shapeId="0">
      <text>
        <r>
          <rPr>
            <sz val="9"/>
            <color indexed="81"/>
            <rFont val="Tahoma"/>
            <family val="2"/>
          </rPr>
          <t>Lag</t>
        </r>
      </text>
    </comment>
    <comment ref="Y62" authorId="0" shapeId="0">
      <text>
        <r>
          <rPr>
            <sz val="9"/>
            <color indexed="81"/>
            <rFont val="Tahoma"/>
            <family val="2"/>
          </rPr>
          <t>Lag</t>
        </r>
      </text>
    </comment>
    <comment ref="V63" authorId="0" shapeId="0">
      <text>
        <r>
          <rPr>
            <sz val="9"/>
            <color indexed="81"/>
            <rFont val="Tahoma"/>
            <family val="2"/>
          </rPr>
          <t>Lag</t>
        </r>
      </text>
    </comment>
    <comment ref="W64" authorId="0" shapeId="0">
      <text>
        <r>
          <rPr>
            <sz val="9"/>
            <color indexed="81"/>
            <rFont val="Tahoma"/>
            <family val="2"/>
          </rPr>
          <t>Lag</t>
        </r>
      </text>
    </comment>
    <comment ref="H65" authorId="0" shapeId="0">
      <text>
        <r>
          <rPr>
            <sz val="9"/>
            <color indexed="81"/>
            <rFont val="Tahoma"/>
            <family val="2"/>
          </rPr>
          <t>Lag</t>
        </r>
      </text>
    </comment>
    <comment ref="E66" authorId="0" shapeId="0">
      <text>
        <r>
          <rPr>
            <sz val="9"/>
            <color indexed="81"/>
            <rFont val="Tahoma"/>
            <family val="2"/>
          </rPr>
          <t>Lag</t>
        </r>
      </text>
    </comment>
    <comment ref="F67" authorId="0" shapeId="0">
      <text>
        <r>
          <rPr>
            <sz val="9"/>
            <color indexed="81"/>
            <rFont val="Tahoma"/>
            <family val="2"/>
          </rPr>
          <t>Lag</t>
        </r>
      </text>
    </comment>
    <comment ref="G68" authorId="0" shapeId="0">
      <text>
        <r>
          <rPr>
            <sz val="9"/>
            <color indexed="81"/>
            <rFont val="Tahoma"/>
            <family val="2"/>
          </rPr>
          <t>Lag</t>
        </r>
      </text>
    </comment>
    <comment ref="W69" authorId="0" shapeId="0">
      <text>
        <r>
          <rPr>
            <sz val="9"/>
            <color indexed="81"/>
            <rFont val="Tahoma"/>
            <family val="2"/>
          </rPr>
          <t>Lag</t>
        </r>
      </text>
    </comment>
    <comment ref="X70" authorId="0" shapeId="0">
      <text>
        <r>
          <rPr>
            <sz val="9"/>
            <color indexed="81"/>
            <rFont val="Tahoma"/>
            <family val="2"/>
          </rPr>
          <t>Lag</t>
        </r>
      </text>
    </comment>
    <comment ref="Y71" authorId="0" shapeId="0">
      <text>
        <r>
          <rPr>
            <sz val="9"/>
            <color indexed="81"/>
            <rFont val="Tahoma"/>
            <family val="2"/>
          </rPr>
          <t>Lag</t>
        </r>
      </text>
    </comment>
    <comment ref="V72" authorId="0" shapeId="0">
      <text>
        <r>
          <rPr>
            <sz val="9"/>
            <color indexed="81"/>
            <rFont val="Tahoma"/>
            <family val="2"/>
          </rPr>
          <t>Lag</t>
        </r>
      </text>
    </comment>
    <comment ref="G73" authorId="0" shapeId="0">
      <text>
        <r>
          <rPr>
            <sz val="9"/>
            <color indexed="81"/>
            <rFont val="Tahoma"/>
            <family val="2"/>
          </rPr>
          <t>Lag</t>
        </r>
      </text>
    </comment>
    <comment ref="H74" authorId="0" shapeId="0">
      <text>
        <r>
          <rPr>
            <sz val="9"/>
            <color indexed="81"/>
            <rFont val="Tahoma"/>
            <family val="2"/>
          </rPr>
          <t>Lag</t>
        </r>
      </text>
    </comment>
    <comment ref="E75" authorId="0" shapeId="0">
      <text>
        <r>
          <rPr>
            <sz val="9"/>
            <color indexed="81"/>
            <rFont val="Tahoma"/>
            <family val="2"/>
          </rPr>
          <t>Lag</t>
        </r>
      </text>
    </comment>
    <comment ref="F76" authorId="0" shapeId="0">
      <text>
        <r>
          <rPr>
            <sz val="9"/>
            <color indexed="81"/>
            <rFont val="Tahoma"/>
            <family val="2"/>
          </rPr>
          <t>Lag</t>
        </r>
      </text>
    </comment>
    <comment ref="Y77" authorId="0" shapeId="0">
      <text>
        <r>
          <rPr>
            <sz val="9"/>
            <color indexed="81"/>
            <rFont val="Tahoma"/>
            <family val="2"/>
          </rPr>
          <t>Lag</t>
        </r>
      </text>
    </comment>
    <comment ref="V78" authorId="0" shapeId="0">
      <text>
        <r>
          <rPr>
            <sz val="9"/>
            <color indexed="81"/>
            <rFont val="Tahoma"/>
            <family val="2"/>
          </rPr>
          <t>Lag</t>
        </r>
      </text>
    </comment>
    <comment ref="W79" authorId="0" shapeId="0">
      <text>
        <r>
          <rPr>
            <sz val="9"/>
            <color indexed="81"/>
            <rFont val="Tahoma"/>
            <family val="2"/>
          </rPr>
          <t>Lag</t>
        </r>
      </text>
    </comment>
    <comment ref="X80" authorId="0" shapeId="0">
      <text>
        <r>
          <rPr>
            <sz val="9"/>
            <color indexed="81"/>
            <rFont val="Tahoma"/>
            <family val="2"/>
          </rPr>
          <t>Lag</t>
        </r>
      </text>
    </comment>
    <comment ref="F81" authorId="0" shapeId="0">
      <text>
        <r>
          <rPr>
            <sz val="9"/>
            <color indexed="81"/>
            <rFont val="Tahoma"/>
            <family val="2"/>
          </rPr>
          <t>Lag</t>
        </r>
      </text>
    </comment>
    <comment ref="G82" authorId="0" shapeId="0">
      <text>
        <r>
          <rPr>
            <sz val="9"/>
            <color indexed="81"/>
            <rFont val="Tahoma"/>
            <family val="2"/>
          </rPr>
          <t>Lag</t>
        </r>
      </text>
    </comment>
    <comment ref="H83" authorId="0" shapeId="0">
      <text>
        <r>
          <rPr>
            <sz val="9"/>
            <color indexed="81"/>
            <rFont val="Tahoma"/>
            <family val="2"/>
          </rPr>
          <t>Lag</t>
        </r>
      </text>
    </comment>
    <comment ref="E84" authorId="0" shapeId="0">
      <text>
        <r>
          <rPr>
            <sz val="9"/>
            <color indexed="81"/>
            <rFont val="Tahoma"/>
            <family val="2"/>
          </rPr>
          <t>Lag</t>
        </r>
      </text>
    </comment>
    <comment ref="X85" authorId="0" shapeId="0">
      <text>
        <r>
          <rPr>
            <sz val="9"/>
            <color indexed="81"/>
            <rFont val="Tahoma"/>
            <family val="2"/>
          </rPr>
          <t>Lag</t>
        </r>
      </text>
    </comment>
    <comment ref="Y86" authorId="0" shapeId="0">
      <text>
        <r>
          <rPr>
            <sz val="9"/>
            <color indexed="81"/>
            <rFont val="Tahoma"/>
            <family val="2"/>
          </rPr>
          <t>Lag</t>
        </r>
      </text>
    </comment>
    <comment ref="V87" authorId="0" shapeId="0">
      <text>
        <r>
          <rPr>
            <sz val="9"/>
            <color indexed="81"/>
            <rFont val="Tahoma"/>
            <family val="2"/>
          </rPr>
          <t>Lag</t>
        </r>
      </text>
    </comment>
    <comment ref="W88" authorId="0" shapeId="0">
      <text>
        <r>
          <rPr>
            <sz val="9"/>
            <color indexed="81"/>
            <rFont val="Tahoma"/>
            <family val="2"/>
          </rPr>
          <t>Lag</t>
        </r>
      </text>
    </comment>
    <comment ref="H89" authorId="0" shapeId="0">
      <text>
        <r>
          <rPr>
            <sz val="9"/>
            <color indexed="81"/>
            <rFont val="Tahoma"/>
            <family val="2"/>
          </rPr>
          <t>Lag</t>
        </r>
      </text>
    </comment>
    <comment ref="E90" authorId="0" shapeId="0">
      <text>
        <r>
          <rPr>
            <sz val="9"/>
            <color indexed="81"/>
            <rFont val="Tahoma"/>
            <family val="2"/>
          </rPr>
          <t>Lag</t>
        </r>
      </text>
    </comment>
    <comment ref="F91" authorId="0" shapeId="0">
      <text>
        <r>
          <rPr>
            <sz val="9"/>
            <color indexed="81"/>
            <rFont val="Tahoma"/>
            <family val="2"/>
          </rPr>
          <t>Lag</t>
        </r>
      </text>
    </comment>
    <comment ref="G92" authorId="0" shapeId="0">
      <text>
        <r>
          <rPr>
            <sz val="9"/>
            <color indexed="81"/>
            <rFont val="Tahoma"/>
            <family val="2"/>
          </rPr>
          <t>Lag</t>
        </r>
      </text>
    </comment>
  </commentList>
</comments>
</file>

<file path=xl/comments5.xml><?xml version="1.0" encoding="utf-8"?>
<comments xmlns="http://schemas.openxmlformats.org/spreadsheetml/2006/main">
  <authors>
    <author>Ross Smith IV</author>
    <author>David Mosier</author>
    <author>rosssmi</author>
  </authors>
  <commentList>
    <comment ref="H6" authorId="0" shapeId="0">
      <text>
        <r>
          <rPr>
            <sz val="9"/>
            <color indexed="81"/>
            <rFont val="Tahoma"/>
            <family val="2"/>
          </rPr>
          <t>Number of databases placed on a single volume.  Based on the backup methodology/frequency, mailbox resiliency and log location.</t>
        </r>
      </text>
    </comment>
    <comment ref="H7" authorId="0" shapeId="0">
      <text>
        <r>
          <rPr>
            <sz val="9"/>
            <color indexed="81"/>
            <rFont val="Tahoma"/>
            <family val="2"/>
          </rPr>
          <t>This is the number of databases that will be placed on a single volume.</t>
        </r>
      </text>
    </comment>
    <comment ref="H8" authorId="0" shapeId="0">
      <text>
        <r>
          <rPr>
            <sz val="9"/>
            <color indexed="81"/>
            <rFont val="Tahoma"/>
            <family val="2"/>
          </rPr>
          <t>This is used to help determine the database volume size calculations.</t>
        </r>
      </text>
    </comment>
    <comment ref="H9" authorId="0" shapeId="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0" authorId="0" shapeId="0">
      <text>
        <r>
          <rPr>
            <sz val="9"/>
            <color indexed="81"/>
            <rFont val="Tahoma"/>
            <family val="2"/>
          </rPr>
          <t>Adds spare volume in the event that multiple databases/disk are deployed to support Auto-Reseed.</t>
        </r>
      </text>
    </comment>
    <comment ref="B110" authorId="0" shapeId="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I110" authorId="0" shapeId="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shapeId="0">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shapeId="0">
      <text>
        <r>
          <rPr>
            <sz val="9"/>
            <color indexed="81"/>
            <rFont val="Tahoma"/>
            <family val="2"/>
          </rPr>
          <t>This is the number of databases that will be placed on a single volume.</t>
        </r>
      </text>
    </comment>
    <comment ref="B115" authorId="0" shapeId="0">
      <text>
        <r>
          <rPr>
            <sz val="8"/>
            <color indexed="81"/>
            <rFont val="Tahoma"/>
            <family val="2"/>
          </rPr>
          <t>This is the number of database volumes that will be required based to support the design.</t>
        </r>
      </text>
    </comment>
    <comment ref="B116" authorId="0" shapeId="0">
      <text>
        <r>
          <rPr>
            <sz val="8"/>
            <color indexed="81"/>
            <rFont val="Tahoma"/>
            <family val="2"/>
          </rPr>
          <t>This is the number of transaction log volumes that will be required to support the design.</t>
        </r>
      </text>
    </comment>
    <comment ref="B117" authorId="0" shapeId="0">
      <text>
        <r>
          <rPr>
            <sz val="9"/>
            <color indexed="81"/>
            <rFont val="Tahoma"/>
            <family val="2"/>
          </rPr>
          <t>The recommended number of volumes you should allocate on the server as spares for use by AutoReseed.</t>
        </r>
      </text>
    </comment>
    <comment ref="B118" authorId="0" shapeId="0">
      <text>
        <r>
          <rPr>
            <sz val="8"/>
            <color indexed="81"/>
            <rFont val="Tahoma"/>
            <family val="2"/>
          </rPr>
          <t>This is the recommended number of Restore Volumes based on the design.</t>
        </r>
      </text>
    </comment>
    <comment ref="B119" authorId="0" shapeId="0">
      <text>
        <r>
          <rPr>
            <sz val="9"/>
            <color indexed="81"/>
            <rFont val="Tahoma"/>
            <family val="2"/>
          </rPr>
          <t>The total recommended volumes per server.</t>
        </r>
      </text>
    </comment>
    <comment ref="C122" authorId="2" shapeId="0">
      <text>
        <r>
          <rPr>
            <sz val="8"/>
            <color indexed="81"/>
            <rFont val="Tahoma"/>
            <family val="2"/>
          </rPr>
          <t>Number of mailboxes per database.</t>
        </r>
      </text>
    </comment>
    <comment ref="D122" authorId="0" shapeId="0">
      <text>
        <r>
          <rPr>
            <sz val="9"/>
            <color indexed="81"/>
            <rFont val="Tahoma"/>
            <family val="2"/>
          </rPr>
          <t>This is the database size based on the number of mailboxes and the mailbox size on disk.</t>
        </r>
      </text>
    </comment>
    <comment ref="E122" authorId="2" shapeId="0">
      <text>
        <r>
          <rPr>
            <sz val="9"/>
            <color indexed="81"/>
            <rFont val="Tahoma"/>
            <family val="2"/>
          </rPr>
          <t>This is the database size plus the data overhead factor.</t>
        </r>
        <r>
          <rPr>
            <sz val="8"/>
            <color indexed="81"/>
            <rFont val="Tahoma"/>
            <family val="2"/>
          </rPr>
          <t xml:space="preserve">
</t>
        </r>
      </text>
    </comment>
    <comment ref="F122" authorId="0" shapeId="0">
      <text>
        <r>
          <rPr>
            <sz val="9"/>
            <color indexed="81"/>
            <rFont val="Tahoma"/>
            <family val="2"/>
          </rPr>
          <t>The Log Size is based on the backup or move mailbox requirements and also includes a data growth factor to ensure service availability in the event of spike in transactions.</t>
        </r>
      </text>
    </comment>
    <comment ref="I122" authorId="2" shapeId="0">
      <text>
        <r>
          <rPr>
            <sz val="8"/>
            <color indexed="81"/>
            <rFont val="Tahoma"/>
            <family val="2"/>
          </rPr>
          <t>This field takes the total disk space required for the database and adds to it the size of a database plus 110% (if a dedicated restore Volume does not exist) for offline maintenance operations, an additional 20% of the database size for content indexing (if enabled) plus room for a master merge operation, and includes an amount of free space to ensure the volume  is not 100% utilized (based on Volume Free Space Percentage)</t>
        </r>
      </text>
    </comment>
    <comment ref="J122" authorId="2" shapeId="0">
      <text>
        <r>
          <rPr>
            <sz val="8"/>
            <color indexed="81"/>
            <rFont val="Tahoma"/>
            <family val="2"/>
          </rPr>
          <t>This field lists the amount of space required to support the transaction logs for a given set of databases and includes an amount of free space to ensure the LUN is not 100% utilized (based on LUN Free Space Percentage)</t>
        </r>
      </text>
    </comment>
  </commentList>
</comments>
</file>

<file path=xl/comments6.xml><?xml version="1.0" encoding="utf-8"?>
<comments xmlns="http://schemas.openxmlformats.org/spreadsheetml/2006/main">
  <authors>
    <author>Ross Smith IV</author>
  </authors>
  <commentList>
    <comment ref="B9" authorId="0" shapeId="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shapeId="0">
      <text>
        <r>
          <rPr>
            <sz val="8"/>
            <color indexed="81"/>
            <rFont val="Tahoma"/>
            <family val="2"/>
          </rPr>
          <t>The type of backup methodology you are planning to use.</t>
        </r>
      </text>
    </comment>
    <comment ref="B11" authorId="0" shapeId="0">
      <text>
        <r>
          <rPr>
            <sz val="8"/>
            <color indexed="81"/>
            <rFont val="Tahoma"/>
            <family val="2"/>
          </rPr>
          <t>The frequency at which you perform a backup.</t>
        </r>
      </text>
    </comment>
  </commentList>
</comments>
</file>

<file path=xl/comments7.xml><?xml version="1.0" encoding="utf-8"?>
<comments xmlns="http://schemas.openxmlformats.org/spreadsheetml/2006/main">
  <authors>
    <author>Ross Smith IV</author>
    <author>Paul Galjan</author>
  </authors>
  <commentList>
    <comment ref="B7" authorId="0" shapeId="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8" authorId="0" shapeId="0">
      <text>
        <r>
          <rPr>
            <sz val="8"/>
            <color indexed="81"/>
            <rFont val="Tahoma"/>
            <family val="2"/>
          </rPr>
          <t>Amount of available throughput per second  based on latency for the network link.</t>
        </r>
      </text>
    </comment>
    <comment ref="B9" authorId="0" shapeId="0">
      <text>
        <r>
          <rPr>
            <sz val="9"/>
            <color indexed="81"/>
            <rFont val="Tahoma"/>
            <family val="2"/>
          </rPr>
          <t>This is the calculated RPO.</t>
        </r>
      </text>
    </comment>
    <comment ref="B11" authorId="0" shapeId="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2" authorId="0" shapeId="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3" authorId="0" shapeId="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 authorId="0" shapeId="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5" authorId="0" shapeId="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7" authorId="0" shapeId="0">
      <text>
        <r>
          <rPr>
            <sz val="9"/>
            <color indexed="81"/>
            <rFont val="Tahoma"/>
            <family val="2"/>
          </rPr>
          <t>This is the hour of the day.</t>
        </r>
      </text>
    </comment>
    <comment ref="C17" authorId="0" shapeId="0">
      <text>
        <r>
          <rPr>
            <sz val="9"/>
            <color indexed="81"/>
            <rFont val="Tahoma"/>
            <family val="2"/>
          </rPr>
          <t>This is the percentage of total logs that are generated for the specified hour.</t>
        </r>
      </text>
    </comment>
    <comment ref="D17" authorId="0" shapeId="0">
      <text>
        <r>
          <rPr>
            <sz val="9"/>
            <color indexed="81"/>
            <rFont val="Tahoma"/>
            <family val="2"/>
          </rPr>
          <t>This is the amount of transaction log data generated for the specified hour.</t>
        </r>
      </text>
    </comment>
    <comment ref="E17" authorId="1" shapeId="0">
      <text>
        <r>
          <rPr>
            <sz val="8"/>
            <color indexed="81"/>
            <rFont val="Tahoma"/>
            <family val="2"/>
          </rPr>
          <t>This is the Mbps required for the specified hour given the specified RPO.</t>
        </r>
      </text>
    </comment>
    <comment ref="E68" authorId="0" shapeId="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69" authorId="0" shapeId="0">
      <text>
        <r>
          <rPr>
            <sz val="9"/>
            <color indexed="81"/>
            <rFont val="Tahoma"/>
            <family val="2"/>
          </rPr>
          <t>This is the RPO specified.</t>
        </r>
      </text>
    </comment>
    <comment ref="B71" authorId="0" shapeId="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1" authorId="0" shapeId="0">
      <text>
        <r>
          <rPr>
            <sz val="8"/>
            <color indexed="81"/>
            <rFont val="Tahoma"/>
            <family val="2"/>
          </rPr>
          <t>These only need to be set on source or target machines that are running Windows Server 2003.  Windows Server 2008 will dynamically adjust the TCP Window Size.</t>
        </r>
      </text>
    </comment>
    <comment ref="B137" authorId="0" shapeId="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7" authorId="0" shapeId="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8" authorId="0" shapeId="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shapeId="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39" authorId="0" shapeId="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shapeId="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shapeId="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shapeId="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3" authorId="0" shapeId="0">
      <text>
        <r>
          <rPr>
            <sz val="9"/>
            <color indexed="81"/>
            <rFont val="Tahoma"/>
            <family val="2"/>
          </rPr>
          <t>This is the network link selected on the Input worksheet.</t>
        </r>
      </text>
    </comment>
    <comment ref="L143" authorId="0" shapeId="0">
      <text>
        <r>
          <rPr>
            <sz val="9"/>
            <color indexed="81"/>
            <rFont val="Tahoma"/>
            <family val="2"/>
          </rPr>
          <t>This is the network link you should deploy based on your latency and the amount of data you need to replicate.</t>
        </r>
      </text>
    </comment>
    <comment ref="B144" authorId="0" shapeId="0">
      <text>
        <r>
          <rPr>
            <sz val="9"/>
            <color indexed="81"/>
            <rFont val="Tahoma"/>
            <family val="2"/>
          </rPr>
          <t>This is the network link latency entered on the Input worksheet.</t>
        </r>
      </text>
    </comment>
    <comment ref="L144" authorId="0" shapeId="0">
      <text>
        <r>
          <rPr>
            <sz val="9"/>
            <color indexed="81"/>
            <rFont val="Tahoma"/>
            <family val="2"/>
          </rPr>
          <t>This is the network link you should deploy based on your latency and the amount of data you need to replicate.</t>
        </r>
      </text>
    </comment>
    <comment ref="B145" authorId="0" shapeId="0">
      <text>
        <r>
          <rPr>
            <sz val="9"/>
            <color indexed="81"/>
            <rFont val="Tahoma"/>
            <family val="2"/>
          </rPr>
          <t xml:space="preserve">Here we determine if the chosen network link is acceptable by comparing the required throughput with the achievable throughput.
</t>
        </r>
      </text>
    </comment>
    <comment ref="B146" authorId="0" shapeId="0">
      <text>
        <r>
          <rPr>
            <sz val="9"/>
            <color indexed="81"/>
            <rFont val="Tahoma"/>
            <family val="2"/>
          </rPr>
          <t>Here we determine if the chosen network link is acceptable by comparing the required throughput with the achievable throughput.</t>
        </r>
      </text>
    </comment>
  </commentList>
</comments>
</file>

<file path=xl/comments8.xml><?xml version="1.0" encoding="utf-8"?>
<comments xmlns="http://schemas.openxmlformats.org/spreadsheetml/2006/main">
  <authors>
    <author>Ross Smith IV</author>
  </authors>
  <commentList>
    <comment ref="C31" authorId="0" shapeId="0">
      <text>
        <r>
          <rPr>
            <sz val="9"/>
            <color indexed="81"/>
            <rFont val="Tahoma"/>
            <family val="2"/>
          </rPr>
          <t>This is the predicted maximum mailbox size based on the message profile.</t>
        </r>
      </text>
    </comment>
    <comment ref="C32" authorId="0" shapeId="0">
      <text>
        <r>
          <rPr>
            <sz val="9"/>
            <color indexed="81"/>
            <rFont val="Tahoma"/>
            <family val="2"/>
          </rPr>
          <t>This is the number of months it will take to reach the maximum mailbox size based on the message profile characteristics.</t>
        </r>
      </text>
    </comment>
    <comment ref="C60" authorId="0" shapeId="0">
      <text>
        <r>
          <rPr>
            <sz val="9"/>
            <color indexed="81"/>
            <rFont val="Tahoma"/>
            <family val="2"/>
          </rPr>
          <t>This is the predicted maximum mailbox size based on the message profile.</t>
        </r>
      </text>
    </comment>
    <comment ref="C61" authorId="0" shapeId="0">
      <text>
        <r>
          <rPr>
            <sz val="9"/>
            <color indexed="81"/>
            <rFont val="Tahoma"/>
            <family val="2"/>
          </rPr>
          <t>This is the number of months it will take to reach the maximum mailbox size based on the message profile characteristics.</t>
        </r>
      </text>
    </comment>
    <comment ref="C89" authorId="0" shapeId="0">
      <text>
        <r>
          <rPr>
            <sz val="9"/>
            <color indexed="81"/>
            <rFont val="Tahoma"/>
            <family val="2"/>
          </rPr>
          <t>This is the predicted maximum mailbox size based on the message profile.</t>
        </r>
      </text>
    </comment>
    <comment ref="C90" authorId="0" shapeId="0">
      <text>
        <r>
          <rPr>
            <sz val="9"/>
            <color indexed="81"/>
            <rFont val="Tahoma"/>
            <family val="2"/>
          </rPr>
          <t>This is the number of months it will take to reach the maximum mailbox size based on the message profile characteristics.</t>
        </r>
      </text>
    </comment>
    <comment ref="C118" authorId="0" shapeId="0">
      <text>
        <r>
          <rPr>
            <sz val="9"/>
            <color indexed="81"/>
            <rFont val="Tahoma"/>
            <family val="2"/>
          </rPr>
          <t>This is the predicted maximum mailbox size based on the message profile.</t>
        </r>
      </text>
    </comment>
    <comment ref="C119" authorId="0" shapeId="0">
      <text>
        <r>
          <rPr>
            <sz val="9"/>
            <color indexed="81"/>
            <rFont val="Tahoma"/>
            <family val="2"/>
          </rPr>
          <t>This is the number of months it will take to reach the maximum mailbox size based on the message profile characteristics.</t>
        </r>
      </text>
    </comment>
  </commentList>
</comments>
</file>

<file path=xl/comments9.xml><?xml version="1.0" encoding="utf-8"?>
<comments xmlns="http://schemas.openxmlformats.org/spreadsheetml/2006/main">
  <authors>
    <author>Ross Smith IV</author>
    <author>rosssmi</author>
  </authors>
  <commentList>
    <comment ref="B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shapeId="0">
      <text>
        <r>
          <rPr>
            <sz val="9"/>
            <color indexed="81"/>
            <rFont val="Tahoma"/>
            <family val="2"/>
          </rPr>
          <t>Select the appropriate RAID configuration you would like to utilize for your Restore / Maintenance volume.</t>
        </r>
      </text>
    </comment>
    <comment ref="B22" authorId="0" shapeId="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shapeId="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shapeId="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shapeId="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shapeId="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shapeId="0">
      <text>
        <r>
          <rPr>
            <sz val="9"/>
            <color indexed="81"/>
            <rFont val="Tahoma"/>
            <family val="2"/>
          </rPr>
          <t>Total IO per second the Log LUN must support when configured in a RAID-0 array.</t>
        </r>
      </text>
    </comment>
    <comment ref="B34" authorId="0" shapeId="0">
      <text>
        <r>
          <rPr>
            <sz val="8"/>
            <color indexed="81"/>
            <rFont val="Tahoma"/>
            <family val="2"/>
          </rPr>
          <t>Total IO per second the Log LUN must support when configured in a RAID-1/0 array.
This value also incorporates the RAID-1/0 rebuild penalty.</t>
        </r>
      </text>
    </comment>
    <comment ref="B35" authorId="0" shapeId="0">
      <text>
        <r>
          <rPr>
            <sz val="9"/>
            <color indexed="81"/>
            <rFont val="Tahoma"/>
            <family val="2"/>
          </rPr>
          <t>Total IO per second the database LUN must support when configured in a RAID-0 array.</t>
        </r>
      </text>
    </comment>
    <comment ref="B36" authorId="0" shapeId="0">
      <text>
        <r>
          <rPr>
            <sz val="9"/>
            <color indexed="81"/>
            <rFont val="Tahoma"/>
            <family val="2"/>
          </rPr>
          <t>Total IO per second the database LUN must support when configured in a RAID-1/0 array.</t>
        </r>
      </text>
    </comment>
    <comment ref="B37" authorId="0" shapeId="0">
      <text>
        <r>
          <rPr>
            <sz val="9"/>
            <color indexed="81"/>
            <rFont val="Tahoma"/>
            <family val="2"/>
          </rPr>
          <t>Total IO per second the database LUN must support when configured in a RAID-5 array.</t>
        </r>
      </text>
    </comment>
    <comment ref="B38" authorId="0" shapeId="0">
      <text>
        <r>
          <rPr>
            <sz val="9"/>
            <color indexed="81"/>
            <rFont val="Tahoma"/>
            <family val="2"/>
          </rPr>
          <t>Total IO per second the database LUN must support when configured in a RAID-6 array.</t>
        </r>
      </text>
    </comment>
    <comment ref="B39" authorId="0" shapeId="0">
      <text>
        <r>
          <rPr>
            <sz val="9"/>
            <color indexed="81"/>
            <rFont val="Tahoma"/>
            <family val="2"/>
          </rPr>
          <t>This is the required number of IOPS required when utilizing RAID-1/0 to ensure that the system can handle the rebuild during a drive failure.</t>
        </r>
      </text>
    </comment>
    <comment ref="B40" authorId="0" shapeId="0">
      <text>
        <r>
          <rPr>
            <sz val="9"/>
            <color indexed="81"/>
            <rFont val="Tahoma"/>
            <family val="2"/>
          </rPr>
          <t>Total IO per second the database LUN must support when configured in a RAID-1/0 array.</t>
        </r>
      </text>
    </comment>
    <comment ref="B41" authorId="0" shapeId="0">
      <text>
        <r>
          <rPr>
            <sz val="9"/>
            <color indexed="81"/>
            <rFont val="Tahoma"/>
            <family val="2"/>
          </rPr>
          <t>Total IO per second the database LUN must support when configured in a RAID-5 array.</t>
        </r>
      </text>
    </comment>
    <comment ref="B42" authorId="0" shapeId="0">
      <text>
        <r>
          <rPr>
            <sz val="9"/>
            <color indexed="81"/>
            <rFont val="Tahoma"/>
            <family val="2"/>
          </rPr>
          <t>Total IO per second the database LUN must support when configured in a RAID-6 array.</t>
        </r>
      </text>
    </comment>
    <comment ref="B45" authorId="1" shapeId="0">
      <text>
        <r>
          <rPr>
            <sz val="8"/>
            <color indexed="81"/>
            <rFont val="Tahoma"/>
            <family val="2"/>
          </rPr>
          <t>This is the  raw capacity of the disk (the unformatted capacity).</t>
        </r>
      </text>
    </comment>
    <comment ref="B46"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shapeId="0">
      <text>
        <r>
          <rPr>
            <sz val="8"/>
            <color indexed="81"/>
            <rFont val="Tahoma"/>
            <family val="2"/>
          </rPr>
          <t>Some vendors believe that you shouldn't use all the I/O capacity of a disk as that can lead to disk bottlenecks.
Microsoft does not recommend changing this value.</t>
        </r>
      </text>
    </comment>
    <comment ref="B48" authorId="1" shapeId="0">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shapeId="0">
      <text>
        <r>
          <rPr>
            <sz val="8"/>
            <color indexed="81"/>
            <rFont val="Tahoma"/>
            <family val="2"/>
          </rPr>
          <t>This is how much I/O the physical disk can sustain at the controller when performing sequential I/O reads or writes.</t>
        </r>
      </text>
    </comment>
    <comment ref="B52" authorId="1" shapeId="0">
      <text>
        <r>
          <rPr>
            <sz val="8"/>
            <color indexed="81"/>
            <rFont val="Tahoma"/>
            <family val="2"/>
          </rPr>
          <t>This is the  raw capacity of the disk (the unformatted capacity).</t>
        </r>
      </text>
    </comment>
    <comment ref="B53"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shapeId="0">
      <text>
        <r>
          <rPr>
            <sz val="8"/>
            <color indexed="81"/>
            <rFont val="Tahoma"/>
            <family val="2"/>
          </rPr>
          <t>Some vendors believe that you shouldn't use all the I/O capacity of a disk as that can lead to disk bottlenecks.
Microsoft does not recommend changing this value.</t>
        </r>
      </text>
    </comment>
    <comment ref="B55" authorId="1" shapeId="0">
      <text>
        <r>
          <rPr>
            <sz val="8"/>
            <color indexed="81"/>
            <rFont val="Tahoma"/>
            <family val="2"/>
          </rPr>
          <t>This is how much I/O the physical disk can sustain at the controller when performing sequential I/O reads or writes.</t>
        </r>
      </text>
    </comment>
    <comment ref="B58" authorId="1" shapeId="0">
      <text>
        <r>
          <rPr>
            <sz val="8"/>
            <color indexed="81"/>
            <rFont val="Tahoma"/>
            <family val="2"/>
          </rPr>
          <t>This is the  raw capacity of the disk (the unformatted capacity).</t>
        </r>
      </text>
    </comment>
    <comment ref="B59"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shapeId="0">
      <text>
        <r>
          <rPr>
            <sz val="8"/>
            <color indexed="81"/>
            <rFont val="Tahoma"/>
            <family val="2"/>
          </rPr>
          <t>Some vendors believe that you shouldn't use all the I/O capacity of a disk as that can lead to disk bottlenecks.
Microsoft does not recommend changing this value.</t>
        </r>
      </text>
    </comment>
    <comment ref="B61"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shapeId="0">
      <text>
        <r>
          <rPr>
            <sz val="8"/>
            <color indexed="81"/>
            <rFont val="Tahoma"/>
            <family val="2"/>
          </rPr>
          <t>This is the  raw capacity of the disk (the unformatted capacity).</t>
        </r>
      </text>
    </comment>
    <comment ref="B65"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shapeId="0">
      <text>
        <r>
          <rPr>
            <sz val="8"/>
            <color indexed="81"/>
            <rFont val="Tahoma"/>
            <family val="2"/>
          </rPr>
          <t>Some vendors believe that you shouldn't use all the I/O capacity of a disk as that can lead to disk bottlenecks.
Microsoft does not recommend changing this value.</t>
        </r>
      </text>
    </comment>
    <comment ref="B67"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shapeId="0">
      <text>
        <r>
          <rPr>
            <sz val="8"/>
            <color indexed="81"/>
            <rFont val="Tahoma"/>
            <family val="2"/>
          </rPr>
          <t>This is the number of disks that must support the database design based on I/O performance in a RAID-0 configuration.</t>
        </r>
      </text>
    </comment>
    <comment ref="B73" authorId="1" shapeId="0">
      <text>
        <r>
          <rPr>
            <sz val="8"/>
            <color indexed="81"/>
            <rFont val="Tahoma"/>
            <family val="2"/>
          </rPr>
          <t>This is the number of disks that must support the database design based on I/O performance in a RAID-1/0 configuration.</t>
        </r>
      </text>
    </comment>
    <comment ref="B74" authorId="1" shapeId="0">
      <text>
        <r>
          <rPr>
            <sz val="8"/>
            <color indexed="81"/>
            <rFont val="Tahoma"/>
            <family val="2"/>
          </rPr>
          <t>This is the number of disks that must support the database design based on I/O performance in a RAID-5 configuration.</t>
        </r>
      </text>
    </comment>
    <comment ref="B75" authorId="1" shapeId="0">
      <text>
        <r>
          <rPr>
            <sz val="8"/>
            <color indexed="81"/>
            <rFont val="Tahoma"/>
            <family val="2"/>
          </rPr>
          <t>This is the number of disks that must support the database design based on I/O performance in a RAID-6 configuration.</t>
        </r>
      </text>
    </comment>
    <comment ref="B76" authorId="1" shapeId="0">
      <text>
        <r>
          <rPr>
            <sz val="8"/>
            <color indexed="81"/>
            <rFont val="Tahoma"/>
            <family val="2"/>
          </rPr>
          <t>This is the minimum number of disks that must support the database design based on capacity.</t>
        </r>
      </text>
    </comment>
    <comment ref="B77" authorId="1" shapeId="0">
      <text>
        <r>
          <rPr>
            <sz val="8"/>
            <color indexed="81"/>
            <rFont val="Tahoma"/>
            <family val="2"/>
          </rPr>
          <t>This is the number of disks that must support the database design based on capacity in a RAID-1/0 configuration.</t>
        </r>
      </text>
    </comment>
    <comment ref="B78" authorId="1" shapeId="0">
      <text>
        <r>
          <rPr>
            <sz val="8"/>
            <color indexed="81"/>
            <rFont val="Tahoma"/>
            <family val="2"/>
          </rPr>
          <t>This is the number of disks that must support the database design based on capacity in a RAID-5 configuration.</t>
        </r>
      </text>
    </comment>
    <comment ref="B79" authorId="1" shapeId="0">
      <text>
        <r>
          <rPr>
            <sz val="8"/>
            <color indexed="81"/>
            <rFont val="Tahoma"/>
            <family val="2"/>
          </rPr>
          <t>This is the number of disks that must support the database design based on capacity in a RAID-6 configuration.</t>
        </r>
      </text>
    </comment>
    <comment ref="B82"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shapeId="0">
      <text>
        <r>
          <rPr>
            <sz val="8"/>
            <color indexed="81"/>
            <rFont val="Tahoma"/>
            <family val="2"/>
          </rPr>
          <t>Minimum number of disks required to support the transaction log capacity.</t>
        </r>
      </text>
    </comment>
    <comment ref="B84" authorId="0" shapeId="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shapeId="0">
      <text>
        <r>
          <rPr>
            <sz val="8"/>
            <color indexed="81"/>
            <rFont val="Tahoma"/>
            <family val="2"/>
          </rPr>
          <t>This is the number of disks needed to meet the capacity requirements of the Restore LUN.</t>
        </r>
      </text>
    </comment>
    <comment ref="B89" authorId="0" shapeId="0">
      <text>
        <r>
          <rPr>
            <sz val="8"/>
            <color indexed="81"/>
            <rFont val="Tahoma"/>
            <family val="2"/>
          </rPr>
          <t>This calculation determines the number of disks necessary to support the Restore Volume based on the capacity requirements in a RAID-1/0 configuration.</t>
        </r>
      </text>
    </comment>
    <comment ref="B90" authorId="0" shapeId="0">
      <text>
        <r>
          <rPr>
            <sz val="8"/>
            <color indexed="81"/>
            <rFont val="Tahoma"/>
            <family val="2"/>
          </rPr>
          <t>This calculation determines the number of disks necessary to support the Restore Volume based on the capacity requirements in a RAID-5 configuration.</t>
        </r>
      </text>
    </comment>
    <comment ref="B91" authorId="0" shapeId="0">
      <text>
        <r>
          <rPr>
            <sz val="8"/>
            <color indexed="81"/>
            <rFont val="Tahoma"/>
            <family val="2"/>
          </rPr>
          <t>This calculation determines the number of disks necessary to support the Restore Volume based on the capacity requirements in a RAID-6 configuration.</t>
        </r>
      </text>
    </comment>
    <comment ref="B94" authorId="0" shapeId="0">
      <text>
        <r>
          <rPr>
            <sz val="9"/>
            <color indexed="81"/>
            <rFont val="Tahoma"/>
            <family val="2"/>
          </rPr>
          <t>Number of disks required to meet the I/O requirements for the given RAID configuration.</t>
        </r>
      </text>
    </comment>
    <comment ref="B95" authorId="0" shapeId="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shapeId="0">
      <text>
        <r>
          <rPr>
            <sz val="9"/>
            <color indexed="81"/>
            <rFont val="Tahoma"/>
            <family val="2"/>
          </rPr>
          <t>Number of disks required to meet the I/O requirements for the given RAID configuration.</t>
        </r>
      </text>
    </comment>
    <comment ref="B97" authorId="0" shapeId="0">
      <text>
        <r>
          <rPr>
            <sz val="9"/>
            <color indexed="81"/>
            <rFont val="Tahoma"/>
            <family val="2"/>
          </rPr>
          <t>Number of disks required to meet the capacity requirements for the given RAID configuration.</t>
        </r>
      </text>
    </comment>
    <comment ref="B98" authorId="0" shapeId="0">
      <text>
        <r>
          <rPr>
            <sz val="9"/>
            <color indexed="81"/>
            <rFont val="Tahoma"/>
            <family val="2"/>
          </rPr>
          <t>Number of disks required to meet the I/O requirements for the given RAID configuration.</t>
        </r>
      </text>
    </comment>
    <comment ref="B99" authorId="0" shapeId="0">
      <text>
        <r>
          <rPr>
            <sz val="9"/>
            <color indexed="81"/>
            <rFont val="Tahoma"/>
            <family val="2"/>
          </rPr>
          <t>Number of disks required to meet the capacity requirements for the given RAID configuration.</t>
        </r>
      </text>
    </comment>
    <comment ref="B100" authorId="0" shapeId="0">
      <text>
        <r>
          <rPr>
            <sz val="9"/>
            <color indexed="81"/>
            <rFont val="Tahoma"/>
            <family val="2"/>
          </rPr>
          <t>Number of disks required to meet the I/O requirements for the given RAID configuration.</t>
        </r>
      </text>
    </comment>
    <comment ref="B101" authorId="0" shapeId="0">
      <text>
        <r>
          <rPr>
            <sz val="9"/>
            <color indexed="81"/>
            <rFont val="Tahoma"/>
            <family val="2"/>
          </rPr>
          <t>Number of disks required to meet the capacity requirements for the given RAID configuration.</t>
        </r>
      </text>
    </comment>
    <comment ref="B104" authorId="0" shapeId="0">
      <text>
        <r>
          <rPr>
            <sz val="9"/>
            <color indexed="81"/>
            <rFont val="Tahoma"/>
            <family val="2"/>
          </rPr>
          <t>Number of disks required to meet the I/O requirements for the given RAID configuration.</t>
        </r>
      </text>
    </comment>
    <comment ref="B105" authorId="0" shapeId="0">
      <text>
        <r>
          <rPr>
            <sz val="9"/>
            <color indexed="81"/>
            <rFont val="Tahoma"/>
            <family val="2"/>
          </rPr>
          <t>Number of disks required to meet the capacity requirements for the given RAID configuration.</t>
        </r>
      </text>
    </comment>
    <comment ref="B106" authorId="0" shapeId="0">
      <text>
        <r>
          <rPr>
            <sz val="9"/>
            <color indexed="81"/>
            <rFont val="Tahoma"/>
            <family val="2"/>
          </rPr>
          <t>Number of disks required to meet the I/O requirements for the given RAID configuration.</t>
        </r>
      </text>
    </comment>
    <comment ref="B107" authorId="0" shapeId="0">
      <text>
        <r>
          <rPr>
            <sz val="9"/>
            <color indexed="81"/>
            <rFont val="Tahoma"/>
            <family val="2"/>
          </rPr>
          <t>Number of disks required to meet the capacity requirements for the given RAID configuration.</t>
        </r>
      </text>
    </comment>
    <comment ref="B133" authorId="0" shapeId="0">
      <text>
        <r>
          <rPr>
            <sz val="9"/>
            <color indexed="81"/>
            <rFont val="Tahoma"/>
            <family val="2"/>
          </rPr>
          <t>Number of disks required for the optimum RAID configuration.</t>
        </r>
      </text>
    </comment>
    <comment ref="B134" authorId="0" shapeId="0">
      <text>
        <r>
          <rPr>
            <sz val="9"/>
            <color indexed="81"/>
            <rFont val="Tahoma"/>
            <family val="2"/>
          </rPr>
          <t>Number of disks required for the optimum RAID configuration.</t>
        </r>
      </text>
    </comment>
    <comment ref="B135" authorId="0" shapeId="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6" authorId="0" shapeId="0">
      <text>
        <r>
          <rPr>
            <sz val="9"/>
            <color indexed="81"/>
            <rFont val="Tahoma"/>
            <family val="2"/>
          </rPr>
          <t>Number of disks required for the optimum RAID configuration.</t>
        </r>
      </text>
    </comment>
    <comment ref="B137" authorId="0" shapeId="0">
      <text>
        <r>
          <rPr>
            <sz val="9"/>
            <color indexed="81"/>
            <rFont val="Tahoma"/>
            <family val="2"/>
          </rPr>
          <t>This calculation determines the desired RAID configuration based on user input.</t>
        </r>
      </text>
    </comment>
    <comment ref="B138" authorId="0" shapeId="0">
      <text>
        <r>
          <rPr>
            <sz val="9"/>
            <color indexed="81"/>
            <rFont val="Tahoma"/>
            <family val="2"/>
          </rPr>
          <t>Number of disks required for the optimum RAID configuration.</t>
        </r>
      </text>
    </comment>
    <comment ref="B154" authorId="0" shapeId="0">
      <text>
        <r>
          <rPr>
            <sz val="9"/>
            <color indexed="81"/>
            <rFont val="Tahoma"/>
            <family val="2"/>
          </rPr>
          <t>Number of disks required for the optimum JBOD configuration.</t>
        </r>
      </text>
    </comment>
    <comment ref="B155" authorId="0" shapeId="0">
      <text>
        <r>
          <rPr>
            <sz val="9"/>
            <color indexed="81"/>
            <rFont val="Tahoma"/>
            <family val="2"/>
          </rPr>
          <t>Number of disks required for the optimum JBOD configuration.</t>
        </r>
      </text>
    </comment>
    <comment ref="B160"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3" authorId="0" shapeId="0">
      <text>
        <r>
          <rPr>
            <sz val="9"/>
            <color indexed="81"/>
            <rFont val="Tahoma"/>
            <family val="2"/>
          </rPr>
          <t>This is the optimum disk configuration (capacity and type) for the mailbox server solution.</t>
        </r>
      </text>
    </comment>
    <comment ref="B164" authorId="0" shapeId="0">
      <text>
        <r>
          <rPr>
            <sz val="8"/>
            <color indexed="81"/>
            <rFont val="Tahoma"/>
            <family val="2"/>
          </rPr>
          <t>This is the recommended RAID configuration for the database disk group.</t>
        </r>
      </text>
    </comment>
    <comment ref="B165" authorId="0" shapeId="0">
      <text>
        <r>
          <rPr>
            <sz val="8"/>
            <color indexed="81"/>
            <rFont val="Tahoma"/>
            <family val="2"/>
          </rPr>
          <t>The optimum number of disks will be determined based on ensuring performance is achieved first with the minimal number of disks followed by capacity.</t>
        </r>
      </text>
    </comment>
    <comment ref="B168" authorId="0" shapeId="0">
      <text>
        <r>
          <rPr>
            <sz val="9"/>
            <color indexed="81"/>
            <rFont val="Tahoma"/>
            <family val="2"/>
          </rPr>
          <t>This is the optimum disk configuration (capacity and type) for the mailbox server solution.</t>
        </r>
      </text>
    </comment>
    <comment ref="B169" authorId="0" shapeId="0">
      <text>
        <r>
          <rPr>
            <sz val="8"/>
            <color indexed="81"/>
            <rFont val="Tahoma"/>
            <family val="2"/>
          </rPr>
          <t>This is the recommended RAID configuration for the database disk group.</t>
        </r>
      </text>
    </comment>
    <comment ref="B170" authorId="0" shapeId="0">
      <text>
        <r>
          <rPr>
            <sz val="8"/>
            <color indexed="81"/>
            <rFont val="Tahoma"/>
            <family val="2"/>
          </rPr>
          <t>The optimum number of disks will be determined based on ensuring performance is achieved first with the minimal number of disks followed by capacity.</t>
        </r>
      </text>
    </comment>
    <comment ref="B178"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81" authorId="0" shapeId="0">
      <text>
        <r>
          <rPr>
            <sz val="9"/>
            <color indexed="81"/>
            <rFont val="Tahoma"/>
            <family val="2"/>
          </rPr>
          <t>This is the optimum disk configuration (capacity and type) for the mailbox server solution.</t>
        </r>
      </text>
    </comment>
    <comment ref="B182" authorId="0" shapeId="0">
      <text>
        <r>
          <rPr>
            <sz val="8"/>
            <color indexed="81"/>
            <rFont val="Tahoma"/>
            <family val="2"/>
          </rPr>
          <t>The optimum number of disks will be determined based on ensuring performance is achieved first with the minimal number of disks followed by capacity.</t>
        </r>
      </text>
    </comment>
    <comment ref="B185" authorId="0" shapeId="0">
      <text>
        <r>
          <rPr>
            <sz val="9"/>
            <color indexed="81"/>
            <rFont val="Tahoma"/>
            <family val="2"/>
          </rPr>
          <t>This is the optimum disk configuration (capacity and type) for the mailbox server solution.</t>
        </r>
      </text>
    </comment>
    <comment ref="B186" authorId="0" shapeId="0">
      <text>
        <r>
          <rPr>
            <sz val="8"/>
            <color indexed="81"/>
            <rFont val="Tahoma"/>
            <family val="2"/>
          </rPr>
          <t>The optimum number of disks will be determined based on ensuring performance is achieved first with the minimal number of disks followed by capacity.</t>
        </r>
      </text>
    </comment>
    <comment ref="B191" authorId="0" shapeId="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4" authorId="0" shapeId="0">
      <text>
        <r>
          <rPr>
            <sz val="8"/>
            <color indexed="81"/>
            <rFont val="Tahoma"/>
            <family val="2"/>
          </rPr>
          <t>This is the total number of disks required.
This includes:
- Database disks
- Log disks
- Restore LUN disks</t>
        </r>
      </text>
    </comment>
    <comment ref="B197" authorId="0" shapeId="0">
      <text>
        <r>
          <rPr>
            <sz val="8"/>
            <color indexed="81"/>
            <rFont val="Tahoma"/>
            <family val="2"/>
          </rPr>
          <t>This is the total number of disks required.
This includes:
- Database disks
- Log disks
- Restore LUN disks</t>
        </r>
      </text>
    </comment>
    <comment ref="B200" authorId="0" shapeId="0">
      <text>
        <r>
          <rPr>
            <sz val="9"/>
            <color indexed="81"/>
            <rFont val="Tahoma"/>
            <family val="2"/>
          </rPr>
          <t>The total number of disks deployed in a RAID configuration for use in the DAG and/or environment.</t>
        </r>
      </text>
    </comment>
    <comment ref="B201" authorId="0" shapeId="0">
      <text>
        <r>
          <rPr>
            <sz val="9"/>
            <color indexed="81"/>
            <rFont val="Tahoma"/>
            <family val="2"/>
          </rPr>
          <t>The total number of disks deployed in a JBOD configuration for use in the DAG and/or environment.</t>
        </r>
      </text>
    </comment>
  </commentList>
</comments>
</file>

<file path=xl/comments10.xml><?xml version="1.0" encoding="utf-8"?>
<comments xmlns="http://schemas.openxmlformats.org/spreadsheetml/2006/main">
  <authors>
    <author>David Mosier</author>
    <author>Ross Smith IV</author>
  </authors>
  <commentList>
    <comment ref="K37" authorId="0" shapeId="0">
      <text>
        <r>
          <rPr>
            <b/>
            <sz val="9"/>
            <color indexed="81"/>
            <rFont val="Tahoma"/>
            <family val="2"/>
          </rPr>
          <t>David Mosier:</t>
        </r>
        <r>
          <rPr>
            <sz val="9"/>
            <color indexed="81"/>
            <rFont val="Tahoma"/>
            <family val="2"/>
          </rPr>
          <t xml:space="preserve">
This is an arbitrary number.  We need PG input on the real value.</t>
        </r>
      </text>
    </comment>
    <comment ref="J39" authorId="1" shapeId="0">
      <text>
        <r>
          <rPr>
            <sz val="8"/>
            <color indexed="81"/>
            <rFont val="Tahoma"/>
            <family val="2"/>
          </rPr>
          <t>By default Content Indexing is enabled in Exchange 2010 mailbox servers.  The results is about a 10% additional capacity requirement per database for each storage group LUN.</t>
        </r>
      </text>
    </comment>
    <comment ref="J43" authorId="1" shapeId="0">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J45" authorId="0" shapeId="0">
      <text>
        <r>
          <rPr>
            <b/>
            <sz val="9"/>
            <color indexed="81"/>
            <rFont val="Tahoma"/>
            <family val="2"/>
          </rPr>
          <t>Enables tracing of VBA code execution to a file</t>
        </r>
      </text>
    </comment>
    <comment ref="J47" authorId="0" shapeId="0">
      <text>
        <r>
          <rPr>
            <b/>
            <sz val="9"/>
            <color indexed="81"/>
            <rFont val="Tahoma"/>
            <family val="2"/>
          </rPr>
          <t>3=very little
4=captures most routines
5=captures all routines including UDF</t>
        </r>
      </text>
    </comment>
    <comment ref="J51" authorId="0" shapeId="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3" authorId="0" shapeId="0">
      <text>
        <r>
          <rPr>
            <b/>
            <sz val="9"/>
            <color indexed="81"/>
            <rFont val="Tahoma"/>
            <family val="2"/>
          </rPr>
          <t>This value is set by VBA code</t>
        </r>
      </text>
    </comment>
  </commentList>
</comments>
</file>

<file path=xl/comments11.xml><?xml version="1.0" encoding="utf-8"?>
<comments xmlns="http://schemas.openxmlformats.org/spreadsheetml/2006/main">
  <authors>
    <author>Ross Smith IV</author>
  </authors>
  <commentList>
    <comment ref="B226" authorId="0" shapeId="0">
      <text>
        <r>
          <rPr>
            <sz val="8"/>
            <color indexed="81"/>
            <rFont val="Tahoma"/>
            <family val="2"/>
          </rPr>
          <t>Random disk I/O measured at the controller</t>
        </r>
      </text>
    </comment>
  </commentList>
</comments>
</file>

<file path=xl/comments12.xml><?xml version="1.0" encoding="utf-8"?>
<comments xmlns="http://schemas.openxmlformats.org/spreadsheetml/2006/main">
  <authors>
    <author>rosssmi</author>
    <author>Ross Smith IV</author>
  </authors>
  <commentList>
    <comment ref="B3" authorId="0" shapeId="0">
      <text>
        <r>
          <rPr>
            <sz val="8"/>
            <color indexed="81"/>
            <rFont val="Tahoma"/>
            <family val="2"/>
          </rPr>
          <t>Select the disk capacity that will be used in the storage design.
Note: Not all capacity choices are available in each disk type.</t>
        </r>
      </text>
    </comment>
    <comment ref="B4" authorId="1" shapeId="0">
      <text>
        <r>
          <rPr>
            <sz val="9"/>
            <color indexed="81"/>
            <rFont val="Tahoma"/>
            <family val="2"/>
          </rPr>
          <t>Choose the disk type that you will be using in your design.
Note: Not all capacity choices are available in each disk type.</t>
        </r>
      </text>
    </comment>
    <comment ref="B7" authorId="0" shapeId="0">
      <text>
        <r>
          <rPr>
            <sz val="8"/>
            <color indexed="81"/>
            <rFont val="Tahoma"/>
            <family val="2"/>
          </rPr>
          <t>Select the disk capacity that will be used in the storage design.
Note: Not all capacity choices are available in each disk type.</t>
        </r>
      </text>
    </comment>
    <comment ref="B8" authorId="1" shapeId="0">
      <text>
        <r>
          <rPr>
            <sz val="9"/>
            <color indexed="81"/>
            <rFont val="Tahoma"/>
            <family val="2"/>
          </rPr>
          <t>Choose the disk type that you will be using in your design.
Note: Not all capacity choices are available in each disk type.</t>
        </r>
      </text>
    </comment>
    <comment ref="B10" authorId="1" shapeId="0">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sharedStrings.xml><?xml version="1.0" encoding="utf-8"?>
<sst xmlns="http://schemas.openxmlformats.org/spreadsheetml/2006/main" count="3028" uniqueCount="1952">
  <si>
    <t>DB Read Transfers/s</t>
  </si>
  <si>
    <t>DB Write Transfers/s</t>
  </si>
  <si>
    <t>Raw Disk Capacity (GB)</t>
  </si>
  <si>
    <t>Formatted Disk Capacity (GB)</t>
  </si>
  <si>
    <t>Peak IOPS</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</si>
  <si>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</si>
  <si>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</si>
  <si>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</si>
  <si>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</si>
  <si>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</si>
  <si>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</si>
  <si>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</si>
  <si>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</si>
  <si>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</si>
  <si>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</si>
  <si>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</si>
  <si>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</si>
  <si>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</si>
  <si>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</si>
  <si>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</si>
  <si>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</si>
  <si>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</si>
  <si>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</si>
  <si>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</si>
  <si>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</si>
  <si>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</si>
  <si>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</si>
  <si>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</si>
  <si>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</si>
  <si>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</si>
  <si>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</si>
  <si>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</si>
  <si>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</si>
  <si>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</si>
  <si>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</si>
  <si>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</si>
  <si>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</si>
  <si>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</si>
  <si>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</si>
  <si>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</si>
  <si>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</si>
  <si>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</si>
  <si>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</si>
  <si>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</si>
  <si>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</si>
  <si>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</si>
  <si>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</si>
  <si>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</si>
  <si>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</si>
  <si>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</si>
  <si>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</si>
  <si>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</si>
  <si>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</si>
  <si>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</si>
  <si>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</si>
  <si>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</si>
  <si>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</si>
  <si>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</si>
  <si>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</si>
  <si>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</si>
  <si>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</si>
  <si>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</si>
  <si>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</si>
  <si>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</si>
  <si>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</si>
  <si>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</si>
  <si>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</si>
  <si>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</si>
  <si>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</si>
  <si>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</si>
  <si>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</si>
  <si>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</si>
  <si>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</si>
  <si>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</si>
  <si>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</si>
  <si>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</si>
  <si>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</si>
  <si>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</si>
  <si>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</si>
  <si>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</si>
  <si>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</si>
  <si>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</si>
  <si>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</si>
  <si>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</si>
  <si>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</si>
  <si>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</si>
  <si>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</si>
  <si>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</si>
  <si>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</si>
  <si>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</si>
  <si>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</si>
  <si>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</si>
  <si>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</si>
  <si>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</si>
  <si>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</si>
  <si>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</si>
  <si>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</si>
  <si>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</si>
  <si>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</si>
  <si>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</si>
  <si>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</si>
  <si>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</si>
  <si>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</si>
  <si>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</si>
  <si>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</si>
  <si>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</si>
  <si>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</si>
  <si>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</si>
  <si>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</si>
  <si>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</si>
  <si>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</si>
  <si>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</si>
  <si>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</si>
  <si>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</si>
  <si>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</si>
  <si>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</si>
  <si>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</si>
  <si>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</si>
  <si>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</si>
  <si>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</si>
  <si>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</si>
  <si>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</si>
  <si>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</si>
  <si>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</si>
  <si>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</si>
  <si>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</si>
  <si>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</si>
  <si>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</si>
  <si>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</si>
  <si>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</si>
  <si>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</si>
  <si>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</si>
  <si>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</si>
  <si>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</si>
  <si>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</si>
  <si>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Log Replication Response</t>
  </si>
  <si>
    <t>Tier-3 User Mailbox Ratio</t>
  </si>
  <si>
    <t>Tier-2 User Mailbox Ratio</t>
  </si>
  <si>
    <t>Tier-1 User Mailbox Ratio</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</si>
  <si>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</si>
  <si>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</si>
  <si>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</si>
  <si>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</si>
  <si>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</si>
  <si>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</si>
  <si>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</si>
  <si>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</si>
  <si>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</si>
  <si>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</si>
  <si>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</si>
  <si>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</si>
  <si>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</si>
  <si>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</si>
  <si>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</si>
  <si>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</si>
  <si>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</si>
  <si>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</si>
  <si>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</si>
  <si>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</si>
  <si>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</si>
  <si>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</si>
  <si>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</si>
  <si>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</si>
  <si>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</si>
  <si>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</si>
  <si>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</si>
  <si>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</si>
  <si>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</si>
  <si>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</si>
  <si>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</si>
  <si>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</si>
  <si>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</si>
  <si>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</si>
  <si>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</si>
  <si>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</si>
  <si>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</si>
  <si>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</si>
  <si>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</si>
  <si>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</si>
  <si>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</si>
  <si>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</si>
  <si>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</si>
  <si>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</si>
  <si>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</si>
  <si>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</si>
  <si>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</si>
  <si>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</si>
  <si>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</si>
  <si>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</si>
  <si>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</si>
  <si>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</si>
  <si>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</si>
  <si>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</si>
  <si>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</si>
  <si>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</si>
  <si>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</si>
  <si>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</si>
  <si>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</si>
  <si>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</si>
  <si>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</si>
  <si>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</si>
  <si>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</si>
  <si>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</si>
  <si>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</si>
  <si>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</si>
  <si>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</si>
  <si>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</si>
  <si>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</si>
  <si>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</si>
  <si>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</si>
  <si>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</si>
  <si>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</si>
  <si>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</si>
  <si>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</si>
  <si>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</si>
  <si>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</si>
  <si>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</si>
  <si>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</si>
  <si>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</si>
  <si>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</si>
  <si>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</si>
  <si>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</si>
  <si>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</si>
  <si>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</si>
  <si>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</si>
  <si>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</si>
  <si>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</si>
  <si>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</si>
  <si>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</si>
  <si>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</si>
  <si>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</si>
  <si>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</si>
  <si>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</si>
  <si>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</si>
  <si>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</si>
  <si>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</si>
  <si>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</si>
  <si>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</si>
  <si>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</si>
  <si>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</si>
  <si>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</si>
  <si>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</si>
  <si>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</si>
  <si>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</si>
  <si>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</si>
  <si>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</si>
  <si>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</si>
  <si>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</si>
  <si>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</si>
  <si>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</si>
  <si>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</si>
  <si>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</si>
  <si>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</si>
  <si>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</si>
  <si>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</si>
  <si>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</si>
  <si>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</si>
  <si>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</si>
  <si>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</si>
  <si>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</si>
  <si>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</si>
  <si>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</si>
  <si>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</si>
  <si>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</si>
  <si>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</si>
  <si>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</si>
  <si>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</si>
  <si>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</si>
  <si>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</si>
  <si>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Instructions</t>
    </r>
    <r>
      <rPr>
        <sz val="11"/>
        <rFont val="Calibri"/>
        <family val="2"/>
      </rPr>
      <t xml:space="preserve">: Fill in the </t>
    </r>
    <r>
      <rPr>
        <sz val="11"/>
        <color indexed="12"/>
        <rFont val="Calibri"/>
        <family val="2"/>
      </rPr>
      <t>blue variables</t>
    </r>
    <r>
      <rPr>
        <sz val="11"/>
        <rFont val="Calibri"/>
        <family val="2"/>
      </rPr>
      <t xml:space="preserve">.  Choose the appropriate drop-downs for the </t>
    </r>
    <r>
      <rPr>
        <sz val="11"/>
        <color indexed="10"/>
        <rFont val="Calibri"/>
        <family val="2"/>
      </rPr>
      <t>red variables</t>
    </r>
    <r>
      <rPr>
        <sz val="11"/>
        <rFont val="Calibri"/>
        <family val="2"/>
      </rPr>
      <t>.  The calculator will do the rest.</t>
    </r>
  </si>
  <si>
    <r>
      <t>Note1</t>
    </r>
    <r>
      <rPr>
        <sz val="11"/>
        <rFont val="Calibri"/>
        <family val="2"/>
      </rPr>
      <t>: Do not make any changes to this sheet.  This sheet is only used for calculation purposes.</t>
    </r>
  </si>
  <si>
    <r>
      <t>Note2</t>
    </r>
    <r>
      <rPr>
        <sz val="11"/>
        <rFont val="Calibri"/>
        <family val="2"/>
      </rPr>
      <t>: The calculated IOPS/mbx value has an accuracy of +/- 20% accuracy and does not include third-party products that may generate additional Database Reads and Writes.</t>
    </r>
  </si>
  <si>
    <r>
      <t>Note1</t>
    </r>
    <r>
      <rPr>
        <sz val="11"/>
        <rFont val="Calibri"/>
        <family val="2"/>
        <scheme val="minor"/>
      </rPr>
      <t>: Do not make any changes to this sheet.  This sheet is only used for calculation purposes.</t>
    </r>
  </si>
  <si>
    <r>
      <t>Note2</t>
    </r>
    <r>
      <rPr>
        <sz val="11"/>
        <rFont val="Calibri"/>
        <family val="2"/>
        <scheme val="minor"/>
      </rPr>
      <t>: The results shown assume that all servers entered into the calculator will replicate over the same network link.</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</si>
  <si>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</si>
  <si>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</si>
  <si>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</si>
  <si>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</si>
  <si>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</si>
  <si>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</si>
  <si>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</si>
  <si>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</si>
  <si>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</si>
  <si>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</si>
  <si>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</si>
  <si>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</si>
  <si>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</si>
  <si>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</si>
  <si>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</si>
  <si>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</si>
  <si>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</si>
  <si>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</si>
  <si>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</si>
  <si>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</si>
  <si>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</si>
  <si>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</si>
  <si>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</si>
  <si>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</si>
  <si>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</si>
  <si>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</si>
  <si>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</si>
  <si>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Statements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</si>
  <si>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</si>
  <si>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</si>
  <si>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</si>
  <si>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</si>
  <si>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</si>
  <si>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</si>
  <si>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</si>
  <si>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</si>
  <si>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</si>
  <si>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</si>
  <si>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</si>
  <si>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</si>
  <si>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Database Size Statement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</si>
  <si>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</si>
  <si>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</si>
  <si>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</si>
  <si>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</si>
  <si>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</si>
  <si>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</si>
  <si>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</si>
  <si>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</si>
  <si>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</si>
  <si>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</si>
  <si>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</si>
  <si>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</si>
  <si>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</si>
  <si>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</si>
  <si>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</si>
  <si>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</si>
  <si>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</si>
  <si>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</si>
  <si>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</si>
  <si>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</si>
  <si>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</si>
  <si>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</si>
  <si>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</si>
  <si>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</si>
  <si>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</si>
  <si>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</si>
  <si>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</si>
  <si>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</si>
  <si>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</si>
  <si>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</si>
  <si>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</si>
  <si>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</si>
  <si>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Content Index Impact</t>
  </si>
  <si>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</si>
  <si>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</si>
  <si>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</si>
  <si>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</si>
  <si>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</si>
  <si>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</si>
  <si>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</si>
  <si>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</si>
  <si>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</si>
  <si>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</si>
  <si>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</si>
  <si>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</si>
  <si>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</si>
  <si>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</si>
  <si>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</si>
  <si>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</si>
  <si>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</si>
  <si>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</si>
  <si>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</si>
  <si>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</si>
  <si>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</si>
  <si>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</si>
  <si>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</si>
  <si>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</si>
  <si>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</si>
  <si>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</si>
  <si>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</si>
  <si>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</si>
  <si>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</si>
  <si>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</si>
  <si>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</si>
  <si>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</si>
  <si>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</si>
  <si>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</si>
  <si>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</si>
  <si>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</si>
  <si>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Log Disk Space Required / DAG Member</t>
  </si>
  <si>
    <t>Database Disk Space Required</t>
  </si>
  <si>
    <t>Database Disk Space Required for all Copies</t>
  </si>
  <si>
    <t>Total Log Disk Space Required</t>
  </si>
  <si>
    <t>Total Log Disk Space Required for all Copies</t>
  </si>
  <si>
    <t>Peak IOPS / Server</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</si>
  <si>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</si>
  <si>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</si>
  <si>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</si>
  <si>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</si>
  <si>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</si>
  <si>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</si>
  <si>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</si>
  <si>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</si>
  <si>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</si>
  <si>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</si>
  <si>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</si>
  <si>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</si>
  <si>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</si>
  <si>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</si>
  <si>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</si>
  <si>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</si>
  <si>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</si>
  <si>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</si>
  <si>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</si>
  <si>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</si>
  <si>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</si>
  <si>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</si>
  <si>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</si>
  <si>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</si>
  <si>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</si>
  <si>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</si>
  <si>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</si>
  <si>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</si>
  <si>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</si>
  <si>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</si>
  <si>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</si>
  <si>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</si>
  <si>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Peak Log &amp; Content Index Throughput Required / Database</t>
  </si>
  <si>
    <t>Is Network Link Acceptable for RPO Replication?</t>
  </si>
  <si>
    <t>Is Network Link Acceptable for Peak Replication?</t>
  </si>
  <si>
    <t>Recovery Point Objective</t>
  </si>
  <si>
    <t>Total Peak Log &amp; Content Index Replication Throughput Required / Environment</t>
  </si>
  <si>
    <t>RPO Log &amp; Content Index Throughput Required / Database</t>
  </si>
  <si>
    <t>Total RPO Log &amp; Content Index Replication Throughput Required / Environment</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</si>
  <si>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</si>
  <si>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</si>
  <si>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</si>
  <si>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</si>
  <si>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</si>
  <si>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</si>
  <si>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</si>
  <si>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</si>
  <si>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</si>
  <si>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</si>
  <si>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</si>
  <si>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</si>
  <si>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</si>
  <si>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</si>
  <si>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</si>
  <si>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</si>
  <si>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</si>
  <si>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</si>
  <si>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</si>
  <si>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</si>
  <si>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Database and Log Configuration / Server</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</si>
  <si>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</si>
  <si>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</si>
  <si>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</si>
  <si>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</si>
  <si>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</si>
  <si>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</si>
  <si>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</si>
  <si>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</si>
  <si>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</si>
  <si>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</si>
  <si>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</si>
  <si>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</si>
  <si>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</si>
  <si>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</si>
  <si>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</si>
  <si>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</si>
  <si>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</si>
  <si>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</si>
  <si>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</si>
  <si>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</si>
  <si>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</si>
  <si>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</si>
  <si>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</si>
  <si>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</si>
  <si>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</si>
  <si>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</si>
  <si>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</si>
  <si>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</si>
  <si>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</si>
  <si>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</si>
  <si>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</si>
  <si>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</si>
  <si>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</si>
  <si>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</si>
  <si>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</si>
  <si>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</si>
  <si>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</si>
  <si>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</si>
  <si>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</si>
  <si>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</si>
  <si>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</si>
  <si>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</si>
  <si>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</si>
  <si>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r>
      <rPr>
        <b/>
        <sz val="11"/>
        <rFont val="Calibri"/>
        <family val="2"/>
      </rPr>
      <t>Step 3</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server(s) backup configuration, failure tolerance thresholds, and whether you will isolate the database from the transaction logs.</t>
    </r>
  </si>
  <si>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</si>
  <si>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</si>
  <si>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</si>
  <si>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</si>
  <si>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</si>
  <si>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</si>
  <si>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</si>
  <si>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</si>
  <si>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</si>
  <si>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</si>
  <si>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</si>
  <si>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</si>
  <si>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</si>
  <si>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</si>
  <si>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</si>
  <si>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</si>
  <si>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</si>
  <si>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</si>
  <si>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</si>
  <si>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</si>
  <si>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</si>
  <si>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</si>
  <si>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</si>
  <si>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</si>
  <si>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</si>
  <si>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</si>
  <si>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</si>
  <si>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</si>
  <si>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</si>
  <si>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</si>
  <si>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</si>
  <si>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</si>
  <si>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</si>
  <si>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</si>
  <si>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</si>
  <si>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</si>
  <si>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</si>
  <si>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r>
      <rPr>
        <b/>
        <sz val="11"/>
        <rFont val="Calibri"/>
        <family val="2"/>
      </rPr>
      <t>Step 1</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messaging environment's configuration.  For optimal sizing, choose a multiple of the total number of database copies you have selected for the number of mailbox servers.</t>
    </r>
  </si>
  <si>
    <t>Processor Cores / Server</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</si>
  <si>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</si>
  <si>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</si>
  <si>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</si>
  <si>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</si>
  <si>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</si>
  <si>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</si>
  <si>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</si>
  <si>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</si>
  <si>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</si>
  <si>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</si>
  <si>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</si>
  <si>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</si>
  <si>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</si>
  <si>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</si>
  <si>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</si>
  <si>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</si>
  <si>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</si>
  <si>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</si>
  <si>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</si>
  <si>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</si>
  <si>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</si>
  <si>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</si>
  <si>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</si>
  <si>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</si>
  <si>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</si>
  <si>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</si>
  <si>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</si>
  <si>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</si>
  <si>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</si>
  <si>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</si>
  <si>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</si>
  <si>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</si>
  <si>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</si>
  <si>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</si>
  <si>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</si>
  <si>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</si>
  <si>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</si>
  <si>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r>
      <rPr>
        <b/>
        <sz val="11"/>
        <rFont val="Calibri"/>
        <family val="2"/>
      </rPr>
      <t>Step 6 (Optional)</t>
    </r>
    <r>
      <rPr>
        <sz val="11"/>
        <rFont val="Calibri"/>
        <family val="2"/>
      </rPr>
      <t xml:space="preserve"> - If the solution will replicate data between physical locations, then in order to determine the bandwidth requirements, please enter in the appropriate information for cells that are </t>
    </r>
    <r>
      <rPr>
        <sz val="11"/>
        <color rgb="FF0000FF"/>
        <rFont val="Calibri"/>
        <family val="2"/>
      </rPr>
      <t>blue</t>
    </r>
    <r>
      <rPr>
        <sz val="11"/>
        <rFont val="Calibri"/>
        <family val="2"/>
      </rPr>
      <t xml:space="preserve"> concerning your log generation frequency on an hourly basis and network link latency.  Also, choose the appropriate network link type via the </t>
    </r>
    <r>
      <rPr>
        <sz val="11"/>
        <color rgb="FFFF0000"/>
        <rFont val="Calibri"/>
        <family val="2"/>
      </rPr>
      <t>red</t>
    </r>
    <r>
      <rPr>
        <sz val="11"/>
        <rFont val="Calibri"/>
        <family val="2"/>
      </rPr>
      <t xml:space="preserve"> drop-down cell.  This data will help determine the appropriate log bandwidth requirements for the database copies that are being replicated to the secondary datacenter.  When entering the log generation data, enter it for a single server that is representative of the environment.</t>
    </r>
  </si>
  <si>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</si>
  <si>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r>
      <rPr>
        <b/>
        <sz val="11"/>
        <color indexed="18"/>
        <rFont val="Calibri"/>
        <family val="2"/>
      </rPr>
      <t>Legal Information</t>
    </r>
    <r>
      <rPr>
        <sz val="11"/>
        <color indexed="18"/>
        <rFont val="Calibri"/>
        <family val="2"/>
      </rPr>
      <t>: This is provided "AS IS" with no warranties, and confers no rights. Use of this application is subject to the Terms of Use - http://technet.microsoft.com/en-us/library/ee221168(EXCHG.80).aspx.</t>
    </r>
  </si>
  <si>
    <t>Current Version:</t>
  </si>
  <si>
    <t>Number of DAGs</t>
  </si>
  <si>
    <t>Number of User Mailboxes / Environment</t>
  </si>
  <si>
    <t>Number of HA Database Copy Instances Deployed in Secondary Datacenter</t>
  </si>
  <si>
    <t>Number of Lagged Database Copy Instances in Secondary Datacenter</t>
  </si>
  <si>
    <t>One or more disk capacities you have selected for this design is insufficient for deploying a JBOD solution.</t>
  </si>
  <si>
    <t>One or more disk types you have selected for this design is insufficient for deploying a JBOD solution.</t>
  </si>
  <si>
    <t>JBOD Choices</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</si>
  <si>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</si>
  <si>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</si>
  <si>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</si>
  <si>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</si>
  <si>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</si>
  <si>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</si>
  <si>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</si>
  <si>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</si>
  <si>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</si>
  <si>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</si>
  <si>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</si>
  <si>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</si>
  <si>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</si>
  <si>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</si>
  <si>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</si>
  <si>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</si>
  <si>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</si>
  <si>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</si>
  <si>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</si>
  <si>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</si>
  <si>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</si>
  <si>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</si>
  <si>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</si>
  <si>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</si>
  <si>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</si>
  <si>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</si>
  <si>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</si>
  <si>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</si>
  <si>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</si>
  <si>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</si>
  <si>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</si>
  <si>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</si>
  <si>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</si>
  <si>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</si>
  <si>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</si>
  <si>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</si>
  <si>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</si>
  <si>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</si>
  <si>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</si>
  <si>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</si>
  <si>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</si>
  <si>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</si>
  <si>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</si>
  <si>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</si>
  <si>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</si>
  <si>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User Mailbox Ratio</t>
  </si>
  <si>
    <t>Tier-4 Number of Mailboxes / DB</t>
  </si>
  <si>
    <t>Tier-4</t>
  </si>
  <si>
    <t>Number of Active Databases (First Server Failure after SDC Activation)</t>
  </si>
  <si>
    <t>Number of Active Databases (Second Server Failure after SDC Activation)</t>
  </si>
  <si>
    <r>
      <t>Note3:</t>
    </r>
    <r>
      <rPr>
        <sz val="11"/>
        <rFont val="Calibri"/>
        <family val="2"/>
      </rPr>
      <t xml:space="preserve">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r>
  </si>
  <si>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</si>
  <si>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</si>
  <si>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</si>
  <si>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</si>
  <si>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</si>
  <si>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</si>
  <si>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</si>
  <si>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</si>
  <si>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</si>
  <si>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</si>
  <si>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</si>
  <si>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Active/Active (Single DAG)</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</si>
  <si>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</si>
  <si>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</si>
  <si>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</si>
  <si>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</si>
  <si>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</si>
  <si>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</si>
  <si>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</si>
  <si>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</si>
  <si>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</si>
  <si>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</si>
  <si>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</si>
  <si>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</si>
  <si>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</si>
  <si>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</si>
  <si>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</si>
  <si>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</si>
  <si>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</si>
  <si>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</si>
  <si>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Active/Active (Multiple DAGs)</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</si>
  <si>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</si>
  <si>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</si>
  <si>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</si>
  <si>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</si>
  <si>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</si>
  <si>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</si>
  <si>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</si>
  <si>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</si>
  <si>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</si>
  <si>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</si>
  <si>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</si>
  <si>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</si>
  <si>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</si>
  <si>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</si>
  <si>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</si>
  <si>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</si>
  <si>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</si>
  <si>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</si>
  <si>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</si>
  <si>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</si>
  <si>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</si>
  <si>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</si>
  <si>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</si>
  <si>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</si>
  <si>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Note4:</t>
    </r>
    <r>
      <rPr>
        <sz val="11"/>
        <rFont val="Calibri"/>
        <family val="2"/>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</si>
  <si>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</si>
  <si>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</si>
  <si>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</si>
  <si>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</si>
  <si>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2
(Secondary Datacenter)</t>
  </si>
  <si>
    <t>Datacenter 1
(Primary Datacenter)</t>
  </si>
  <si>
    <t>Datacenter 1
(Secondary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</si>
  <si>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</si>
  <si>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</si>
  <si>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</si>
  <si>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</si>
  <si>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</si>
  <si>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</si>
  <si>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</si>
  <si>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</si>
  <si>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</si>
  <si>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</si>
  <si>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</si>
  <si>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</si>
  <si>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</si>
  <si>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</si>
  <si>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Total Number of DC2 Passive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</si>
  <si>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</si>
  <si>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</si>
  <si>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</si>
  <si>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</si>
  <si>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</si>
  <si>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</si>
  <si>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</si>
  <si>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</si>
  <si>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</si>
  <si>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</si>
  <si>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</si>
  <si>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</si>
  <si>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</si>
  <si>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</si>
  <si>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</si>
  <si>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SPECint2006 Rate Value</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</si>
  <si>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</si>
  <si>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</si>
  <si>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</si>
  <si>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</si>
  <si>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</si>
  <si>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</si>
  <si>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</si>
  <si>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</si>
  <si>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</si>
  <si>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</si>
  <si>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r>
      <rPr>
        <b/>
        <sz val="11"/>
        <rFont val="Calibri"/>
        <family val="2"/>
      </rPr>
      <t>Step 5 (Optional)</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server processor configuration.  For more information on how to determine your SPECint2006 Rate Value, please see http://www.spec.org.</t>
    </r>
  </si>
  <si>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</si>
  <si>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</si>
  <si>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</si>
  <si>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</si>
  <si>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</si>
  <si>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</si>
  <si>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</si>
  <si>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</si>
  <si>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</si>
  <si>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</si>
  <si>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</si>
  <si>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</si>
  <si>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 xml:space="preserve">    }</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</si>
  <si>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</si>
  <si>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</si>
  <si>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</si>
  <si>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</si>
  <si>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</si>
  <si>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</si>
  <si>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</si>
  <si>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</si>
  <si>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</si>
  <si>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</si>
  <si>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</si>
  <si>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</si>
  <si>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</si>
  <si>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</si>
  <si>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</si>
  <si>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</si>
  <si>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</si>
  <si>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</si>
  <si>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</si>
  <si>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</si>
  <si>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</si>
  <si>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 xml:space="preserve">    {</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</si>
  <si>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</si>
  <si>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</si>
  <si>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</si>
  <si>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</si>
  <si>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</si>
  <si>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</si>
  <si>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</si>
  <si>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</si>
  <si>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</si>
  <si>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</si>
  <si>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</si>
  <si>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</si>
  <si>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</si>
  <si>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</si>
  <si>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 xml:space="preserve">    # Loop Number of seconds you want to sleep</t>
  </si>
  <si>
    <t xml:space="preserve">        # Progress bar showing progress of the sleep</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</si>
  <si>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</si>
  <si>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</si>
  <si>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</si>
  <si>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</si>
  <si>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</si>
  <si>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</si>
  <si>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</si>
  <si>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</si>
  <si>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</si>
  <si>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</si>
  <si>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</si>
  <si>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</si>
  <si>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</si>
  <si>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</si>
  <si>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</si>
  <si>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</si>
  <si>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DAG</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</si>
  <si>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</si>
  <si>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</si>
  <si>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</si>
  <si>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</si>
  <si>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</si>
  <si>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</si>
  <si>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</si>
  <si>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</si>
  <si>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</si>
  <si>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</si>
  <si>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</si>
  <si>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</si>
  <si>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</si>
  <si>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</si>
  <si>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</si>
  <si>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</si>
  <si>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status messages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</si>
  <si>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</si>
  <si>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</si>
  <si>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</si>
  <si>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</si>
  <si>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</si>
  <si>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</si>
  <si>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</si>
  <si>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</si>
  <si>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</si>
  <si>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</si>
  <si>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r>
      <rPr>
        <b/>
        <sz val="11"/>
        <rFont val="Calibri"/>
        <family val="2"/>
        <scheme val="minor"/>
      </rPr>
      <t>Step 4</t>
    </r>
    <r>
      <rPr>
        <sz val="11"/>
        <rFont val="Calibri"/>
        <family val="2"/>
        <scheme val="minor"/>
      </rPr>
      <t xml:space="preserve">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r>
  </si>
  <si>
    <t>Log Volume Space Required</t>
  </si>
  <si>
    <t>Restore Volume Space Required</t>
  </si>
  <si>
    <t>DB and Log Volume Design / Server</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</si>
  <si>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</si>
  <si>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</si>
  <si>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</si>
  <si>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</si>
  <si>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</si>
  <si>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</si>
  <si>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</si>
  <si>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</si>
  <si>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</si>
  <si>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</si>
  <si>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</si>
  <si>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</si>
  <si>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</si>
  <si>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</si>
  <si>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</si>
  <si>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</si>
  <si>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Note: The below table identifies databases by a unique number.  However, databases copies are distributed across the servers, and thus, these numbers hold no significance and are used solely as an example to show a server's volume layout.</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</si>
  <si>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</si>
  <si>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</si>
  <si>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</si>
  <si>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</si>
  <si>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</si>
  <si>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</si>
  <si>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</si>
  <si>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</si>
  <si>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</si>
  <si>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</si>
  <si>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</si>
  <si>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</si>
  <si>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</si>
  <si>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</si>
  <si>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</si>
  <si>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</si>
  <si>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</si>
  <si>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</si>
  <si>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</si>
  <si>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</si>
  <si>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</si>
  <si>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CreateDAG.ps1</t>
  </si>
  <si>
    <t>&lt;#</t>
  </si>
  <si>
    <t>.SYNOPSIS</t>
  </si>
  <si>
    <t>.DESCRIPTION</t>
  </si>
  <si>
    <t xml:space="preserve">	</t>
  </si>
  <si>
    <t xml:space="preserve">		</t>
  </si>
  <si>
    <t>.NOTES</t>
  </si>
  <si>
    <t>Definitions:</t>
  </si>
  <si>
    <t xml:space="preserve">			</t>
  </si>
  <si>
    <t>IMPORTANT</t>
  </si>
  <si>
    <t xml:space="preserve">	provided.</t>
  </si>
  <si>
    <t>.EXAMPLE</t>
  </si>
  <si>
    <t>#&gt;</t>
  </si>
  <si>
    <t>)</t>
  </si>
  <si>
    <t>==========================================================================</t>
  </si>
  <si>
    <t xml:space="preserve">	}</t>
  </si>
  <si>
    <t xml:space="preserve">	Start-Transcript</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</si>
  <si>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</si>
  <si>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</si>
  <si>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</si>
  <si>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</si>
  <si>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</si>
  <si>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</si>
  <si>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</si>
  <si>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</si>
  <si>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</si>
  <si>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</si>
  <si>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</si>
  <si>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</si>
  <si>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</si>
  <si>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</si>
  <si>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</si>
  <si>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</si>
  <si>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</si>
  <si>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</si>
  <si>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</si>
  <si>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 xml:space="preserve">        CreateMBDatabases.ps1</t>
  </si>
  <si>
    <t xml:space="preserve">        Exchange 2013</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</si>
  <si>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</si>
  <si>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</si>
  <si>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</si>
  <si>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PURPOSE.GOSTEELERS.</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</si>
  <si>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</si>
  <si>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</si>
  <si>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</si>
  <si>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</si>
  <si>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</si>
  <si>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</si>
  <si>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</si>
  <si>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</si>
  <si>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</si>
  <si>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</si>
  <si>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</si>
  <si>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</si>
  <si>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</si>
  <si>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</si>
  <si>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</si>
  <si>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</si>
  <si>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</si>
  <si>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</si>
  <si>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</si>
  <si>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</si>
  <si>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</si>
  <si>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</si>
  <si>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you must first disable it. </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</si>
  <si>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</si>
  <si>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</si>
  <si>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</si>
  <si>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</si>
  <si>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</si>
  <si>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Suspended state if the SeedingPostponed parameter is specified. </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</si>
  <si>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</si>
  <si>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</si>
  <si>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</si>
  <si>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</si>
  <si>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</si>
  <si>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</si>
  <si>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</si>
  <si>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</si>
  <si>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</si>
  <si>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</si>
  <si>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</si>
  <si>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</si>
  <si>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</si>
  <si>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</si>
  <si>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</si>
  <si>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</si>
  <si>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</si>
  <si>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</si>
  <si>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</si>
  <si>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</si>
  <si>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</si>
  <si>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</si>
  <si>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</si>
  <si>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</si>
  <si>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</si>
  <si>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</si>
  <si>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</si>
  <si>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</si>
  <si>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</si>
  <si>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</si>
  <si>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</si>
  <si>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</si>
  <si>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</si>
  <si>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</si>
  <si>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</si>
  <si>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</si>
  <si>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</si>
  <si>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</si>
  <si>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</si>
  <si>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</si>
  <si>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</si>
  <si>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to "MailboxDatabaseCopies.csv" in the current directory if no parameter is</t>
  </si>
  <si>
    <t xml:space="preserve">	The path of the DBCopyFile should be enclosed in quotes if it contains</t>
  </si>
  <si>
    <t xml:space="preserve">	./CreateMBDatabaseCopies.ps1 -DBFile "D:\MailboxDatabaseCopies.csv"</t>
  </si>
  <si>
    <t xml:space="preserve">	Runs the CreateMBDatabases command and imports the database copy information</t>
  </si>
  <si>
    <t xml:space="preserve">	from the file MailboxDatabases.csv in the root directory of the D: drive.</t>
  </si>
  <si>
    <t xml:space="preserve">	[Parameter(Position = 0)][String]$DBCopyFile = "MailboxDatabaseCopies.csv"</t>
  </si>
  <si>
    <t>#        PARTICULAR PURPOSE.HEREWEGOSTEELERS.</t>
  </si>
  <si>
    <t xml:space="preserve">    Param($SleepTime)</t>
  </si>
  <si>
    <t xml:space="preserve">    For ($i=0;$i -le $SleepTime;$i++){</t>
  </si>
  <si>
    <t xml:space="preserve">        $TimeLeft = ($SleepTime - $i);</t>
  </si>
  <si>
    <t xml:space="preserve">        Write-Progress "Sleeping" "$Timeleft More Seconds" -PercentComplete (($i/$SleepTime)*100);</t>
  </si>
  <si>
    <t xml:space="preserve">        If ($i -lt $SleepTime){Sleep 1}</t>
  </si>
  <si>
    <t>If (Test-Path "$DBCopyFile") {</t>
  </si>
  <si>
    <t xml:space="preserve">	Write-Host "CreateMBDatabaseCopies script version $Version" -ForegroundColor $ForeGroundNormal</t>
  </si>
  <si>
    <t xml:space="preserve">	Write-Host "CreateMBDatabaseCopies data version $DataVersion" -ForegroundColor $ForeGroundNormal</t>
  </si>
  <si>
    <t xml:space="preserve">	Write-Host "Attempting to read CSV file: $DBCopyFile" -ForegroundColor $ForegroundNormal</t>
  </si>
  <si>
    <t xml:space="preserve">	[Array]$DBCopies = Import-CSV $DBCopyFile</t>
  </si>
  <si>
    <t xml:space="preserve">	If ($DataVersion -eq $DBCopies[0].GC2) {</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</si>
  <si>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</si>
  <si>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</si>
  <si>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</si>
  <si>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</si>
  <si>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</si>
  <si>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</si>
  <si>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</si>
  <si>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</si>
  <si>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</si>
  <si>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If ($SecondaryADSiteCopyDC -ne ""){</t>
  </si>
  <si>
    <t xml:space="preserve">			        While ((Get-MailboxDatabaseCopyStatus -Identity $CopyName\$CopyServer -DomainController $PrimaryADsiteCopyDC -ErrorAction SilentlyContinue).Identity -ne (Get-MailboxDatabaseCopyStatus -Identity $CopyName\$CopyServer -DomainController $SecondaryADSiteCopyDC -ErrorAction SilentlyContinue).Identity)</t>
  </si>
  <si>
    <t xml:space="preserve">					{</t>
  </si>
  <si>
    <t xml:space="preserve">			            Sleep_Progress 300</t>
  </si>
  <si>
    <t xml:space="preserve">			        }</t>
  </si>
  <si>
    <t xml:space="preserve">			    }</t>
  </si>
  <si>
    <t xml:space="preserve">	Write-Host "Cannot find CSV file: $DBCopyFile.  Exiting on keystroke..." -ForegroundColor $ForeGroundError</t>
  </si>
  <si>
    <t xml:space="preserve">	This is a sample script to format and mount drives in preparation for use in</t>
  </si>
  <si>
    <t xml:space="preserve">	a database availability group.  This script supports the AutoReseed feature</t>
  </si>
  <si>
    <t xml:space="preserve">	of Exchange Server 2013, as well as older configurations with a single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</si>
  <si>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</si>
  <si>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</si>
  <si>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</si>
  <si>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</si>
  <si>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New Terminology with Exchange Server 2013:</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</si>
  <si>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</si>
  <si>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</si>
  <si>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</si>
  <si>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</si>
  <si>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</si>
  <si>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</si>
  <si>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</si>
  <si>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</si>
  <si>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</si>
  <si>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</si>
  <si>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</si>
  <si>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</si>
  <si>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</si>
  <si>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</si>
  <si>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</si>
  <si>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</si>
  <si>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</si>
  <si>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</si>
  <si>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</si>
  <si>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</si>
  <si>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</si>
  <si>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</si>
  <si>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</si>
  <si>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</si>
  <si>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</si>
  <si>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</si>
  <si>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</si>
  <si>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</si>
  <si>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</si>
  <si>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</si>
  <si>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</si>
  <si>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</si>
  <si>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</si>
  <si>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</si>
  <si>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</si>
  <si>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</si>
  <si>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</si>
  <si>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</si>
  <si>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</si>
  <si>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</si>
  <si>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</si>
  <si>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</si>
  <si>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</si>
  <si>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Important Note: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</si>
  <si>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</si>
  <si>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</si>
  <si>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</si>
  <si>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</si>
  <si>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DbPerVolume = "4"</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</si>
  <si>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</si>
  <si>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</si>
  <si>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</si>
  <si>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</si>
  <si>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</si>
  <si>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</si>
  <si>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</si>
  <si>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</si>
  <si>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</si>
  <si>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</si>
  <si>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</si>
  <si>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</si>
  <si>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</si>
  <si>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</si>
  <si>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</si>
  <si>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</si>
  <si>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</si>
  <si>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</si>
  <si>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</si>
  <si>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</si>
  <si>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</si>
  <si>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</si>
  <si>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</si>
  <si>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</si>
  <si>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</si>
  <si>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</si>
  <si>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</si>
  <si>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</si>
  <si>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</si>
  <si>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</si>
  <si>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</si>
  <si>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PURPOSE.FARCUS</t>
  </si>
  <si>
    <t>Function Run-Diskpart</t>
  </si>
  <si>
    <t xml:space="preserve">	Write-Host "Diskpart /s $CMDLine" -ForegroundColor $ForeGroundNormal</t>
  </si>
  <si>
    <t>Function PrepareVolumes()</t>
  </si>
  <si>
    <t xml:space="preserve">		$Format = "Format FS=NTFS UNIT=64k Label=ExVol" + $Disk + " QUICK"</t>
  </si>
  <si>
    <t xml:space="preserve">		$VolPath = "$ExchangeVols\ExVol" + $Disk</t>
  </si>
  <si>
    <t xml:space="preserve">		Run-Diskpart "select disk $Disk","attributes disk clear readonly","online disk","convert GPT noerr","create partition primary","$Format","assign mount=""$VolPath"""</t>
  </si>
  <si>
    <t>Function PrepareDatabases()</t>
  </si>
  <si>
    <t xml:space="preserve">	$x = 0</t>
  </si>
  <si>
    <t xml:space="preserve">	Foreach ($DB in $DbMap) {</t>
  </si>
  <si>
    <t xml:space="preserve">		$DBPath = "$ExchangeDBs\$DB"</t>
  </si>
  <si>
    <t xml:space="preserve">		If ((Test-Path $DBPath) -eq $False) {</t>
  </si>
  <si>
    <t xml:space="preserve">	    }</t>
  </si>
  <si>
    <t xml:space="preserve">		If ($x -eq 0) {</t>
  </si>
  <si>
    <t xml:space="preserve">			$Volume = "$ExchangeVols\ExVol" + $Vol</t>
  </si>
  <si>
    <t xml:space="preserve">			$x = $DBperVolume</t>
  </si>
  <si>
    <t xml:space="preserve">			$Vol++</t>
  </si>
  <si>
    <t xml:space="preserve">		Run-Diskpart "select volume $Volume", "assign mount=""$DBPath"""</t>
  </si>
  <si>
    <t xml:space="preserve">		$x--</t>
  </si>
  <si>
    <t xml:space="preserve">		If ($DBLogIsolation -and ($DBperVolume -eq "1")) {</t>
  </si>
  <si>
    <t xml:space="preserve">			$DBPath = "$DBPath\$DB" + ".log"</t>
  </si>
  <si>
    <t xml:space="preserve">			Run-Diskpart "select volume $Volume", "assign mount=""$DBPath"""</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</si>
  <si>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</si>
  <si>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</si>
  <si>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</si>
  <si>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</si>
  <si>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</si>
  <si>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</si>
  <si>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</si>
  <si>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</si>
  <si>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</si>
  <si>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$Machine = get-wmiobject "Win32_ComputerSystem"</t>
  </si>
  <si>
    <t xml:space="preserve">		    $MachineName = $Machine.Name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</si>
  <si>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</si>
  <si>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</si>
  <si>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</si>
  <si>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</si>
  <si>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</si>
  <si>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</si>
  <si>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</si>
  <si>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</si>
  <si>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$ExchangeVols = $Server.VolumesRootFolder</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</si>
  <si>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</si>
  <si>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</si>
  <si>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</si>
  <si>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</si>
  <si>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</si>
  <si>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</si>
  <si>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</si>
  <si>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</si>
  <si>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</si>
  <si>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</si>
  <si>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</si>
  <si>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</si>
  <si>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</si>
  <si>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</si>
  <si>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</si>
  <si>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If ($Found -eq $False) {</t>
  </si>
  <si>
    <t xml:space="preserve">		        Write-Host "Could not find entry for $MachineName in $ServerFile file" -ForegroundColor $ForeGroundError</t>
  </si>
  <si>
    <t xml:space="preserve">				Stop-Transcript</t>
  </si>
  <si>
    <t xml:space="preserve">				Exit 1</t>
  </si>
  <si>
    <t xml:space="preserve">		    }</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</si>
  <si>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</si>
  <si>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</si>
  <si>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</si>
  <si>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</si>
  <si>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</si>
  <si>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</si>
  <si>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</si>
  <si>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</si>
  <si>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</si>
  <si>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</si>
  <si>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</si>
  <si>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</si>
  <si>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</si>
  <si>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</si>
  <si>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</si>
  <si>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</si>
  <si>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This script was tested with Exchange Server 2013 RTM and Office 2013.</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</si>
  <si>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</si>
  <si>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</si>
  <si>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</si>
  <si>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</si>
  <si>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</si>
  <si>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</si>
  <si>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</si>
  <si>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</si>
  <si>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</si>
  <si>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</si>
  <si>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</si>
  <si>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</si>
  <si>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</si>
  <si>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</si>
  <si>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</si>
  <si>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</si>
  <si>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We recommend that you use a Client Access server running on Microsoft Exchange</t>
  </si>
  <si>
    <t>Server 2013 in the Active Directory site containing the DAG. This allows the</t>
  </si>
  <si>
    <t>witness server and directory to remain under the control of an Exchange</t>
  </si>
  <si>
    <t>administrator.</t>
  </si>
  <si>
    <t>The following combinations of options and behaviors are available:</t>
  </si>
  <si>
    <t>You can specify only a name for the DAG. In this scenario, the task searches for</t>
  </si>
  <si>
    <t>a Client Access server in the local Active Directory site that doesn't have the</t>
  </si>
  <si>
    <t>Mailbox server role installed, and it automatically creates the default</t>
  </si>
  <si>
    <t>directory and share on that server and uses that Client Access server as the</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</si>
  <si>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</si>
  <si>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</si>
  <si>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</si>
  <si>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</si>
  <si>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</si>
  <si>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</si>
  <si>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and shared on the witness server. In this scenario, the task searches for a</t>
  </si>
  <si>
    <t>Client Access server in the local Active Directory site that doesn't have the</t>
  </si>
  <si>
    <t>Mailbox server role installed, and it automatically creates the specified</t>
  </si>
  <si>
    <t>directory on that server, shares the directory, and uses that Client Access</t>
  </si>
  <si>
    <t>server as the witness server.</t>
  </si>
  <si>
    <t>!!!!!IMPORTANT!!!!!</t>
  </si>
  <si>
    <t>If the witness server you specify isn't an Exchange 2013 server, you must add</t>
  </si>
  <si>
    <t>the Exchange Trusted Subsystem universal security group (USG) to the local</t>
  </si>
  <si>
    <t xml:space="preserve">Administrators group on the witness server. </t>
  </si>
  <si>
    <t>!!!!!Warning!!!!!</t>
  </si>
  <si>
    <t>If the witness server is a directory server, you must add the Exchange</t>
  </si>
  <si>
    <t>Trusted Subsystem USG to the Builtin\Administrators group.</t>
  </si>
  <si>
    <t>These security permissions are necessary to ensure that Exchange can create a</t>
  </si>
  <si>
    <t xml:space="preserve">directory and share on the witness server as needed.  </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</si>
  <si>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</si>
  <si>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</si>
  <si>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</si>
  <si>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</si>
  <si>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</si>
  <si>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</si>
  <si>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</si>
  <si>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</si>
  <si>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DatabaseAvailabilityGroupIpAddresses parameter when creating a DAG, the system</t>
  </si>
  <si>
    <t>attempts to lease one or more IP addresses from a DHCP server in your</t>
  </si>
  <si>
    <t>organization to assign to the DAG. Setting the</t>
  </si>
  <si>
    <t>DatabaseAvailabilityGroupIpAddresses parameter to a value of 0.0.0.0 configures</t>
  </si>
  <si>
    <t>the DAG to use DHCP</t>
  </si>
  <si>
    <t>AutoDagDatabasesRootFolderPath =  specifies the directory containing the</t>
  </si>
  <si>
    <t xml:space="preserve">database mount points </t>
  </si>
  <si>
    <t xml:space="preserve">when using the AutoReseed feature of the DAG. </t>
  </si>
  <si>
    <t>AutoReseed uses a default path of C:\ExchangeDatabases.</t>
  </si>
  <si>
    <t>AutoDagVolumesRootFolderPath =  specifies the volume containing the mount points</t>
  </si>
  <si>
    <t xml:space="preserve">for all disks, </t>
  </si>
  <si>
    <t xml:space="preserve">INCLUDING spare disks, when using the AutoReseed feature of the DAG. </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</si>
  <si>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</si>
  <si>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</si>
  <si>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</si>
  <si>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</si>
  <si>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</si>
  <si>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</si>
  <si>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</si>
  <si>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</si>
  <si>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</si>
  <si>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</si>
  <si>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</si>
  <si>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</si>
  <si>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</si>
  <si>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</si>
  <si>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</si>
  <si>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</si>
  <si>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 `nAdd-MailboxDatabaseCopy -Identity $CopyName -SeedingPostponed -MailboxServer $CopyServer -ActivationPreference $CopyPreference -DomainController $PrimaryADSiteCopyDC -ReplayLagTime  $ReplayLagTime  -TruncationLagTime  $TruncationLagTime"</t>
  </si>
  <si>
    <t xml:space="preserve">			    Add-MailboxDatabaseCopy -Identity $CopyName -SeedingPostponed -MailboxServer $CopyServer -ActivationPreference $CopyPreference -DomainController $PrimaryADSiteCopyDC -ReplayLagTime  $ReplayLagTime  -TruncationLagTime  $TruncationLagTime</t>
  </si>
  <si>
    <t xml:space="preserve">			            Write-Host "`nWaiting for Domain Controllers to get in sync before continuing" -ForegroundColor $ForeGroundNormal</t>
  </si>
  <si>
    <t xml:space="preserve">			    Write-Host "`nFinished adding a mailbox database copy for database $CopyName on server $CopyServer" -ForegroundColor $ForeGroundNormal</t>
  </si>
  <si>
    <t xml:space="preserve">		Write-Host "`nMismatch between script data version ($DataVersion) and $DBCopyFile data version (" $DBCopies[0].GC2 ")" -ForegroundColor $ForeGroundError</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</si>
  <si>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</si>
  <si>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</si>
  <si>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</si>
  <si>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</si>
  <si>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</si>
  <si>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</si>
  <si>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</si>
  <si>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</si>
  <si>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</si>
  <si>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</si>
  <si>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</si>
  <si>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</si>
  <si>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t>
    </r>
  </si>
  <si>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</si>
  <si>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</si>
  <si>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</si>
  <si>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</si>
  <si>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</si>
  <si>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</si>
  <si>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</si>
  <si>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</si>
  <si>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</si>
  <si>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</si>
  <si>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</si>
  <si>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</si>
  <si>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</si>
  <si>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</si>
  <si>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</si>
  <si>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</si>
  <si>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</si>
  <si>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</si>
  <si>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</si>
  <si>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</si>
  <si>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</si>
  <si>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Recommended Minimum Number of Client Access Server Processor Cores</t>
  </si>
  <si>
    <t>Client Access Server Requirements</t>
  </si>
  <si>
    <t>Recommended Minimum Client Access Server RAM Configuration</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</si>
  <si>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</si>
  <si>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</si>
  <si>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</si>
  <si>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</si>
  <si>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</si>
  <si>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</si>
  <si>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</si>
  <si>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</si>
  <si>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DB Per Volume2</t>
  </si>
  <si>
    <t>Tot/Active</t>
  </si>
  <si>
    <t>Assigned</t>
  </si>
  <si>
    <t>Active</t>
  </si>
  <si>
    <t>Active 
Server</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</si>
  <si>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</si>
  <si>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</si>
  <si>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</si>
  <si>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</si>
  <si>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</si>
  <si>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</si>
  <si>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</si>
  <si>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</si>
  <si>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</si>
  <si>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</si>
  <si>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</si>
  <si>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</si>
  <si>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</si>
  <si>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</si>
  <si>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Database overide limit per server</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</si>
  <si>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</si>
  <si>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</si>
  <si>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</si>
  <si>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</si>
  <si>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</si>
  <si>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</si>
  <si>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</si>
  <si>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PDC Restore Disks - IO</t>
  </si>
  <si>
    <t>SDC Database/Log Disks - Capacity</t>
  </si>
  <si>
    <t>SDC Database/Log Disks - IO</t>
  </si>
  <si>
    <t>SDC Restore Disks - Capacity</t>
  </si>
  <si>
    <t>SDC Restore Disks - IO</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</si>
  <si>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</si>
  <si>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</si>
  <si>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</si>
  <si>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</si>
  <si>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</si>
  <si>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</si>
  <si>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</si>
  <si>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</si>
  <si>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</si>
  <si>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</si>
  <si>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</si>
  <si>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</si>
  <si>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</si>
  <si>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</si>
  <si>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</si>
  <si>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</si>
  <si>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</si>
  <si>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</si>
  <si>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</si>
  <si>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</si>
  <si>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</si>
  <si>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</si>
  <si>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</si>
  <si>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</si>
  <si>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</si>
  <si>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</si>
  <si>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</si>
  <si>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</si>
  <si>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</si>
  <si>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</si>
  <si>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</si>
  <si>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</si>
  <si>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</si>
  <si>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</si>
  <si>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</si>
  <si>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</si>
  <si>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</si>
  <si>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</si>
  <si>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</si>
  <si>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</si>
  <si>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</si>
  <si>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</si>
  <si>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</si>
  <si>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</si>
  <si>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Exchange 2013 Server Role Requirements Calculator</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</si>
  <si>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</si>
  <si>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</si>
  <si>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</si>
  <si>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</si>
  <si>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</si>
  <si>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</si>
  <si>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</si>
  <si>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</si>
  <si>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</si>
  <si>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</si>
  <si>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</si>
  <si>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</si>
  <si>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</si>
  <si>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</si>
  <si>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</si>
  <si>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r>
      <t>Note3</t>
    </r>
    <r>
      <rPr>
        <sz val="11"/>
        <rFont val="Calibri"/>
        <family val="2"/>
        <scheme val="minor"/>
      </rPr>
      <t>: The results do not factor in Safety Net redundancy.</t>
    </r>
  </si>
  <si>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</si>
  <si>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</si>
  <si>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</si>
  <si>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</si>
  <si>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</si>
  <si>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</si>
  <si>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</si>
  <si>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</si>
  <si>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</si>
  <si>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</si>
  <si>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</si>
  <si>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</si>
  <si>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</si>
  <si>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</si>
  <si>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</si>
  <si>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</si>
  <si>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</si>
  <si>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</si>
  <si>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Minimum Number of Dedicated Client Access Servers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</si>
  <si>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</si>
  <si>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</si>
  <si>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</si>
  <si>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</si>
  <si>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</si>
  <si>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</si>
  <si>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Database 
Name</t>
  </si>
  <si>
    <t>Latest version available at: http://aka.ms/E2013Calc</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</si>
  <si>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</si>
  <si>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</si>
  <si>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</si>
  <si>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</si>
  <si>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r>
      <t xml:space="preserve">Step 7 (Optional) - </t>
    </r>
    <r>
      <rPr>
        <sz val="11"/>
        <rFont val="Calibri"/>
        <family val="2"/>
      </rPr>
      <t xml:space="preserve">Please enter in the appropriate information for cells that are </t>
    </r>
    <r>
      <rPr>
        <sz val="11"/>
        <color rgb="FF0000FF"/>
        <rFont val="Calibri"/>
        <family val="2"/>
      </rPr>
      <t>blue</t>
    </r>
    <r>
      <rPr>
        <sz val="11"/>
        <rFont val="Calibri"/>
        <family val="2"/>
      </rPr>
      <t xml:space="preserve"> concerning your naming configuration.</t>
    </r>
  </si>
  <si>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</si>
  <si>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</si>
  <si>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</si>
  <si>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</si>
  <si>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</si>
  <si>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</si>
  <si>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</si>
  <si>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</si>
  <si>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</si>
  <si>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2.1</t>
  </si>
  <si>
    <t>$Version = "2.1"</t>
  </si>
  <si>
    <t>$DataVersion = "2.1"</t>
  </si>
  <si>
    <t xml:space="preserve">                        Set-DatabaseAvailabilityGroup -Identity $DAGName  -AutoDagVolumesRootFolderPath $ADVRFP -AutoDagDatabasesRootFolderPath $ADDRFP  -AutoDagDatabaseCopiesPerVolume $ADDCPV</t>
  </si>
  <si>
    <t xml:space="preserve">    This is a sample script to create mailbox databases.</t>
  </si>
  <si>
    <t xml:space="preserve">    This script Imports the CSV file and reads the list of databases and</t>
  </si>
  <si>
    <t xml:space="preserve">    servers.  Each line in the CSV file provides the information required to</t>
  </si>
  <si>
    <t xml:space="preserve">    create and configure the database.  </t>
  </si>
  <si>
    <t xml:space="preserve">    The script must be run from within the Exchange Shell.</t>
  </si>
  <si>
    <t xml:space="preserve">    </t>
  </si>
  <si>
    <t xml:space="preserve">    The header line of the CSV file contains the following:</t>
  </si>
  <si>
    <t xml:space="preserve">        Name,Server,DBFilePath,LogFolderPath,PFDatabase,DeletedItemRetention,</t>
  </si>
  <si>
    <t xml:space="preserve">        ReplaceFirstDB,GC,OAB,RetainDeletedItemsUntilBackup,IndexEnabled,</t>
  </si>
  <si>
    <t xml:space="preserve">        CircularLoggingEnabled,ProhibitSendReceiveQuota,ProhibitSendQuota,</t>
  </si>
  <si>
    <t xml:space="preserve">        IssueWarningQuota,AllowFileRestore,BackgroundDatabaseMaintenance,</t>
  </si>
  <si>
    <t xml:space="preserve">        IsExcludedFromProvisioning,IsSuspendedFromProvisioning,MailboxRetention,</t>
  </si>
  <si>
    <t xml:space="preserve">        MountAtStartup,EventHistoryRetentionPeriod,AutoDagExcludeFromMonitoring,</t>
  </si>
  <si>
    <t xml:space="preserve">        CalendarLoggingQuota,IsExcludedFromInitialProvisioning</t>
  </si>
  <si>
    <t xml:space="preserve">        </t>
  </si>
  <si>
    <t xml:space="preserve">    The specified Mailbox server must not already host a copy of the specified</t>
  </si>
  <si>
    <t xml:space="preserve">    mailbox database.</t>
  </si>
  <si>
    <t xml:space="preserve">    The database path used by the specified database must also be available on</t>
  </si>
  <si>
    <t xml:space="preserve">    the specified Mailbox server, because all copies of a database must use the</t>
  </si>
  <si>
    <t xml:space="preserve">    same path.</t>
  </si>
  <si>
    <t xml:space="preserve">    If you're adding the second copy of a database (for example, adding the</t>
  </si>
  <si>
    <t xml:space="preserve">    first passive copy of the database), circular logging must not be enabled</t>
  </si>
  <si>
    <t xml:space="preserve">    for the specified mailbox database. If circular logging is enabled, you must</t>
  </si>
  <si>
    <t xml:space="preserve">    first disable it. </t>
  </si>
  <si>
    <t xml:space="preserve">    After the mailbox database copy has been added, circular logging can be</t>
  </si>
  <si>
    <t xml:space="preserve">    enabled. </t>
  </si>
  <si>
    <t xml:space="preserve">    After enabling circular logging for a replicated mailbox database,</t>
  </si>
  <si>
    <t xml:space="preserve">    continuous replication circular logging (CRCL) is used instead of JET</t>
  </si>
  <si>
    <t xml:space="preserve">    circular logging.</t>
  </si>
  <si>
    <t xml:space="preserve">     </t>
  </si>
  <si>
    <t xml:space="preserve">    If you're adding the third or subsequent copy of a database, CRCL can remain</t>
  </si>
  <si>
    <t xml:space="preserve">    enabled.</t>
  </si>
  <si>
    <t xml:space="preserve">    Name = "DB1"</t>
  </si>
  <si>
    <t xml:space="preserve">        The name of the database to create</t>
  </si>
  <si>
    <t xml:space="preserve">    Server = "Server 1"</t>
  </si>
  <si>
    <t xml:space="preserve">        The host name of the computer on which the database should be</t>
  </si>
  <si>
    <t xml:space="preserve">        created</t>
  </si>
  <si>
    <t xml:space="preserve">    DBFilePath = """E:\EXCHANGEDATABASES\DB1\DB1.db\DB1.edb"""</t>
  </si>
  <si>
    <t xml:space="preserve">        The path and file name of the database</t>
  </si>
  <si>
    <t xml:space="preserve">    LogFolderPath = """E:\EXCHANGEDATABASES\DB1\DB1.log\"""</t>
  </si>
  <si>
    <t xml:space="preserve">        The path of the log directory</t>
  </si>
  <si>
    <t xml:space="preserve">    GC or GC2 = Use the FQDN in the CSV file of your preferred GC.</t>
  </si>
  <si>
    <t xml:space="preserve">    Calendar logging quota is 20% of dumpster quota.</t>
  </si>
  <si>
    <t xml:space="preserve">    Specifies the name of the CSV file.  The parameter is optional and  defaults</t>
  </si>
  <si>
    <t xml:space="preserve">    to "MailboxDatabases.csv" in the current directory if no parameter is</t>
  </si>
  <si>
    <t xml:space="preserve">    provided.</t>
  </si>
  <si>
    <t xml:space="preserve">    The path of the DBFile should be enclosed in quotes if it contains</t>
  </si>
  <si>
    <t xml:space="preserve">    embedded spaces.</t>
  </si>
  <si>
    <t xml:space="preserve">    ./CreateMBDatabases.ps1 -DBFile "D:\MailboxDatabases.csv"</t>
  </si>
  <si>
    <t xml:space="preserve">    Runs the CreateMBDatabases command and imports the database information from</t>
  </si>
  <si>
    <t xml:space="preserve">    the file MailboxDatabases.csv in the root directory of the D: drive.</t>
  </si>
  <si>
    <t xml:space="preserve">    [Parameter(Position = 0)][String]$DBFile = "MailboxDatabases.csv"</t>
  </si>
  <si>
    <t xml:space="preserve">        $timeleft = ($SleepTime - $i);</t>
  </si>
  <si>
    <t xml:space="preserve">    Param ([String]$DBtoMonitor)</t>
  </si>
  <si>
    <t xml:space="preserve">    $GC = $MBDB.GC</t>
  </si>
  <si>
    <t xml:space="preserve">    # Check if it is mounted if not sleep 60 seconds then try again</t>
  </si>
  <si>
    <t xml:space="preserve">    $Trys = 0</t>
  </si>
  <si>
    <t xml:space="preserve">    Write-Host "`nAttempting to mount $DBtoMonitor using the $GC domain controller" -ForegroundColor $ForeGroundNormal</t>
  </si>
  <si>
    <t xml:space="preserve">    try</t>
  </si>
  <si>
    <t xml:space="preserve">      Mount-Database -Identity $DBtoMonitor -DomainController $GC -ErrorAction Stop</t>
  </si>
  <si>
    <t xml:space="preserve">    catch</t>
  </si>
  <si>
    <t xml:space="preserve">      Write-Host "$DBtoMonitor did not mount. Retrying $MaxTrys mount attempts...`n" -ForegroundColor $ForeGroundNormal</t>
  </si>
  <si>
    <t xml:space="preserve">      While (($Trys -lt $MaxTrys) -and ((Get-Mailboxdatabase $DBtoMonitor -status).Mounted -ne $True)){</t>
  </si>
  <si>
    <t xml:space="preserve">       Mount-Database -Identity $DBtoMonitor -DomainController $GC</t>
  </si>
  <si>
    <t xml:space="preserve">       Write-Host "$DBtoMonitor did not mount. Sleeping...`n" -ForegroundColor $ForeGroundError</t>
  </si>
  <si>
    <t xml:space="preserve">       Sleep_Progress 60</t>
  </si>
  <si>
    <t xml:space="preserve">       $Trys++</t>
  </si>
  <si>
    <t xml:space="preserve">      }</t>
  </si>
  <si>
    <t xml:space="preserve">    If ($Trys -eq $MaxTrys) {</t>
  </si>
  <si>
    <t xml:space="preserve">        Write-Host "Failed to mount $DBtoMonitor`n" -ForegroundColor $ForeGroundError</t>
  </si>
  <si>
    <t xml:space="preserve">    Start-Transcript</t>
  </si>
  <si>
    <t xml:space="preserve">    Write-Host "CreateMDDatabases script version $Version" -ForegroundColor $ForeGroundNormal</t>
  </si>
  <si>
    <t xml:space="preserve">    Write-Host "CreateMDDatabases data version $DataVersion" -ForegroundColor $ForeGroundNormal</t>
  </si>
  <si>
    <t xml:space="preserve">    Write-Host "Attempting to read CSV file: $DBFile" -ForegroundColor $ForegroundNormal</t>
  </si>
  <si>
    <t xml:space="preserve">    [Array]$MBDBs = Import-CSV $DBFile</t>
  </si>
  <si>
    <t xml:space="preserve">    $i=0</t>
  </si>
  <si>
    <t xml:space="preserve">    If ($DataVersion -eq $MBDBs[0].Server) {</t>
  </si>
  <si>
    <t xml:space="preserve">        Foreach ($MBDB in $MBDBs) {</t>
  </si>
  <si>
    <t xml:space="preserve">            If ($Ver -ne $MBDB.Name) {            </t>
  </si>
  <si>
    <t xml:space="preserve">                $Name = $MBDB.Name</t>
  </si>
  <si>
    <t xml:space="preserve">                $Server = $MBDB.Server</t>
  </si>
  <si>
    <t xml:space="preserve">                $DBFilePath = $MBDB.DBFilePath</t>
  </si>
  <si>
    <t xml:space="preserve">                $LogFolderPath = $MBDB.LogFolderPath</t>
  </si>
  <si>
    <t xml:space="preserve">                $PFDatabase = $MBDB.PFDatabase</t>
  </si>
  <si>
    <t xml:space="preserve">                $JR=$MBDB.JournalRecipient</t>
  </si>
  <si>
    <t xml:space="preserve">                $DeletedItemRetention = $MBDB.DeletedItemRetention</t>
  </si>
  <si>
    <t xml:space="preserve">                $GC = $MBDB.GC</t>
  </si>
  <si>
    <t xml:space="preserve">                $OAB = $MBDB.OAB</t>
  </si>
  <si>
    <t xml:space="preserve">                [bool]$RDIUB = [System.Convert]::ToBoolean($MBDB.RetainDeletedItemsUntilBackup)</t>
  </si>
  <si>
    <t xml:space="preserve">                [bool]$IE = [System.Convert]::ToBoolean($MBDB.IndexEnabled)</t>
  </si>
  <si>
    <t xml:space="preserve">                [bool]$CLE = [System.Convert]::ToBoolean($MBDB.CircularLoggingEnabled)</t>
  </si>
  <si>
    <t xml:space="preserve">                $CLQ = $MBDB.CalendarLoggingQuota</t>
  </si>
  <si>
    <t xml:space="preserve">                $PSRQ = $MBDB.ProhibitSendReceiveQuota</t>
  </si>
  <si>
    <t xml:space="preserve">                $PSQ = $MBDB.ProhibitSendQuota</t>
  </si>
  <si>
    <t xml:space="preserve">                $IWQ = $MBDB.IssueWarningQuota</t>
  </si>
  <si>
    <t xml:space="preserve">                [bool]$AFR = [System.Convert]::ToBoolean($MBDB.AllowFileRestore)</t>
  </si>
  <si>
    <t xml:space="preserve">                [bool]$BDM = [System.Convert]::ToBoolean($MBDB.BackgroundDatabaseMaintenance)</t>
  </si>
  <si>
    <t xml:space="preserve">                $DMRC = $MBDB.DataMoveReplicationConstraint</t>
  </si>
  <si>
    <t xml:space="preserve">                [bool]$IEFP = [System.Convert]::ToBoolean($MBDB.IsExcludedFromProvisioning)</t>
  </si>
  <si>
    <t xml:space="preserve">                [bool]$IEFIP = [System.Convert]::ToBoolean($MBDB.IsExcludedFromInitialProvisioning)</t>
  </si>
  <si>
    <t xml:space="preserve">                [bool]$ISFP = [System.Convert]::ToBoolean($MBDB.IsSuspendedFromProvisioning)</t>
  </si>
  <si>
    <t xml:space="preserve">                [bool]$ADEFM = [System.Convert]::ToBoolean($MBDB.AutoDagExcludeFromMonitoring)</t>
  </si>
  <si>
    <t xml:space="preserve">                $MR = $MBDB.MailboxRetention</t>
  </si>
  <si>
    <t xml:space="preserve">                [bool]$MAS = [System.Convert]::ToBoolean($MBDB.MountAtStartup)</t>
  </si>
  <si>
    <t xml:space="preserve">                $EHRP =$MBDB.EventHistoryRetentionPeriod</t>
  </si>
  <si>
    <t xml:space="preserve">                Write-Progress -activity "Creating databases..." -status $Name -percentComplete (($i / $MBDBs.Count)  * 100)</t>
  </si>
  <si>
    <t xml:space="preserve">                </t>
  </si>
  <si>
    <t xml:space="preserve">                Set-ADServerSettings –PreferredServer "$GC"</t>
  </si>
  <si>
    <t xml:space="preserve">                Write-Host "`nAdding a new database $Name...." -ForegroundColor $ForegroundNormal</t>
  </si>
  <si>
    <t xml:space="preserve">                Write-Host "`nNew-MailboxDatabase -Name $Name -Server $Server -EdbFilePath $DBFilePath -LogFolderPath $LogFolderPath -DomainController $GC" -ForegroundColor $ForegroundNormal</t>
  </si>
  <si>
    <t xml:space="preserve">                New-MailboxDatabase -Name $Name -Server $Server -EdbFilePath "$DBFilePath" -LogFolderPath "$LogFolderPath" -DomainController $GC</t>
  </si>
  <si>
    <t xml:space="preserve">                Write-Host "`nSetting database properties of database $Name..." -ForegroundColor $ForegroundNormal</t>
  </si>
  <si>
    <t xml:space="preserve">                Write-Host "`nSet-MailboxDatabase -Identity $Name  -AutoDagExcludeFromMonitoring $ADEFM -CalendarLoggingQuota $CLQ -DeletedItemRetention $DeletedItemRetention -DomainController $GC -OfflineAddressBook $OAB -RetainDeletedItemsUntilBackupp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 -ForegroundColor $ForegroundNormal</t>
  </si>
  <si>
    <t xml:space="preserve">                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-CircularLoggingEnabled $CLE </t>
  </si>
  <si>
    <t xml:space="preserve">                Write-Host "`nDone with database $Name..." -ForegroundColor $ForegroundNormal</t>
  </si>
  <si>
    <t xml:space="preserve">            }</t>
  </si>
  <si>
    <t xml:space="preserve">            $i++;</t>
  </si>
  <si>
    <t xml:space="preserve">        }</t>
  </si>
  <si>
    <t xml:space="preserve">        $i=0;</t>
  </si>
  <si>
    <t xml:space="preserve">            If ($Ver -ne $MBDB.Name) </t>
  </si>
  <si>
    <t xml:space="preserve">            {</t>
  </si>
  <si>
    <t xml:space="preserve">                Write-Progress -activity "Mounting databases..." -status $Name -percentComplete (($i / $MBDBs.Count)  * 100)</t>
  </si>
  <si>
    <t xml:space="preserve">                Monitor_Mount -DBToMonitor $Name </t>
  </si>
  <si>
    <t xml:space="preserve">    Else {</t>
  </si>
  <si>
    <t xml:space="preserve">        Write-Host "`nMismatch between script data version ($DataVersion) and $DBFile data version (" $MBDBs[0].Server ")" -ForegroundColor $ForeGroundError</t>
  </si>
  <si>
    <t xml:space="preserve">        Stop-Transcript</t>
  </si>
  <si>
    <t xml:space="preserve">        Exit 2</t>
  </si>
  <si>
    <t xml:space="preserve">    Stop-Transcript</t>
  </si>
  <si>
    <t xml:space="preserve">    Write-Host "`nCannot find CSV file: $DBFile.  Exiting on keystroke..." -ForegroundColor $ForeGroundError</t>
  </si>
  <si>
    <t xml:space="preserve">    $Host.UI.RawUI.ReadKey() | Out-Null</t>
  </si>
  <si>
    <t xml:space="preserve">    Exit 3</t>
  </si>
  <si>
    <t>Calculated Max DB Size Not Zero Check</t>
  </si>
  <si>
    <r>
      <t>Note1</t>
    </r>
    <r>
      <rPr>
        <sz val="11"/>
        <rFont val="Calibri"/>
        <family val="2"/>
      </rPr>
      <t>: The calculated IOPS value has an accuracy of +/- 20% accuracy and does not include third-party products that may generate additional database I/O.</t>
    </r>
  </si>
  <si>
    <r>
      <t>Note2</t>
    </r>
    <r>
      <rPr>
        <sz val="11"/>
        <rFont val="Calibri"/>
        <family val="2"/>
      </rPr>
      <t>: If third-party applications/services will be utilized, please refer to the third-party manufacturer to determine if the application/service will have any I/O or capacity impacts on the solution.</t>
    </r>
  </si>
  <si>
    <r>
      <t>Note3:</t>
    </r>
    <r>
      <rPr>
        <sz val="11"/>
        <rFont val="Calibri"/>
        <family val="2"/>
      </rPr>
      <t xml:space="preserve"> This calculator distributes the different tiers of mailboxes across each database (in other words, mailbox tiers do not have dedicated databases).</t>
    </r>
  </si>
  <si>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</si>
  <si>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</si>
  <si>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</si>
  <si>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[Bool]$LogIsolation = [System.Convert]::ToBoolean($DAG.LogIsolation)</t>
  </si>
  <si>
    <t>if ($LogIsolation) {</t>
  </si>
  <si>
    <t>Write-Host "`nAuto Reseed not configured because Log Isolation is enabled" -ForegroundColor $ForegroundNormal</t>
  </si>
  <si>
    <t>Write-Host "`nSetting Auto Reseed Parameters" -ForegroundColor $ForegroundNormal</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</si>
  <si>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</si>
  <si>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2.3</t>
  </si>
  <si>
    <t>$DataVersion = "2.3"</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</si>
  <si>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</si>
  <si>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</si>
  <si>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</si>
  <si>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</si>
  <si>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</si>
  <si>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</si>
  <si>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</si>
  <si>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</si>
  <si>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</si>
  <si>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</si>
  <si>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</si>
  <si>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</si>
  <si>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PARTICULAR PURPOSE.SIXTIMESUPERBOWLCHAMPIONS.BLUEBULLSRULE</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</si>
  <si>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</si>
  <si>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</si>
  <si>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</si>
  <si>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</si>
  <si>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</si>
  <si>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</si>
  <si>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</si>
  <si>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</si>
  <si>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</si>
  <si>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</si>
  <si>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</si>
  <si>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</si>
  <si>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</si>
  <si>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</si>
  <si>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</si>
  <si>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</si>
  <si>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</si>
  <si>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</si>
  <si>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</si>
  <si>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</si>
  <si>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</si>
  <si>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</si>
  <si>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</si>
  <si>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</si>
  <si>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</si>
  <si>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</si>
  <si>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</si>
  <si>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</si>
  <si>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If ($DAG.DagMapiNetwork -ne $null)</t>
  </si>
  <si>
    <t xml:space="preserve">				{</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</si>
  <si>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</si>
  <si>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</si>
  <si>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</si>
  <si>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</si>
  <si>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</si>
  <si>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</si>
  <si>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$WitnessServer = $Dag.WitnessServer</t>
  </si>
  <si>
    <t xml:space="preserve">				$AltWitnessDirectory = $DAG.AltWitnessDir</t>
  </si>
  <si>
    <t xml:space="preserve">				$AltWitnessServer = $DAG.AltWitnessServer</t>
  </si>
  <si>
    <t xml:space="preserve">				$WitnessDirectory = $DAG.WitnessDir</t>
  </si>
  <si>
    <t xml:space="preserve">				$DAGTest = Get-DatabaseAvailabilityGroup $DAGName -ErrorAction SilentlyContinue </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</si>
  <si>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</si>
  <si>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</si>
  <si>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</si>
  <si>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</si>
  <si>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</si>
  <si>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</si>
  <si>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</si>
  <si>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</si>
  <si>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</si>
  <si>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</si>
  <si>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</si>
  <si>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</si>
  <si>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</si>
  <si>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</si>
  <si>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[Bool]$LogIsolation = [System.Convert]::ToBoolean($DAG.LogIsolation)</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</si>
  <si>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</si>
  <si>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</si>
  <si>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</si>
  <si>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</si>
  <si>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</si>
  <si>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</si>
  <si>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New-DatabaseAvailabilityGroup -Name $DAGName -WitnessServer $WitnessServer -WitnessDirectory $WitnessDirectory -DatabaseAvailabilityGroupIPAddresses $DAGIPs -DomainController $GC </t>
  </si>
  <si>
    <t xml:space="preserve">				   </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</si>
  <si>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</si>
  <si>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</si>
  <si>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</si>
  <si>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</si>
  <si>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</si>
  <si>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</si>
  <si>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</si>
  <si>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Set-MailboxServer $_ -MaximumActiveDatabases  $MAD1</t>
  </si>
  <si>
    <t xml:space="preserve">							Add-DatabaseAvailabilityGroupServer -Identity $DAGName -MailboxServer $_</t>
  </si>
  <si>
    <t xml:space="preserve">						</t>
  </si>
  <si>
    <t xml:space="preserve">						Write-Host "`nAdding DAG members in Site 2" -ForegroundColor $ForegroundNormal</t>
  </si>
  <si>
    <t xml:space="preserve">						$Servers2 | ForEach-Object {</t>
  </si>
  <si>
    <t xml:space="preserve">							Set-MailboxServer $_ -MaximumActiveDatabases  $MAD2</t>
  </si>
  <si>
    <t xml:space="preserve">						Write-Host "`nWaiting for Domain Controllers $GC and $GC2 to get in sync before continuing" -ForegroundColor $ForegroundNormal</t>
  </si>
  <si>
    <t xml:space="preserve">						Countdown 5			  </t>
  </si>
  <si>
    <t xml:space="preserve">				    Else {</t>
  </si>
  <si>
    <t xml:space="preserve">						Write-Host "`nAdding DAG members" -ForegroundColor $ForegroundNormal</t>
  </si>
  <si>
    <t xml:space="preserve">						Set-MailboxServer $_ -MaximumActiveDatabases  $MAD1</t>
  </si>
  <si>
    <t xml:space="preserve">						Add-DatabaseAvailabilityGroupServer -Identity $DAGName -MailboxServer $_</t>
  </si>
  <si>
    <t xml:space="preserve">				    }</t>
  </si>
  <si>
    <t xml:space="preserve">					</t>
  </si>
  <si>
    <t xml:space="preserve">				    Write-Host "`nSetting DAC Mode" -ForegroundColor $ForegroundNormal</t>
  </si>
  <si>
    <t xml:space="preserve">				    Set-DatabaseAvailabilityGroup -Identity $DAGName -DatacenterActivationMode $DAC  </t>
  </si>
  <si>
    <t xml:space="preserve">				    Write-Host "`nSetting Alternate Witness" -ForegroundColor $ForegroundNormal</t>
  </si>
  <si>
    <t xml:space="preserve">				    Set-DatabaseAvailabilityGroup -Identity $DAGName  -AlternateWitnessServer $AltWitnessServer -AlternateWitnessDirectory $AltWitnessDirectory</t>
  </si>
  <si>
    <t xml:space="preserve">						If ($LogIsolation) {</t>
  </si>
  <si>
    <t xml:space="preserve">							Write-Host "`nAuto Reseed not configured because Log Isolation is enabled" -ForegroundColor $ForegroundNormal</t>
  </si>
  <si>
    <t xml:space="preserve">							Write-Host "`nSetting Auto Reseed Parameters" -ForegroundColor $ForegroundNormal</t>
  </si>
  <si>
    <t xml:space="preserve">					    Set-DatabaseAvailabilityGroup -Identity $DAGName  -AutoDagVolumesRootFolderPath $ADVRFP -AutoDagDatabasesRootFolderPath $ADDRFP  -AutoDagDatabaseCopiesPerVolume $ADDCPV</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</si>
  <si>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</si>
  <si>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</si>
  <si>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</si>
  <si>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Set-DatabaseAvailabilityGroup -Identity $DAGName  -NetworkCompression $NC -NetworkEncryption $NE</t>
  </si>
  <si>
    <t xml:space="preserve">				    Write-Host "`nSetting Additional Parameters for Replay Lag Manager and Replication Port Number" -ForegroundColor $ForegroundNormal</t>
  </si>
  <si>
    <t xml:space="preserve">				    Set-DatabaseAvailabilityGroup -Identity $DAGName  -ReplayLagManagerEnabled $RLME -ReplicationPort $RP</t>
  </si>
  <si>
    <t xml:space="preserve">		If ($Found) </t>
  </si>
  <si>
    <t xml:space="preserve">		{</t>
  </si>
  <si>
    <t xml:space="preserve">			Write-Host "`nThe Create DAG script completed, please check for errors." -ForegroundColor $ForegroundNormal</t>
  </si>
  <si>
    <t xml:space="preserve">			Get-DatabaseAvailabilityGroup -Id $NewDAG -Status | FL</t>
  </si>
  <si>
    <t xml:space="preserve">		Else </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</si>
  <si>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</si>
  <si>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</si>
  <si>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</si>
  <si>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</si>
  <si>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$Version = "2.3"</t>
  </si>
  <si>
    <t xml:space="preserve">	Write-Host "CreateDG schema version: $DataVersion" -ForegroundColor $ForeGroundNormal</t>
  </si>
  <si>
    <t>Write-Host "Mismatch between script schema version ($DataVersion) and $ServerFile schema version (" $DAGInfoFile[0].DagIps ")" -ForegroundColor $ForeGroundError</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</si>
  <si>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</si>
  <si>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</si>
  <si>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</si>
  <si>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</si>
  <si>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</si>
  <si>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</si>
  <si>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</si>
  <si>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</si>
  <si>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</si>
  <si>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</si>
  <si>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</si>
  <si>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</si>
  <si>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</si>
  <si>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</si>
  <si>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</si>
  <si>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</si>
  <si>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</si>
  <si>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</si>
  <si>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</si>
  <si>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</si>
  <si>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</si>
  <si>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</si>
  <si>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</si>
  <si>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</si>
  <si>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</si>
  <si>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</si>
  <si>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</si>
  <si>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</si>
  <si>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</si>
  <si>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</si>
  <si>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</si>
  <si>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</si>
  <si>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</si>
  <si>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</si>
  <si>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</si>
  <si>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</si>
  <si>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</si>
  <si>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</si>
  <si>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</si>
  <si>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</si>
  <si>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</si>
  <si>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Remove-Item $Tempfile -WhatIf:$False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</si>
  <si>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</si>
  <si>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</si>
  <si>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</si>
  <si>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</si>
  <si>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</si>
  <si>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</si>
  <si>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</si>
  <si>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</si>
  <si>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</si>
  <si>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</si>
  <si>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</si>
  <si>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</si>
  <si>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</si>
  <si>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EXCHANGE 2014</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</si>
  <si>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</si>
  <si>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</si>
  <si>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</si>
  <si>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</si>
  <si>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</si>
  <si>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If ($PrepareAutoReseedVolume.IsPresent) {$Last += 1}</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</si>
  <si>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</si>
  <si>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</si>
  <si>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</si>
  <si>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</si>
  <si>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</si>
  <si>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	</t>
  </si>
  <si>
    <t xml:space="preserve">		For ($Vol = $DiskStart; $Vol -le $LastDrive; $Vol++) {</t>
  </si>
  <si>
    <t xml:space="preserve">			Write-Host "Log Isolation is enabled so AutoReseed mount points will be removed" -ForegroundColor $ForeGroundNormal</t>
  </si>
  <si>
    <t xml:space="preserve">			Run-Diskpart "select volume $Volume", "remove mount=""$Volume"""</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</si>
  <si>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</si>
  <si>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</si>
  <si>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</si>
  <si>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</si>
  <si>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Run-Diskpart "select volume $Volume", "remove mount=""$Volume""","assign mount=""$Volume"""</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</si>
  <si>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</si>
  <si>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</si>
  <si>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</si>
  <si>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</si>
  <si>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r>
      <rPr>
        <b/>
        <sz val="11"/>
        <rFont val="Calibri"/>
        <family val="2"/>
      </rPr>
      <t>Step 2</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population.  If the server(s) will house multiple mailbox types, then please enter that information in the Tier-2 through Tier-4 User Mailbox tables.  Otherwise, only use the Tier-1 User Mailbox table.</t>
    </r>
  </si>
  <si>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</si>
  <si>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</si>
  <si>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</si>
  <si>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</si>
  <si>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</si>
  <si>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</si>
  <si>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</si>
  <si>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</si>
  <si>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</si>
  <si>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</si>
  <si>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</si>
  <si>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</si>
  <si>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</si>
  <si>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</si>
  <si>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</si>
  <si>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</si>
  <si>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</si>
  <si>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</si>
  <si>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</si>
  <si>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</si>
  <si>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</si>
  <si>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</si>
  <si>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Number of Months to reach Mailbox Mailbox Size</t>
  </si>
  <si>
    <t>Tier-1 Mailbox Space Modeling</t>
  </si>
  <si>
    <t>Tier-2 Mailbox Space Modeling</t>
  </si>
  <si>
    <t>Tier-3 Mailbox Space Modeling</t>
  </si>
  <si>
    <t>Tier-4 Mailbox Space Modeling</t>
  </si>
  <si>
    <t>Items per Server (Active)</t>
  </si>
  <si>
    <t>Items per Server (Passive)</t>
  </si>
  <si>
    <t>Witness is active in Third site.</t>
  </si>
  <si>
    <t>Number of AutoReseed Volumes per Server</t>
  </si>
  <si>
    <t>Number of AutoReseed Volumes</t>
  </si>
  <si>
    <t>2.5</t>
  </si>
  <si>
    <t>$Version = "2.5"</t>
  </si>
  <si>
    <t>If (![bool]$WhatIfPreference.IsPresent) {</t>
  </si>
  <si>
    <t>$IsAdmin = $true</t>
  </si>
  <si>
    <t xml:space="preserve">	[Parameter][Switch]$PrepareAutoReseedVolume</t>
  </si>
  <si>
    <t xml:space="preserve">	[Parameter(Position = 0)][String]$ServerFile = "Servers.csv",</t>
  </si>
  <si>
    <t xml:space="preserve">	If ([bool]$WhatIfPreference.IsPresent) {</t>
  </si>
  <si>
    <t xml:space="preserve">	$Last = $LastDrive</t>
  </si>
  <si>
    <t xml:space="preserve">			New-Item $VolPath -type Directory -WhatIf:$($WhatIfPreference.IsPresent)</t>
  </si>
  <si>
    <t xml:space="preserve">	$Vol = $DiskStart</t>
  </si>
  <si>
    <t xml:space="preserve">			New-Item $DBPath -type Directory -WhatIf:$($WhatIfPreference.IsPresent)</t>
  </si>
  <si>
    <t xml:space="preserve">		New-Item $DBPath\$DB.db -type Directory -WhatIf:$($WhatIfPreference.IsPresent)</t>
  </si>
  <si>
    <t xml:space="preserve">		New-Item $DBPath\$DB.log -type Directory -WhatIf:$($WhatIfPreference.IsPresent)</t>
  </si>
  <si>
    <t xml:space="preserve">	If ($Script:DBLogIsolation -eq $True) {</t>
  </si>
  <si>
    <t xml:space="preserve">		If (![bool]$WhatIfPreference.IsPresent) {</t>
  </si>
  <si>
    <t xml:space="preserve">	Run-Diskpart "list disk"</t>
  </si>
  <si>
    <t xml:space="preserve">					$AutoReseedVolumes = $Server.AutoReseedVolumes</t>
  </si>
  <si>
    <t xml:space="preserve">						$LastDrive = $DiskStart + $AutoReseedVolumes - 1 + $DbMap.Count/$DBperVolume</t>
  </si>
  <si>
    <t xml:space="preserve">							$LastDrive = $DiskStart + $AutoReseedVolumes - 1 + $DbMap.Count * 2</t>
  </si>
  <si>
    <t>Due to performance implications, the use of RAID-5 or RAID-6 with 5.2K, 5.4K, 5.9K or 7.2K spindles is prohibited within the calculator.</t>
  </si>
  <si>
    <t>Vol 1</t>
  </si>
  <si>
    <t>Vol 2</t>
  </si>
  <si>
    <t>Vol 3</t>
  </si>
  <si>
    <t>Vol 4</t>
  </si>
  <si>
    <t>Vol 5</t>
  </si>
  <si>
    <t>Vol 6</t>
  </si>
  <si>
    <t>Vol 7</t>
  </si>
  <si>
    <t>Vol 8</t>
  </si>
  <si>
    <t>Vol 9</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</si>
  <si>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</si>
  <si>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</si>
  <si>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SRV-nn-01</t>
  </si>
  <si>
    <t>SRV-nn-02</t>
  </si>
  <si>
    <t>SRV-nn-03</t>
  </si>
  <si>
    <t>SRV-nn-04</t>
  </si>
  <si>
    <t>DAG-nn-DB</t>
  </si>
  <si>
    <t>DAG-nn-DB01</t>
  </si>
  <si>
    <t>DAG-nn-DB02</t>
  </si>
  <si>
    <t>DAG-nn-DB03</t>
  </si>
  <si>
    <t>DAG-nn-DB04</t>
  </si>
  <si>
    <t>DAG-nn-DB05</t>
  </si>
  <si>
    <t>DAG-nn-DB06</t>
  </si>
  <si>
    <t>DAG-nn-DB07</t>
  </si>
  <si>
    <t>DAG-nn-DB08</t>
  </si>
  <si>
    <t>DAG-nn-DB09</t>
  </si>
  <si>
    <t>DAG-nn-DB10</t>
  </si>
  <si>
    <t>DAG-nn-DB11</t>
  </si>
  <si>
    <t>DAG-nn-DB12</t>
  </si>
  <si>
    <t>DAG-nn-DB13</t>
  </si>
  <si>
    <t>DAG-nn-DB14</t>
  </si>
  <si>
    <t>DAG-nn-DB15</t>
  </si>
  <si>
    <t>DAG-nn-DB16</t>
  </si>
  <si>
    <t>DAG-nn-DB17</t>
  </si>
  <si>
    <t>DAG-nn-DB18</t>
  </si>
  <si>
    <t>DAG-nn-DB19</t>
  </si>
  <si>
    <t>DAG-nn-DB20</t>
  </si>
  <si>
    <t>DAG-nn-DB21</t>
  </si>
  <si>
    <t>DAG-nn-DB22</t>
  </si>
  <si>
    <t>DAG-nn-DB23</t>
  </si>
  <si>
    <t>DAG-nn-DB24</t>
  </si>
  <si>
    <t>DAG-nn-DB25</t>
  </si>
  <si>
    <t>DAG-nn-DB26</t>
  </si>
  <si>
    <t>DAG-nn-DB27</t>
  </si>
  <si>
    <t>DAG-nn-DB28</t>
  </si>
  <si>
    <t>DAG-nn-DB29</t>
  </si>
  <si>
    <t>DAG-nn-DB30</t>
  </si>
  <si>
    <t>DAG-nn-DB31</t>
  </si>
  <si>
    <t>DAG-nn-DB32</t>
  </si>
  <si>
    <t>DAG-nn-DB33</t>
  </si>
  <si>
    <t>DAG-nn-DB34</t>
  </si>
  <si>
    <t>DAG-nn-DB35</t>
  </si>
  <si>
    <t>DAG-nn-DB36</t>
  </si>
  <si>
    <t>DAG-nn-DB37</t>
  </si>
  <si>
    <t>DAG-nn-DB38</t>
  </si>
  <si>
    <t>DAG-nn-DB39</t>
  </si>
  <si>
    <t>DAG-nn-DB40</t>
  </si>
  <si>
    <t>Status OK.  Number of databases per volume is 4</t>
  </si>
  <si>
    <t>DAG-nn</t>
  </si>
  <si>
    <t>DAG-nn-DB41</t>
  </si>
  <si>
    <t>DAG-nn-DB42</t>
  </si>
  <si>
    <t>DAG-nn-DB43</t>
  </si>
  <si>
    <t>DAG-nn-DB44</t>
  </si>
  <si>
    <t>DAG-nn-DB45</t>
  </si>
  <si>
    <t>DAG-nn-DB46</t>
  </si>
  <si>
    <t>DAG-nn-DB47</t>
  </si>
  <si>
    <t>DAG-nn-DB48</t>
  </si>
  <si>
    <t>DAG-nn-DB49</t>
  </si>
  <si>
    <t>DAG-nn-DB50</t>
  </si>
  <si>
    <t>DAG-nn-DB51</t>
  </si>
  <si>
    <t>DAG-nn-DB52</t>
  </si>
  <si>
    <t>DAG-nn-DB53</t>
  </si>
  <si>
    <t>DAG-nn-DB54</t>
  </si>
  <si>
    <t>DAG-nn-DB55</t>
  </si>
  <si>
    <t>DAG-nn-DB56</t>
  </si>
  <si>
    <t>DAG-nn-DB57</t>
  </si>
  <si>
    <t>DAG-nn-DB58</t>
  </si>
  <si>
    <t>DAG-nn-DB59</t>
  </si>
  <si>
    <t>DAG-nn-DB60</t>
  </si>
  <si>
    <t>DAG-nn-DB61</t>
  </si>
  <si>
    <t>DAG-nn-DB62</t>
  </si>
  <si>
    <t>DAG-nn-DB63</t>
  </si>
  <si>
    <t>DAG-nn-DB64</t>
  </si>
  <si>
    <t>DAG-nn-DB65</t>
  </si>
  <si>
    <t>DAG-nn-DB66</t>
  </si>
  <si>
    <t>DAG-nn-DB67</t>
  </si>
  <si>
    <t>DAG-nn-DB68</t>
  </si>
  <si>
    <t>DAG-nn-DB69</t>
  </si>
  <si>
    <t>DAG-nn-DB70</t>
  </si>
  <si>
    <t>DAG-nn-DB71</t>
  </si>
  <si>
    <t>DAG-nn-DB72</t>
  </si>
  <si>
    <t>SRV-nn-05</t>
  </si>
  <si>
    <t>SRV-nn-06</t>
  </si>
  <si>
    <t>SRV-nn-07</t>
  </si>
  <si>
    <t>SRV-nn-08</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</si>
</sst>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quot;Server&quot;\ #"/>
    <numFmt numFmtId="184" formatCode="#.00\ &quot;GB&quot;"/>
  </numFmts>
  <fonts count="102"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0000FF"/>
      <name val="Calibri"/>
      <family val="2"/>
    </font>
    <font>
      <sz val="11"/>
      <color rgb="FFFF0000"/>
      <name val="Calibri"/>
      <family val="2"/>
    </font>
    <font>
      <sz val="11"/>
      <color theme="1"/>
      <name val="Calibri"/>
      <family val="2"/>
    </font>
    <font>
      <sz val="11"/>
      <color indexed="12"/>
      <name val="Calibri"/>
      <family val="2"/>
    </font>
    <font>
      <b/>
      <sz val="11"/>
      <color indexed="18"/>
      <name val="Calibri"/>
      <family val="2"/>
    </font>
    <font>
      <u/>
      <sz val="11"/>
      <color theme="10"/>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6"/>
      <color indexed="18"/>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b/>
      <sz val="11"/>
      <name val="Calibri"/>
      <family val="2"/>
    </font>
    <font>
      <b/>
      <sz val="11"/>
      <color rgb="FFFF0000"/>
      <name val="Calibri"/>
      <family val="2"/>
    </font>
    <font>
      <sz val="11"/>
      <name val="Calibri"/>
      <family val="2"/>
    </font>
    <font>
      <b/>
      <sz val="12"/>
      <color indexed="10"/>
      <name val="Calibri"/>
      <family val="2"/>
    </font>
    <font>
      <sz val="11"/>
      <color theme="1"/>
      <name val="Calibri"/>
      <family val="2"/>
    </font>
    <font>
      <b/>
      <sz val="11"/>
      <color theme="1"/>
      <name val="Calibri"/>
      <family val="2"/>
    </font>
    <font>
      <b/>
      <sz val="11"/>
      <color rgb="FF0000FF"/>
      <name val="Calibri"/>
      <family val="2"/>
    </font>
    <font>
      <b/>
      <sz val="11"/>
      <name val="Calibri"/>
      <family val="2"/>
    </font>
    <font>
      <sz val="11"/>
      <name val="Calibri"/>
      <family val="2"/>
    </font>
    <font>
      <sz val="11"/>
      <color theme="1"/>
      <name val="Calibri"/>
      <family val="2"/>
    </font>
    <font>
      <sz val="11"/>
      <color indexed="10"/>
      <name val="Calibri"/>
      <family val="2"/>
    </font>
    <font>
      <b/>
      <sz val="11"/>
      <color theme="0"/>
      <name val="Calibri"/>
      <family val="2"/>
      <scheme val="minor"/>
    </font>
    <font>
      <sz val="11"/>
      <name val="Calibri"/>
      <family val="2"/>
    </font>
    <font>
      <sz val="10"/>
      <color theme="0"/>
      <name val="Calibri"/>
      <family val="2"/>
    </font>
    <font>
      <sz val="10"/>
      <color rgb="FF000000"/>
      <name val="Calibri"/>
      <family val="2"/>
    </font>
    <font>
      <sz val="11"/>
      <name val="Calibri"/>
      <family val="2"/>
    </font>
    <font>
      <sz val="11"/>
      <color theme="1"/>
      <name val="Calibri"/>
      <family val="2"/>
    </font>
    <font>
      <sz val="11"/>
      <color rgb="FFFF0000"/>
      <name val="Calibri"/>
      <family val="2"/>
      <scheme val="minor"/>
    </font>
    <font>
      <sz val="11"/>
      <name val="Calibri"/>
      <family val="2"/>
    </font>
    <font>
      <b/>
      <sz val="11"/>
      <name val="Calibri"/>
      <family val="2"/>
    </font>
    <font>
      <sz val="11"/>
      <name val="Calibri"/>
      <family val="2"/>
      <scheme val="minor"/>
    </font>
    <font>
      <sz val="8"/>
      <color rgb="FF000000"/>
      <name val="Segoe UI"/>
      <family val="2"/>
    </font>
    <font>
      <sz val="11"/>
      <name val="Calibri"/>
      <family val="2"/>
    </font>
    <font>
      <sz val="11"/>
      <color theme="1"/>
      <name val="Calibri"/>
      <family val="2"/>
    </font>
    <font>
      <sz val="11"/>
      <name val="Calibri"/>
      <family val="2"/>
    </font>
    <font>
      <sz val="11"/>
      <color rgb="FFFFFFFF"/>
      <name val="Calibri"/>
      <family val="2"/>
    </font>
    <font>
      <sz val="11"/>
      <name val="Calibri"/>
      <family val="2"/>
    </font>
    <font>
      <strike/>
      <sz val="11"/>
      <color theme="0"/>
      <name val="Calibri"/>
      <family val="2"/>
    </font>
    <font>
      <sz val="11"/>
      <name val="Calibri"/>
      <family val="2"/>
    </font>
    <font>
      <sz val="11"/>
      <color rgb="FFFF0000"/>
      <name val="Calibri"/>
      <family val="2"/>
    </font>
    <font>
      <b/>
      <sz val="11"/>
      <color theme="0"/>
      <name val="Calibri"/>
      <family val="2"/>
      <scheme val="minor"/>
    </font>
    <font>
      <sz val="11"/>
      <color theme="1"/>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lightUp">
        <fgColor theme="0" tint="-0.24994659260841701"/>
        <bgColor indexed="65"/>
      </patternFill>
    </fill>
    <fill>
      <patternFill patternType="solid">
        <fgColor theme="5" tint="0.39997558519241921"/>
        <bgColor indexed="65"/>
      </patternFill>
    </fill>
    <fill>
      <patternFill patternType="solid">
        <fgColor theme="6" tint="0.79998168889431442"/>
        <bgColor indexed="65"/>
      </patternFill>
    </fill>
  </fills>
  <borders count="147">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theme="0" tint="-0.249977111117893"/>
      </top>
      <bottom style="medium">
        <color indexed="64"/>
      </bottom>
      <diagonal/>
    </border>
    <border>
      <left style="medium">
        <color indexed="64"/>
      </left>
      <right style="medium">
        <color indexed="64"/>
      </right>
      <top style="thin">
        <color theme="0" tint="-0.249977111117893"/>
      </top>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thin">
        <color theme="0"/>
      </right>
      <top style="thin">
        <color theme="0"/>
      </top>
      <bottom style="thick">
        <color theme="0"/>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right style="medium">
        <color indexed="64"/>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style="medium">
        <color indexed="64"/>
      </right>
      <top style="thick">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right style="thin">
        <color theme="1"/>
      </right>
      <top style="thin">
        <color theme="1"/>
      </top>
      <bottom style="medium">
        <color indexed="64"/>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top style="medium">
        <color theme="1"/>
      </top>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s>
  <cellStyleXfs count="49">
    <xf numFmtId="0" fontId="0" fillId="0" borderId="0"/>
    <xf numFmtId="0" fontId="36" fillId="4" borderId="0" applyNumberFormat="0" applyBorder="0" applyAlignment="0" applyProtection="0"/>
    <xf numFmtId="0" fontId="39" fillId="5"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9" fillId="8" borderId="0" applyNumberFormat="0" applyBorder="0" applyAlignment="0" applyProtection="0"/>
    <xf numFmtId="0" fontId="39" fillId="9" borderId="0" applyNumberFormat="0" applyBorder="0" applyAlignment="0" applyProtection="0"/>
    <xf numFmtId="0" fontId="36" fillId="10" borderId="0" applyNumberFormat="0" applyBorder="0" applyAlignment="0" applyProtection="0"/>
    <xf numFmtId="0" fontId="36" fillId="10" borderId="0" applyNumberFormat="0" applyBorder="0" applyAlignment="0" applyProtection="0"/>
    <xf numFmtId="0" fontId="39" fillId="8" borderId="0" applyNumberFormat="0" applyBorder="0" applyAlignment="0" applyProtection="0"/>
    <xf numFmtId="0" fontId="39" fillId="11" borderId="0" applyNumberFormat="0" applyBorder="0" applyAlignment="0" applyProtection="0"/>
    <xf numFmtId="0" fontId="36" fillId="9" borderId="0" applyNumberFormat="0" applyBorder="0" applyAlignment="0" applyProtection="0"/>
    <xf numFmtId="0" fontId="36" fillId="4" borderId="0" applyNumberFormat="0" applyBorder="0" applyAlignment="0" applyProtection="0"/>
    <xf numFmtId="0" fontId="39" fillId="5" borderId="0" applyNumberFormat="0" applyBorder="0" applyAlignment="0" applyProtection="0"/>
    <xf numFmtId="0" fontId="39" fillId="9" borderId="0" applyNumberFormat="0" applyBorder="0" applyAlignment="0" applyProtection="0"/>
    <xf numFmtId="0" fontId="36" fillId="9" borderId="0" applyNumberFormat="0" applyBorder="0" applyAlignment="0" applyProtection="0"/>
    <xf numFmtId="0" fontId="36" fillId="12" borderId="0" applyNumberFormat="0" applyBorder="0" applyAlignment="0" applyProtection="0"/>
    <xf numFmtId="0" fontId="39" fillId="13"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14" borderId="0" applyNumberFormat="0" applyBorder="0" applyAlignment="0" applyProtection="0"/>
    <xf numFmtId="0" fontId="39" fillId="8" borderId="0" applyNumberFormat="0" applyBorder="0" applyAlignment="0" applyProtection="0"/>
    <xf numFmtId="0" fontId="39" fillId="15" borderId="0" applyNumberFormat="0" applyBorder="0" applyAlignment="0" applyProtection="0"/>
    <xf numFmtId="0" fontId="36" fillId="15" borderId="0" applyNumberFormat="0" applyBorder="0" applyAlignment="0" applyProtection="0"/>
    <xf numFmtId="0" fontId="31" fillId="16" borderId="0" applyNumberFormat="0" applyBorder="0" applyAlignment="0" applyProtection="0"/>
    <xf numFmtId="0" fontId="36" fillId="3" borderId="1" applyNumberFormat="0" applyAlignment="0" applyProtection="0"/>
    <xf numFmtId="0" fontId="37" fillId="0" borderId="0" applyNumberFormat="0" applyFill="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0" fillId="11" borderId="0" applyNumberFormat="0" applyBorder="0" applyAlignment="0" applyProtection="0"/>
    <xf numFmtId="0" fontId="27" fillId="0" borderId="2" applyNumberFormat="0" applyFill="0" applyAlignment="0" applyProtection="0"/>
    <xf numFmtId="0" fontId="28" fillId="0" borderId="3" applyNumberFormat="0" applyFill="0" applyAlignment="0" applyProtection="0"/>
    <xf numFmtId="0" fontId="29" fillId="0" borderId="4" applyNumberFormat="0" applyFill="0" applyAlignment="0" applyProtection="0"/>
    <xf numFmtId="0" fontId="29" fillId="0" borderId="0" applyNumberFormat="0" applyFill="0" applyBorder="0" applyAlignment="0" applyProtection="0"/>
    <xf numFmtId="0" fontId="34" fillId="2" borderId="5" applyNumberFormat="0" applyAlignment="0" applyProtection="0"/>
    <xf numFmtId="0" fontId="25" fillId="20" borderId="6" applyNumberFormat="0" applyFont="0" applyAlignment="0" applyProtection="0"/>
    <xf numFmtId="0" fontId="32" fillId="20" borderId="0" applyNumberFormat="0" applyBorder="0" applyAlignment="0" applyProtection="0"/>
    <xf numFmtId="0" fontId="25" fillId="8" borderId="7" applyNumberFormat="0" applyFont="0" applyAlignment="0" applyProtection="0"/>
    <xf numFmtId="0" fontId="35" fillId="21" borderId="8" applyNumberFormat="0" applyAlignment="0" applyProtection="0"/>
    <xf numFmtId="0" fontId="26" fillId="0" borderId="0" applyNumberFormat="0" applyFill="0" applyBorder="0" applyAlignment="0" applyProtection="0"/>
    <xf numFmtId="0" fontId="33" fillId="0" borderId="9" applyNumberFormat="0" applyFill="0" applyAlignment="0" applyProtection="0"/>
    <xf numFmtId="0" fontId="38" fillId="0" borderId="0" applyNumberFormat="0" applyFill="0" applyBorder="0" applyAlignment="0" applyProtection="0"/>
    <xf numFmtId="9" fontId="43" fillId="0" borderId="0" applyFont="0" applyFill="0" applyBorder="0" applyAlignment="0" applyProtection="0"/>
    <xf numFmtId="0" fontId="44" fillId="0" borderId="0" applyNumberFormat="0" applyFill="0" applyBorder="0" applyAlignment="0" applyProtection="0">
      <alignment vertical="top"/>
      <protection locked="0"/>
    </xf>
    <xf numFmtId="9" fontId="25" fillId="0" borderId="0" applyFont="0" applyFill="0" applyBorder="0" applyAlignment="0" applyProtection="0"/>
    <xf numFmtId="0" fontId="47" fillId="60" borderId="0" applyNumberFormat="0" applyBorder="0" applyAlignment="0" applyProtection="0"/>
    <xf numFmtId="0" fontId="2" fillId="61" borderId="0" applyNumberFormat="0" applyBorder="0" applyAlignment="0" applyProtection="0"/>
  </cellStyleXfs>
  <cellXfs count="1405">
    <xf numFmtId="0" fontId="0" fillId="0" borderId="0" xfId="0"/>
    <xf numFmtId="0" fontId="0" fillId="0" borderId="0" xfId="0" applyBorder="1"/>
    <xf numFmtId="0" fontId="20" fillId="0" borderId="12" xfId="0" applyFont="1" applyFill="1" applyBorder="1"/>
    <xf numFmtId="0" fontId="42" fillId="0" borderId="0" xfId="0" applyFont="1" applyAlignment="1">
      <alignment vertical="center"/>
    </xf>
    <xf numFmtId="0" fontId="42" fillId="22" borderId="12" xfId="0" applyFont="1" applyFill="1" applyBorder="1" applyAlignment="1">
      <alignment vertical="center"/>
    </xf>
    <xf numFmtId="0" fontId="42" fillId="22" borderId="0" xfId="0" applyFont="1" applyFill="1" applyBorder="1" applyAlignment="1">
      <alignment vertical="center"/>
    </xf>
    <xf numFmtId="0" fontId="0" fillId="0" borderId="23" xfId="0" applyBorder="1"/>
    <xf numFmtId="0" fontId="0" fillId="0" borderId="15" xfId="0" applyBorder="1"/>
    <xf numFmtId="0" fontId="51" fillId="0" borderId="0" xfId="0" applyFont="1" applyFill="1" applyBorder="1" applyAlignment="1">
      <alignment vertical="center"/>
    </xf>
    <xf numFmtId="0" fontId="52" fillId="23" borderId="0" xfId="0" applyFont="1" applyFill="1" applyBorder="1" applyAlignment="1">
      <alignment vertical="center"/>
    </xf>
    <xf numFmtId="0" fontId="50" fillId="23" borderId="0" xfId="0" applyFont="1" applyFill="1" applyBorder="1" applyAlignment="1">
      <alignment vertical="center"/>
    </xf>
    <xf numFmtId="0" fontId="54" fillId="0" borderId="0" xfId="45" applyFont="1" applyAlignment="1" applyProtection="1">
      <alignment vertical="center"/>
    </xf>
    <xf numFmtId="0" fontId="42" fillId="0" borderId="0" xfId="0" applyFont="1" applyFill="1" applyAlignment="1">
      <alignment vertical="center"/>
    </xf>
    <xf numFmtId="0" fontId="42" fillId="0" borderId="0" xfId="0" applyFont="1" applyBorder="1" applyAlignment="1">
      <alignment vertical="center"/>
    </xf>
    <xf numFmtId="0" fontId="42" fillId="0" borderId="0" xfId="0" applyFont="1"/>
    <xf numFmtId="0" fontId="42" fillId="22" borderId="13" xfId="0" applyFont="1" applyFill="1" applyBorder="1" applyAlignment="1">
      <alignment vertical="center"/>
    </xf>
    <xf numFmtId="0" fontId="42" fillId="0" borderId="13" xfId="0" applyFont="1" applyBorder="1" applyAlignment="1">
      <alignment vertical="center"/>
    </xf>
    <xf numFmtId="0" fontId="42" fillId="0" borderId="12" xfId="0" applyFont="1" applyBorder="1" applyAlignment="1">
      <alignment vertical="center"/>
    </xf>
    <xf numFmtId="0" fontId="42" fillId="23" borderId="0" xfId="0" applyFont="1" applyFill="1" applyBorder="1" applyAlignment="1">
      <alignment vertical="center"/>
    </xf>
    <xf numFmtId="0" fontId="42" fillId="23" borderId="12" xfId="0" applyFont="1" applyFill="1" applyBorder="1" applyAlignment="1">
      <alignment vertical="center"/>
    </xf>
    <xf numFmtId="2" fontId="52" fillId="23" borderId="0" xfId="0" applyNumberFormat="1" applyFont="1" applyFill="1" applyBorder="1" applyAlignment="1">
      <alignment horizontal="right" vertical="center"/>
    </xf>
    <xf numFmtId="0" fontId="50" fillId="23" borderId="12" xfId="0" applyNumberFormat="1" applyFont="1" applyFill="1" applyBorder="1" applyAlignment="1">
      <alignment vertical="center"/>
    </xf>
    <xf numFmtId="0" fontId="42" fillId="23" borderId="13" xfId="0" applyFont="1" applyFill="1" applyBorder="1" applyAlignment="1">
      <alignment vertical="center"/>
    </xf>
    <xf numFmtId="0" fontId="42" fillId="0" borderId="13" xfId="0" applyFont="1" applyFill="1" applyBorder="1" applyAlignment="1">
      <alignment vertical="center"/>
    </xf>
    <xf numFmtId="1" fontId="42" fillId="0" borderId="0" xfId="0" applyNumberFormat="1" applyFont="1" applyFill="1" applyBorder="1" applyAlignment="1">
      <alignment vertical="center"/>
    </xf>
    <xf numFmtId="0" fontId="42" fillId="0" borderId="0" xfId="0" applyFont="1" applyFill="1" applyBorder="1" applyAlignment="1">
      <alignment vertical="center"/>
    </xf>
    <xf numFmtId="10" fontId="42" fillId="23" borderId="0" xfId="44" applyNumberFormat="1" applyFont="1" applyFill="1" applyBorder="1" applyAlignment="1">
      <alignment vertical="center"/>
    </xf>
    <xf numFmtId="0" fontId="33" fillId="23" borderId="0" xfId="0" applyFont="1" applyFill="1" applyBorder="1" applyAlignment="1">
      <alignment vertical="center"/>
    </xf>
    <xf numFmtId="10" fontId="42" fillId="0" borderId="0" xfId="0" applyNumberFormat="1" applyFont="1" applyAlignment="1">
      <alignment vertical="center"/>
    </xf>
    <xf numFmtId="2" fontId="42" fillId="0" borderId="0" xfId="0" applyNumberFormat="1" applyFont="1" applyAlignment="1">
      <alignment vertical="center"/>
    </xf>
    <xf numFmtId="1" fontId="42" fillId="0" borderId="12" xfId="0" applyNumberFormat="1" applyFont="1" applyFill="1" applyBorder="1" applyAlignment="1">
      <alignment vertical="center"/>
    </xf>
    <xf numFmtId="0" fontId="48" fillId="0" borderId="0" xfId="0" applyFont="1" applyFill="1" applyBorder="1" applyAlignment="1">
      <alignment horizontal="center" vertical="center" wrapText="1"/>
    </xf>
    <xf numFmtId="0" fontId="55" fillId="23" borderId="0" xfId="0" applyFont="1" applyFill="1" applyBorder="1" applyAlignment="1">
      <alignment horizontal="left" vertical="center"/>
    </xf>
    <xf numFmtId="0" fontId="55" fillId="23" borderId="0" xfId="0" applyFont="1" applyFill="1" applyBorder="1" applyAlignment="1">
      <alignment vertical="center"/>
    </xf>
    <xf numFmtId="0" fontId="55" fillId="22" borderId="0" xfId="0" applyFont="1" applyFill="1" applyBorder="1" applyAlignment="1">
      <alignment vertical="center"/>
    </xf>
    <xf numFmtId="0" fontId="55" fillId="0" borderId="0" xfId="0" applyFont="1" applyAlignment="1">
      <alignment vertical="center"/>
    </xf>
    <xf numFmtId="0" fontId="55" fillId="22" borderId="0" xfId="0" applyFont="1" applyFill="1" applyAlignment="1">
      <alignment vertical="center"/>
    </xf>
    <xf numFmtId="0" fontId="55" fillId="22" borderId="12" xfId="0" applyFont="1" applyFill="1" applyBorder="1" applyAlignment="1">
      <alignment vertical="center"/>
    </xf>
    <xf numFmtId="1" fontId="55" fillId="23" borderId="0" xfId="0" applyNumberFormat="1" applyFont="1" applyFill="1" applyBorder="1" applyAlignment="1">
      <alignment vertical="center"/>
    </xf>
    <xf numFmtId="0" fontId="55" fillId="23" borderId="0" xfId="0" applyFont="1" applyFill="1" applyAlignment="1">
      <alignment vertical="center"/>
    </xf>
    <xf numFmtId="0" fontId="55" fillId="23" borderId="12" xfId="0" applyFont="1" applyFill="1" applyBorder="1" applyAlignment="1">
      <alignment vertical="center"/>
    </xf>
    <xf numFmtId="0" fontId="55" fillId="0" borderId="13" xfId="0" applyFont="1" applyBorder="1" applyAlignment="1">
      <alignment vertical="center"/>
    </xf>
    <xf numFmtId="0" fontId="55" fillId="0" borderId="12" xfId="0" applyFont="1" applyBorder="1" applyAlignment="1">
      <alignment vertical="center"/>
    </xf>
    <xf numFmtId="0" fontId="55" fillId="0" borderId="10" xfId="0" applyFont="1" applyFill="1" applyBorder="1" applyAlignment="1">
      <alignment vertical="center"/>
    </xf>
    <xf numFmtId="1" fontId="55" fillId="22" borderId="0" xfId="0" applyNumberFormat="1" applyFont="1" applyFill="1" applyBorder="1" applyAlignment="1">
      <alignment vertical="center"/>
    </xf>
    <xf numFmtId="0" fontId="55" fillId="0" borderId="0" xfId="0" applyFont="1" applyFill="1" applyAlignment="1">
      <alignment vertical="center"/>
    </xf>
    <xf numFmtId="0" fontId="55" fillId="22" borderId="0" xfId="0" applyFont="1" applyFill="1" applyBorder="1" applyAlignment="1">
      <alignment horizontal="center" vertical="center"/>
    </xf>
    <xf numFmtId="0" fontId="55" fillId="22" borderId="12" xfId="0" applyFont="1" applyFill="1" applyBorder="1" applyAlignment="1">
      <alignment horizontal="center" vertical="center"/>
    </xf>
    <xf numFmtId="0" fontId="55" fillId="0" borderId="12" xfId="0" applyFont="1" applyFill="1" applyBorder="1" applyAlignment="1">
      <alignment vertical="center"/>
    </xf>
    <xf numFmtId="0" fontId="55" fillId="23" borderId="12" xfId="0" applyFont="1" applyFill="1" applyBorder="1" applyAlignment="1">
      <alignment horizontal="center" vertical="center"/>
    </xf>
    <xf numFmtId="0" fontId="55" fillId="0" borderId="11" xfId="0" applyFont="1" applyFill="1" applyBorder="1" applyAlignment="1">
      <alignment horizontal="right" vertical="center"/>
    </xf>
    <xf numFmtId="0" fontId="55" fillId="23" borderId="0" xfId="0" applyFont="1" applyFill="1" applyBorder="1" applyAlignment="1">
      <alignment horizontal="center" vertical="center"/>
    </xf>
    <xf numFmtId="1" fontId="55" fillId="0" borderId="0" xfId="0" applyNumberFormat="1" applyFont="1" applyAlignment="1">
      <alignment vertical="center"/>
    </xf>
    <xf numFmtId="0" fontId="55" fillId="0" borderId="0" xfId="0" applyFont="1" applyBorder="1" applyAlignment="1">
      <alignment vertical="center"/>
    </xf>
    <xf numFmtId="167" fontId="55" fillId="0" borderId="0" xfId="0" applyNumberFormat="1" applyFont="1" applyAlignment="1">
      <alignment vertical="center"/>
    </xf>
    <xf numFmtId="0" fontId="55" fillId="0" borderId="0" xfId="0" applyFont="1" applyFill="1" applyBorder="1" applyAlignment="1">
      <alignment horizontal="left" vertical="center"/>
    </xf>
    <xf numFmtId="0" fontId="56" fillId="22" borderId="1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Border="1"/>
    <xf numFmtId="0" fontId="55" fillId="0" borderId="0" xfId="0" applyFont="1" applyFill="1" applyBorder="1" applyAlignment="1">
      <alignment vertical="center"/>
    </xf>
    <xf numFmtId="0" fontId="55" fillId="23" borderId="23" xfId="0" applyFont="1" applyFill="1" applyBorder="1" applyAlignment="1">
      <alignment vertical="center"/>
    </xf>
    <xf numFmtId="0" fontId="55" fillId="23" borderId="0" xfId="0" applyFont="1" applyFill="1" applyBorder="1"/>
    <xf numFmtId="165" fontId="55" fillId="23" borderId="23" xfId="0" applyNumberFormat="1" applyFont="1" applyFill="1" applyBorder="1" applyAlignment="1">
      <alignment vertical="center"/>
    </xf>
    <xf numFmtId="165" fontId="55" fillId="0" borderId="0" xfId="0" applyNumberFormat="1"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0" borderId="0" xfId="0" applyFont="1"/>
    <xf numFmtId="0" fontId="55" fillId="0" borderId="12" xfId="0" applyFont="1" applyBorder="1"/>
    <xf numFmtId="0" fontId="56" fillId="23" borderId="0" xfId="0" applyFont="1" applyFill="1" applyBorder="1" applyAlignment="1">
      <alignment horizontal="center" vertical="center"/>
    </xf>
    <xf numFmtId="0" fontId="56" fillId="23" borderId="12" xfId="0" applyFont="1" applyFill="1" applyBorder="1" applyAlignment="1">
      <alignment horizontal="center" vertical="center"/>
    </xf>
    <xf numFmtId="0" fontId="56" fillId="23" borderId="0" xfId="0" applyFont="1" applyFill="1" applyBorder="1" applyAlignment="1"/>
    <xf numFmtId="10" fontId="55" fillId="23" borderId="0" xfId="0" applyNumberFormat="1" applyFont="1" applyFill="1" applyBorder="1" applyAlignment="1">
      <alignment vertical="center"/>
    </xf>
    <xf numFmtId="164" fontId="55" fillId="0" borderId="12" xfId="0" applyNumberFormat="1" applyFont="1" applyFill="1" applyBorder="1" applyAlignment="1">
      <alignment vertical="center"/>
    </xf>
    <xf numFmtId="164" fontId="55" fillId="0" borderId="0" xfId="0" applyNumberFormat="1" applyFont="1" applyFill="1" applyBorder="1" applyAlignment="1">
      <alignment vertical="center"/>
    </xf>
    <xf numFmtId="164" fontId="55" fillId="0" borderId="0" xfId="0" applyNumberFormat="1" applyFont="1" applyFill="1" applyBorder="1" applyAlignment="1">
      <alignment horizontal="right"/>
    </xf>
    <xf numFmtId="164" fontId="55" fillId="0" borderId="12" xfId="0" applyNumberFormat="1" applyFont="1" applyFill="1" applyBorder="1" applyAlignment="1">
      <alignment horizontal="right"/>
    </xf>
    <xf numFmtId="0" fontId="55" fillId="0" borderId="14" xfId="0" applyFont="1" applyBorder="1" applyAlignment="1">
      <alignment horizontal="right" vertical="center"/>
    </xf>
    <xf numFmtId="0" fontId="55" fillId="0" borderId="0" xfId="0" applyFont="1" applyBorder="1" applyAlignment="1">
      <alignment horizontal="right" vertical="center"/>
    </xf>
    <xf numFmtId="0" fontId="56" fillId="0" borderId="0" xfId="0" applyFont="1" applyFill="1" applyBorder="1" applyAlignment="1"/>
    <xf numFmtId="0" fontId="55" fillId="0" borderId="0" xfId="0" applyFont="1" applyFill="1"/>
    <xf numFmtId="2" fontId="55" fillId="23" borderId="0" xfId="0" applyNumberFormat="1" applyFont="1" applyFill="1" applyBorder="1"/>
    <xf numFmtId="0" fontId="55" fillId="23" borderId="12" xfId="0" applyFont="1" applyFill="1" applyBorder="1"/>
    <xf numFmtId="0" fontId="56" fillId="23" borderId="0" xfId="0" applyFont="1" applyFill="1" applyBorder="1" applyAlignment="1">
      <alignment vertical="center"/>
    </xf>
    <xf numFmtId="164" fontId="55" fillId="23" borderId="0" xfId="0" applyNumberFormat="1" applyFont="1" applyFill="1" applyBorder="1" applyAlignment="1">
      <alignment horizontal="right" vertical="center"/>
    </xf>
    <xf numFmtId="0" fontId="55" fillId="0" borderId="0" xfId="0" applyFont="1" applyAlignment="1"/>
    <xf numFmtId="0" fontId="55" fillId="0" borderId="12" xfId="0" applyFont="1" applyBorder="1" applyAlignment="1"/>
    <xf numFmtId="165" fontId="55" fillId="0" borderId="0" xfId="0" applyNumberFormat="1" applyFont="1" applyFill="1" applyBorder="1" applyAlignment="1">
      <alignment horizontal="right" vertical="center"/>
    </xf>
    <xf numFmtId="0" fontId="55" fillId="0" borderId="13" xfId="0" applyFont="1" applyBorder="1"/>
    <xf numFmtId="0" fontId="55" fillId="23" borderId="23" xfId="0" applyFont="1" applyFill="1" applyBorder="1"/>
    <xf numFmtId="0" fontId="55" fillId="23" borderId="15" xfId="0" applyFont="1" applyFill="1" applyBorder="1"/>
    <xf numFmtId="0" fontId="55" fillId="0" borderId="0" xfId="0" applyFont="1" applyFill="1" applyBorder="1"/>
    <xf numFmtId="0" fontId="19" fillId="0" borderId="0" xfId="0" applyFont="1" applyFill="1" applyBorder="1" applyAlignment="1">
      <alignment horizontal="left" vertical="center"/>
    </xf>
    <xf numFmtId="0" fontId="55" fillId="23" borderId="0" xfId="0" applyFont="1" applyFill="1" applyBorder="1" applyAlignment="1">
      <alignment horizontal="left" vertical="center" wrapText="1"/>
    </xf>
    <xf numFmtId="0" fontId="55" fillId="23" borderId="12" xfId="0" applyFont="1" applyFill="1" applyBorder="1" applyAlignment="1">
      <alignment horizontal="left" vertical="center" wrapText="1"/>
    </xf>
    <xf numFmtId="0" fontId="55" fillId="0" borderId="11" xfId="0" applyFont="1" applyFill="1" applyBorder="1" applyAlignment="1">
      <alignment vertical="center"/>
    </xf>
    <xf numFmtId="0" fontId="55" fillId="0" borderId="10" xfId="0" applyFont="1" applyBorder="1" applyAlignment="1">
      <alignment vertical="center"/>
    </xf>
    <xf numFmtId="0" fontId="55" fillId="23" borderId="13" xfId="0" applyFont="1" applyFill="1" applyBorder="1" applyAlignment="1">
      <alignment vertical="center"/>
    </xf>
    <xf numFmtId="0" fontId="55" fillId="0" borderId="14" xfId="0" applyFont="1" applyFill="1" applyBorder="1" applyAlignment="1">
      <alignment vertical="center"/>
    </xf>
    <xf numFmtId="0" fontId="56" fillId="22" borderId="0" xfId="0" applyFont="1" applyFill="1" applyAlignment="1">
      <alignment vertical="center" wrapText="1"/>
    </xf>
    <xf numFmtId="0" fontId="56" fillId="22" borderId="0" xfId="0" applyFont="1" applyFill="1" applyBorder="1" applyAlignment="1">
      <alignment horizontal="left" vertical="center" wrapText="1"/>
    </xf>
    <xf numFmtId="0" fontId="61" fillId="22" borderId="0" xfId="0" applyFont="1" applyFill="1" applyBorder="1" applyAlignment="1"/>
    <xf numFmtId="0" fontId="55" fillId="22" borderId="0" xfId="0" applyFont="1" applyFill="1" applyAlignment="1"/>
    <xf numFmtId="0" fontId="55" fillId="22" borderId="0" xfId="0" applyFont="1" applyFill="1" applyBorder="1" applyAlignment="1"/>
    <xf numFmtId="0" fontId="55" fillId="0" borderId="10" xfId="0" applyFont="1" applyBorder="1" applyAlignment="1">
      <alignment horizontal="right" vertical="center"/>
    </xf>
    <xf numFmtId="0" fontId="55" fillId="0" borderId="12" xfId="0" applyFont="1" applyBorder="1" applyAlignment="1">
      <alignment horizontal="right" vertical="center"/>
    </xf>
    <xf numFmtId="0" fontId="55" fillId="0" borderId="10" xfId="0" applyFont="1" applyBorder="1" applyAlignment="1">
      <alignment horizontal="right"/>
    </xf>
    <xf numFmtId="0" fontId="55" fillId="0" borderId="10" xfId="0" applyFont="1" applyFill="1" applyBorder="1" applyAlignment="1">
      <alignment horizontal="right"/>
    </xf>
    <xf numFmtId="0" fontId="55" fillId="0" borderId="10" xfId="0" applyFont="1" applyBorder="1"/>
    <xf numFmtId="0" fontId="55" fillId="0" borderId="0" xfId="0" applyFont="1" applyAlignment="1">
      <alignment horizontal="right"/>
    </xf>
    <xf numFmtId="0" fontId="55" fillId="0" borderId="10" xfId="0" applyFont="1" applyFill="1" applyBorder="1"/>
    <xf numFmtId="0" fontId="55" fillId="0" borderId="11" xfId="0" applyFont="1" applyBorder="1"/>
    <xf numFmtId="0" fontId="55" fillId="23" borderId="0" xfId="0" applyFont="1" applyFill="1"/>
    <xf numFmtId="0" fontId="56" fillId="0" borderId="20" xfId="0" applyFont="1" applyBorder="1"/>
    <xf numFmtId="0" fontId="56" fillId="0" borderId="0" xfId="0" applyFont="1"/>
    <xf numFmtId="0" fontId="55" fillId="0" borderId="15" xfId="0" applyFont="1" applyBorder="1"/>
    <xf numFmtId="0" fontId="55" fillId="0" borderId="23" xfId="0" applyFont="1" applyBorder="1"/>
    <xf numFmtId="0" fontId="55" fillId="22" borderId="23" xfId="0" applyFont="1" applyFill="1" applyBorder="1"/>
    <xf numFmtId="0" fontId="56" fillId="0" borderId="20" xfId="0" applyFont="1" applyBorder="1" applyAlignment="1">
      <alignment horizontal="center"/>
    </xf>
    <xf numFmtId="0" fontId="56" fillId="0" borderId="15" xfId="0" applyFont="1" applyBorder="1" applyAlignment="1">
      <alignment horizontal="center"/>
    </xf>
    <xf numFmtId="0" fontId="56" fillId="22" borderId="20" xfId="0" applyFont="1" applyFill="1" applyBorder="1" applyAlignment="1">
      <alignment horizontal="center"/>
    </xf>
    <xf numFmtId="0" fontId="55" fillId="0" borderId="19" xfId="0" applyFont="1" applyBorder="1" applyAlignment="1">
      <alignment horizontal="right"/>
    </xf>
    <xf numFmtId="0" fontId="55" fillId="0" borderId="12" xfId="0" applyFont="1" applyFill="1" applyBorder="1"/>
    <xf numFmtId="0" fontId="55" fillId="0" borderId="12" xfId="0" applyFont="1" applyBorder="1" applyAlignment="1">
      <alignment horizontal="right"/>
    </xf>
    <xf numFmtId="0" fontId="55" fillId="0" borderId="15" xfId="0" applyFont="1" applyBorder="1" applyAlignment="1">
      <alignment horizontal="right"/>
    </xf>
    <xf numFmtId="0" fontId="55" fillId="0" borderId="11" xfId="0" applyFont="1" applyFill="1" applyBorder="1"/>
    <xf numFmtId="0" fontId="56" fillId="0" borderId="21" xfId="0" applyFont="1" applyBorder="1" applyAlignment="1">
      <alignment horizontal="center"/>
    </xf>
    <xf numFmtId="0" fontId="55" fillId="23" borderId="0" xfId="0" applyFont="1" applyFill="1" applyBorder="1" applyAlignment="1">
      <alignment horizontal="right"/>
    </xf>
    <xf numFmtId="0" fontId="55" fillId="0" borderId="14" xfId="0" applyFont="1" applyBorder="1" applyAlignment="1">
      <alignment horizontal="right"/>
    </xf>
    <xf numFmtId="0" fontId="55" fillId="22" borderId="0" xfId="0" applyFont="1" applyFill="1" applyBorder="1"/>
    <xf numFmtId="0" fontId="55" fillId="0" borderId="14" xfId="0" applyFont="1" applyBorder="1"/>
    <xf numFmtId="0" fontId="55" fillId="0" borderId="25" xfId="0" applyFont="1" applyBorder="1"/>
    <xf numFmtId="0" fontId="55" fillId="22" borderId="18" xfId="0" applyFont="1" applyFill="1" applyBorder="1"/>
    <xf numFmtId="49" fontId="55" fillId="0" borderId="12" xfId="0" applyNumberFormat="1" applyFont="1" applyBorder="1" applyAlignment="1">
      <alignment horizontal="right"/>
    </xf>
    <xf numFmtId="49" fontId="55" fillId="0" borderId="11" xfId="0" applyNumberFormat="1" applyFont="1" applyBorder="1" applyAlignment="1">
      <alignment horizontal="right"/>
    </xf>
    <xf numFmtId="0" fontId="55" fillId="23" borderId="18" xfId="0" applyFont="1" applyFill="1" applyBorder="1" applyAlignment="1">
      <alignment horizontal="right"/>
    </xf>
    <xf numFmtId="0" fontId="55" fillId="23" borderId="18" xfId="0" applyFont="1" applyFill="1" applyBorder="1"/>
    <xf numFmtId="0" fontId="55" fillId="22" borderId="13" xfId="0" applyFont="1" applyFill="1" applyBorder="1" applyAlignment="1">
      <alignment horizontal="right"/>
    </xf>
    <xf numFmtId="0" fontId="55" fillId="0" borderId="12" xfId="0" applyFont="1" applyFill="1" applyBorder="1" applyAlignment="1">
      <alignment horizontal="right"/>
    </xf>
    <xf numFmtId="0" fontId="55" fillId="0" borderId="15" xfId="0" applyFont="1" applyFill="1" applyBorder="1"/>
    <xf numFmtId="0" fontId="55" fillId="22" borderId="10" xfId="0" applyFont="1" applyFill="1" applyBorder="1" applyAlignment="1">
      <alignment horizontal="right"/>
    </xf>
    <xf numFmtId="0" fontId="56" fillId="0" borderId="22" xfId="0" applyFont="1" applyBorder="1" applyAlignment="1">
      <alignment horizontal="center"/>
    </xf>
    <xf numFmtId="0" fontId="55" fillId="0" borderId="14" xfId="0" applyFont="1" applyBorder="1" applyAlignment="1">
      <alignment vertical="center"/>
    </xf>
    <xf numFmtId="0" fontId="55" fillId="0" borderId="23" xfId="0" applyFont="1" applyBorder="1" applyAlignment="1">
      <alignment vertical="center"/>
    </xf>
    <xf numFmtId="0" fontId="55" fillId="0" borderId="24" xfId="0" applyFont="1" applyBorder="1" applyAlignment="1">
      <alignment vertical="center"/>
    </xf>
    <xf numFmtId="0" fontId="55" fillId="0" borderId="19" xfId="0" quotePrefix="1" applyFont="1" applyBorder="1" applyAlignment="1">
      <alignment horizontal="right" vertical="center"/>
    </xf>
    <xf numFmtId="0" fontId="55" fillId="0" borderId="10" xfId="0" applyFont="1" applyFill="1" applyBorder="1" applyAlignment="1">
      <alignment horizontal="right" vertical="center"/>
    </xf>
    <xf numFmtId="0" fontId="55" fillId="0" borderId="12" xfId="0" applyFont="1" applyFill="1" applyBorder="1" applyAlignment="1">
      <alignment horizontal="right" vertical="center"/>
    </xf>
    <xf numFmtId="0" fontId="56" fillId="22" borderId="20" xfId="0" applyFont="1" applyFill="1" applyBorder="1"/>
    <xf numFmtId="0" fontId="55" fillId="0" borderId="14" xfId="0" applyFont="1" applyFill="1" applyBorder="1" applyAlignment="1">
      <alignment horizontal="right"/>
    </xf>
    <xf numFmtId="0" fontId="55" fillId="0" borderId="28" xfId="0" applyFont="1" applyFill="1" applyBorder="1" applyAlignment="1">
      <alignment horizontal="right"/>
    </xf>
    <xf numFmtId="0" fontId="55" fillId="0" borderId="26" xfId="0" applyFont="1" applyFill="1" applyBorder="1" applyAlignment="1">
      <alignment horizontal="right"/>
    </xf>
    <xf numFmtId="0" fontId="55" fillId="0" borderId="26" xfId="0" applyFont="1" applyFill="1" applyBorder="1"/>
    <xf numFmtId="0" fontId="55" fillId="0" borderId="25" xfId="0" applyFont="1" applyFill="1" applyBorder="1" applyAlignment="1">
      <alignment horizontal="right"/>
    </xf>
    <xf numFmtId="0" fontId="55" fillId="0" borderId="25" xfId="0" applyFont="1" applyFill="1" applyBorder="1"/>
    <xf numFmtId="0" fontId="55" fillId="23" borderId="13" xfId="0" applyFont="1" applyFill="1" applyBorder="1" applyAlignment="1">
      <alignment horizontal="right"/>
    </xf>
    <xf numFmtId="0" fontId="55" fillId="22" borderId="12" xfId="0" applyFont="1" applyFill="1" applyBorder="1" applyAlignment="1">
      <alignment horizontal="right"/>
    </xf>
    <xf numFmtId="0" fontId="55" fillId="0" borderId="26" xfId="0" applyFont="1" applyBorder="1"/>
    <xf numFmtId="0" fontId="55" fillId="0" borderId="27" xfId="0" applyFont="1" applyFill="1" applyBorder="1"/>
    <xf numFmtId="0" fontId="55" fillId="0" borderId="27" xfId="0" applyFont="1" applyBorder="1"/>
    <xf numFmtId="0" fontId="55" fillId="0" borderId="25" xfId="0" applyFont="1" applyBorder="1" applyAlignment="1">
      <alignment horizontal="right"/>
    </xf>
    <xf numFmtId="0" fontId="55" fillId="0" borderId="20" xfId="0" applyFont="1" applyBorder="1" applyAlignment="1">
      <alignment horizontal="right"/>
    </xf>
    <xf numFmtId="0" fontId="55" fillId="0" borderId="21" xfId="0" applyFont="1" applyBorder="1"/>
    <xf numFmtId="0" fontId="55" fillId="22" borderId="11" xfId="0" applyFont="1" applyFill="1" applyBorder="1"/>
    <xf numFmtId="0" fontId="55" fillId="0" borderId="20" xfId="0" applyFont="1" applyFill="1" applyBorder="1"/>
    <xf numFmtId="0" fontId="55" fillId="0" borderId="28" xfId="0" quotePrefix="1" applyFont="1" applyBorder="1" applyAlignment="1">
      <alignment horizontal="right"/>
    </xf>
    <xf numFmtId="0" fontId="55" fillId="0" borderId="10" xfId="0" quotePrefix="1" applyFont="1" applyBorder="1" applyAlignment="1">
      <alignment horizontal="right"/>
    </xf>
    <xf numFmtId="0" fontId="55" fillId="0" borderId="26" xfId="0" applyFont="1" applyBorder="1" applyAlignment="1">
      <alignment horizontal="right"/>
    </xf>
    <xf numFmtId="0" fontId="55" fillId="22" borderId="13" xfId="0" applyFont="1" applyFill="1" applyBorder="1"/>
    <xf numFmtId="0" fontId="55" fillId="0" borderId="11" xfId="0" applyFont="1" applyBorder="1" applyAlignment="1">
      <alignment horizontal="right"/>
    </xf>
    <xf numFmtId="0" fontId="55" fillId="23" borderId="13" xfId="0" applyFont="1" applyFill="1" applyBorder="1"/>
    <xf numFmtId="0" fontId="48" fillId="23" borderId="13" xfId="0" applyFont="1" applyFill="1" applyBorder="1" applyAlignment="1">
      <alignment vertical="center"/>
    </xf>
    <xf numFmtId="0" fontId="42" fillId="0" borderId="0" xfId="0" applyFont="1" applyBorder="1"/>
    <xf numFmtId="0" fontId="48" fillId="0" borderId="0" xfId="0" applyFont="1" applyFill="1" applyBorder="1" applyAlignment="1">
      <alignment horizontal="center" vertical="center"/>
    </xf>
    <xf numFmtId="0" fontId="38" fillId="0" borderId="0" xfId="0" applyFont="1" applyFill="1" applyBorder="1" applyAlignment="1">
      <alignment horizontal="right" vertical="center"/>
    </xf>
    <xf numFmtId="0" fontId="42" fillId="0" borderId="0" xfId="0" applyFont="1" applyFill="1" applyBorder="1" applyAlignment="1">
      <alignment horizontal="center" wrapText="1"/>
    </xf>
    <xf numFmtId="9" fontId="50" fillId="0" borderId="0" xfId="0" applyNumberFormat="1" applyFont="1" applyFill="1" applyBorder="1" applyAlignment="1">
      <alignment horizontal="right" vertical="center"/>
    </xf>
    <xf numFmtId="0" fontId="52" fillId="0" borderId="0" xfId="0" quotePrefix="1" applyNumberFormat="1" applyFont="1" applyFill="1" applyBorder="1" applyAlignment="1">
      <alignment horizontal="right" vertical="center"/>
    </xf>
    <xf numFmtId="0" fontId="52" fillId="0" borderId="0" xfId="0" applyFont="1" applyFill="1" applyBorder="1" applyAlignment="1">
      <alignment vertical="center"/>
    </xf>
    <xf numFmtId="0" fontId="62" fillId="0" borderId="0" xfId="0" applyFont="1" applyFill="1" applyBorder="1" applyAlignment="1">
      <alignment horizontal="center" vertical="center"/>
    </xf>
    <xf numFmtId="0" fontId="64" fillId="0" borderId="23" xfId="0" applyFont="1" applyBorder="1" applyAlignment="1">
      <alignment vertical="center"/>
    </xf>
    <xf numFmtId="0" fontId="49" fillId="0" borderId="0" xfId="0" applyFont="1" applyFill="1" applyBorder="1" applyAlignment="1">
      <alignment vertical="center"/>
    </xf>
    <xf numFmtId="9" fontId="49" fillId="0" borderId="0" xfId="0" applyNumberFormat="1" applyFont="1" applyFill="1" applyBorder="1" applyAlignment="1">
      <alignment vertical="center"/>
    </xf>
    <xf numFmtId="2" fontId="38" fillId="0" borderId="0" xfId="0" applyNumberFormat="1" applyFont="1" applyFill="1" applyBorder="1" applyAlignment="1">
      <alignment horizontal="right" vertical="center"/>
    </xf>
    <xf numFmtId="2" fontId="52" fillId="0" borderId="0" xfId="0" applyNumberFormat="1" applyFont="1" applyFill="1" applyBorder="1" applyAlignment="1">
      <alignment horizontal="right" vertical="center"/>
    </xf>
    <xf numFmtId="2" fontId="52" fillId="23" borderId="12" xfId="0" applyNumberFormat="1" applyFont="1" applyFill="1" applyBorder="1" applyAlignment="1">
      <alignment horizontal="right" vertical="center"/>
    </xf>
    <xf numFmtId="0" fontId="38" fillId="0" borderId="0" xfId="0" applyNumberFormat="1" applyFont="1" applyFill="1" applyBorder="1" applyAlignment="1">
      <alignment horizontal="right" vertical="center"/>
    </xf>
    <xf numFmtId="0" fontId="52" fillId="0" borderId="0" xfId="0" applyNumberFormat="1" applyFont="1" applyFill="1" applyBorder="1" applyAlignment="1">
      <alignment horizontal="right" vertical="center"/>
    </xf>
    <xf numFmtId="1" fontId="49" fillId="0" borderId="0" xfId="44" applyNumberFormat="1" applyFont="1" applyFill="1" applyBorder="1" applyAlignment="1">
      <alignment vertical="center"/>
    </xf>
    <xf numFmtId="1" fontId="42" fillId="0" borderId="12" xfId="0" applyNumberFormat="1" applyFont="1" applyFill="1" applyBorder="1" applyAlignment="1">
      <alignment horizontal="right" vertical="center"/>
    </xf>
    <xf numFmtId="0" fontId="42" fillId="0" borderId="0" xfId="0" applyFont="1" applyFill="1" applyBorder="1" applyAlignment="1">
      <alignment horizontal="right" vertical="center"/>
    </xf>
    <xf numFmtId="1" fontId="42" fillId="0" borderId="0" xfId="0" applyNumberFormat="1" applyFont="1" applyFill="1" applyBorder="1" applyAlignment="1">
      <alignment horizontal="right" vertical="center"/>
    </xf>
    <xf numFmtId="2" fontId="42" fillId="0" borderId="0" xfId="0" applyNumberFormat="1" applyFont="1" applyFill="1" applyBorder="1" applyAlignment="1">
      <alignment horizontal="right" vertical="center"/>
    </xf>
    <xf numFmtId="2" fontId="42" fillId="0" borderId="0" xfId="0" applyNumberFormat="1" applyFont="1" applyFill="1" applyBorder="1" applyAlignment="1">
      <alignment vertical="center"/>
    </xf>
    <xf numFmtId="0" fontId="42" fillId="0" borderId="0" xfId="0" applyFont="1" applyFill="1" applyBorder="1" applyAlignment="1">
      <alignment horizontal="center" vertical="center"/>
    </xf>
    <xf numFmtId="167" fontId="42" fillId="0" borderId="0" xfId="0" applyNumberFormat="1" applyFont="1" applyFill="1" applyBorder="1" applyAlignment="1">
      <alignment vertical="center"/>
    </xf>
    <xf numFmtId="0" fontId="48" fillId="26" borderId="0" xfId="0" applyFont="1" applyFill="1" applyBorder="1" applyAlignment="1">
      <alignment vertical="center"/>
    </xf>
    <xf numFmtId="0" fontId="62" fillId="26" borderId="13" xfId="0" applyFont="1" applyFill="1" applyBorder="1" applyAlignment="1">
      <alignment vertical="center"/>
    </xf>
    <xf numFmtId="0" fontId="48" fillId="26" borderId="12" xfId="0" applyFont="1" applyFill="1" applyBorder="1" applyAlignment="1">
      <alignment vertical="center"/>
    </xf>
    <xf numFmtId="0" fontId="48" fillId="0" borderId="13" xfId="0" applyFont="1" applyFill="1" applyBorder="1" applyAlignment="1">
      <alignment horizontal="center" vertical="center"/>
    </xf>
    <xf numFmtId="0" fontId="42" fillId="0" borderId="12" xfId="0" applyFont="1" applyFill="1" applyBorder="1" applyAlignment="1">
      <alignment horizontal="center" vertical="center"/>
    </xf>
    <xf numFmtId="169" fontId="42" fillId="0" borderId="12" xfId="0" applyNumberFormat="1" applyFont="1" applyFill="1" applyBorder="1" applyAlignment="1">
      <alignment vertical="center"/>
    </xf>
    <xf numFmtId="166" fontId="42" fillId="0" borderId="0" xfId="0" applyNumberFormat="1" applyFont="1" applyFill="1" applyBorder="1" applyAlignment="1">
      <alignment horizontal="right" vertical="center"/>
    </xf>
    <xf numFmtId="167" fontId="42" fillId="0" borderId="0" xfId="0" applyNumberFormat="1" applyFont="1" applyFill="1" applyBorder="1" applyAlignment="1">
      <alignment horizontal="right" vertical="center"/>
    </xf>
    <xf numFmtId="9" fontId="42" fillId="0" borderId="0" xfId="0" applyNumberFormat="1" applyFont="1" applyFill="1" applyBorder="1" applyAlignment="1">
      <alignment vertical="center"/>
    </xf>
    <xf numFmtId="0" fontId="56" fillId="0" borderId="0" xfId="0" applyFont="1" applyFill="1" applyBorder="1" applyAlignment="1">
      <alignment horizontal="center" vertical="center"/>
    </xf>
    <xf numFmtId="1" fontId="55" fillId="0" borderId="0" xfId="0" applyNumberFormat="1" applyFont="1" applyFill="1" applyBorder="1" applyAlignment="1">
      <alignment horizontal="right" vertical="center"/>
    </xf>
    <xf numFmtId="0" fontId="56" fillId="0" borderId="0" xfId="0" applyFont="1" applyFill="1" applyBorder="1" applyAlignment="1">
      <alignment vertical="center"/>
    </xf>
    <xf numFmtId="168" fontId="55" fillId="0" borderId="0" xfId="0" applyNumberFormat="1" applyFont="1" applyFill="1" applyBorder="1" applyAlignment="1">
      <alignment horizontal="center" vertical="center"/>
    </xf>
    <xf numFmtId="1" fontId="55" fillId="0" borderId="0" xfId="0" applyNumberFormat="1" applyFont="1" applyFill="1" applyBorder="1" applyAlignment="1">
      <alignment vertical="center"/>
    </xf>
    <xf numFmtId="0" fontId="55" fillId="22" borderId="0" xfId="0" applyFont="1" applyFill="1" applyBorder="1" applyAlignment="1">
      <alignment horizontal="right" vertical="center"/>
    </xf>
    <xf numFmtId="0" fontId="55" fillId="0" borderId="15" xfId="0" applyFont="1" applyBorder="1" applyAlignment="1">
      <alignment vertical="center"/>
    </xf>
    <xf numFmtId="0" fontId="56" fillId="0" borderId="12" xfId="0" applyFont="1" applyFill="1" applyBorder="1" applyAlignment="1">
      <alignment horizontal="center" vertical="center"/>
    </xf>
    <xf numFmtId="0" fontId="56" fillId="0" borderId="12" xfId="0" applyFont="1" applyFill="1" applyBorder="1" applyAlignment="1">
      <alignment vertical="center"/>
    </xf>
    <xf numFmtId="0" fontId="19" fillId="0" borderId="0" xfId="0" applyFont="1" applyBorder="1" applyAlignment="1">
      <alignment vertical="center"/>
    </xf>
    <xf numFmtId="0" fontId="55" fillId="0" borderId="0" xfId="0" applyFont="1" applyFill="1" applyBorder="1" applyAlignment="1"/>
    <xf numFmtId="0" fontId="19" fillId="0" borderId="0" xfId="0" applyFont="1" applyFill="1" applyBorder="1" applyAlignment="1">
      <alignment vertical="center"/>
    </xf>
    <xf numFmtId="0" fontId="56" fillId="22" borderId="0" xfId="0" applyFont="1" applyFill="1" applyBorder="1" applyAlignment="1">
      <alignment vertical="center"/>
    </xf>
    <xf numFmtId="0" fontId="56" fillId="0" borderId="13" xfId="0" applyFont="1" applyFill="1" applyBorder="1" applyAlignment="1">
      <alignment horizontal="center" vertical="center"/>
    </xf>
    <xf numFmtId="0" fontId="55" fillId="0" borderId="0" xfId="0" applyFont="1" applyFill="1" applyBorder="1" applyAlignment="1">
      <alignment horizontal="center" vertical="center"/>
    </xf>
    <xf numFmtId="10" fontId="55" fillId="30" borderId="45" xfId="44" applyNumberFormat="1" applyFont="1" applyFill="1" applyBorder="1" applyAlignment="1">
      <alignment vertical="center"/>
    </xf>
    <xf numFmtId="0" fontId="55" fillId="30" borderId="45" xfId="0" applyFont="1" applyFill="1" applyBorder="1" applyAlignment="1">
      <alignment vertical="center"/>
    </xf>
    <xf numFmtId="0" fontId="55" fillId="26" borderId="0" xfId="0" applyFont="1" applyFill="1" applyBorder="1" applyAlignment="1">
      <alignment vertical="center"/>
    </xf>
    <xf numFmtId="0" fontId="56" fillId="26" borderId="0" xfId="0" applyFont="1" applyFill="1" applyBorder="1" applyAlignment="1">
      <alignment horizontal="center" vertical="center"/>
    </xf>
    <xf numFmtId="0" fontId="55" fillId="26" borderId="33" xfId="0" applyFont="1" applyFill="1" applyBorder="1" applyAlignment="1">
      <alignment vertical="center"/>
    </xf>
    <xf numFmtId="0" fontId="55" fillId="26" borderId="38" xfId="0" applyFont="1" applyFill="1" applyBorder="1" applyAlignment="1">
      <alignment vertical="center"/>
    </xf>
    <xf numFmtId="0" fontId="55" fillId="31" borderId="47" xfId="0" applyFont="1" applyFill="1" applyBorder="1" applyAlignment="1">
      <alignment horizontal="right" vertical="center"/>
    </xf>
    <xf numFmtId="0" fontId="55" fillId="30" borderId="43" xfId="0" applyFont="1" applyFill="1" applyBorder="1" applyAlignment="1">
      <alignment vertical="center"/>
    </xf>
    <xf numFmtId="10" fontId="55" fillId="30" borderId="43" xfId="44" applyNumberFormat="1" applyFont="1" applyFill="1" applyBorder="1" applyAlignment="1">
      <alignment vertical="center"/>
    </xf>
    <xf numFmtId="166" fontId="55" fillId="30" borderId="35" xfId="0" applyNumberFormat="1" applyFont="1" applyFill="1" applyBorder="1" applyAlignment="1">
      <alignment vertical="center"/>
    </xf>
    <xf numFmtId="164" fontId="55" fillId="30" borderId="43" xfId="0" applyNumberFormat="1" applyFont="1" applyFill="1" applyBorder="1" applyAlignment="1">
      <alignment vertical="center"/>
    </xf>
    <xf numFmtId="10" fontId="55" fillId="31" borderId="38" xfId="44" applyNumberFormat="1" applyFont="1" applyFill="1" applyBorder="1" applyAlignment="1">
      <alignment vertical="center"/>
    </xf>
    <xf numFmtId="166" fontId="55" fillId="31" borderId="44" xfId="0" applyNumberFormat="1" applyFont="1" applyFill="1" applyBorder="1" applyAlignment="1">
      <alignment vertical="center"/>
    </xf>
    <xf numFmtId="164" fontId="55" fillId="31" borderId="38" xfId="0" applyNumberFormat="1" applyFont="1" applyFill="1" applyBorder="1" applyAlignment="1">
      <alignment vertical="center"/>
    </xf>
    <xf numFmtId="0" fontId="55" fillId="31" borderId="43" xfId="0" applyFont="1" applyFill="1" applyBorder="1" applyAlignment="1">
      <alignment vertical="center"/>
    </xf>
    <xf numFmtId="10" fontId="55" fillId="31" borderId="43" xfId="44" applyNumberFormat="1" applyFont="1" applyFill="1" applyBorder="1" applyAlignment="1">
      <alignment vertical="center"/>
    </xf>
    <xf numFmtId="166" fontId="55" fillId="31" borderId="35" xfId="0" applyNumberFormat="1" applyFont="1" applyFill="1" applyBorder="1" applyAlignment="1">
      <alignment vertical="center"/>
    </xf>
    <xf numFmtId="164" fontId="55" fillId="31" borderId="43" xfId="0" applyNumberFormat="1" applyFont="1" applyFill="1" applyBorder="1" applyAlignment="1">
      <alignment vertical="center"/>
    </xf>
    <xf numFmtId="0" fontId="55" fillId="30" borderId="35" xfId="0" applyFont="1" applyFill="1" applyBorder="1" applyAlignment="1">
      <alignment horizontal="right" vertical="center"/>
    </xf>
    <xf numFmtId="164" fontId="55" fillId="31" borderId="34" xfId="0" applyNumberFormat="1" applyFont="1" applyFill="1" applyBorder="1" applyAlignment="1">
      <alignment vertical="center"/>
    </xf>
    <xf numFmtId="164" fontId="55" fillId="30" borderId="51" xfId="0" applyNumberFormat="1" applyFont="1" applyFill="1" applyBorder="1" applyAlignment="1">
      <alignment vertical="center"/>
    </xf>
    <xf numFmtId="164" fontId="55" fillId="31" borderId="51" xfId="0" applyNumberFormat="1" applyFont="1" applyFill="1" applyBorder="1" applyAlignment="1">
      <alignment vertical="center"/>
    </xf>
    <xf numFmtId="0" fontId="58" fillId="0" borderId="0" xfId="0" applyFont="1" applyFill="1" applyBorder="1" applyAlignment="1">
      <alignment horizontal="right" vertical="center"/>
    </xf>
    <xf numFmtId="2" fontId="60" fillId="0" borderId="0" xfId="0" applyNumberFormat="1" applyFont="1" applyFill="1" applyBorder="1" applyAlignment="1">
      <alignment horizontal="right" vertical="center"/>
    </xf>
    <xf numFmtId="9" fontId="57" fillId="0" borderId="0" xfId="0" applyNumberFormat="1" applyFont="1" applyFill="1" applyBorder="1" applyAlignment="1">
      <alignment vertical="center"/>
    </xf>
    <xf numFmtId="9" fontId="57" fillId="0" borderId="0" xfId="0" applyNumberFormat="1" applyFont="1" applyFill="1" applyBorder="1" applyAlignment="1">
      <alignment horizontal="right" vertical="center"/>
    </xf>
    <xf numFmtId="0" fontId="60" fillId="0" borderId="0" xfId="0" applyFont="1" applyFill="1" applyBorder="1" applyAlignment="1">
      <alignment horizontal="right" vertical="center"/>
    </xf>
    <xf numFmtId="9" fontId="55" fillId="0" borderId="0" xfId="0" applyNumberFormat="1" applyFont="1" applyFill="1" applyBorder="1" applyAlignment="1">
      <alignment vertical="center"/>
    </xf>
    <xf numFmtId="0" fontId="56" fillId="23" borderId="0" xfId="0" applyFont="1" applyFill="1" applyBorder="1" applyAlignment="1">
      <alignment horizontal="left" vertical="center" wrapText="1"/>
    </xf>
    <xf numFmtId="0" fontId="52" fillId="23" borderId="0" xfId="0" quotePrefix="1" applyNumberFormat="1" applyFont="1" applyFill="1" applyBorder="1" applyAlignment="1">
      <alignment horizontal="right" vertical="center"/>
    </xf>
    <xf numFmtId="2" fontId="52" fillId="23" borderId="12" xfId="0" quotePrefix="1" applyNumberFormat="1" applyFont="1" applyFill="1" applyBorder="1" applyAlignment="1">
      <alignment horizontal="right" vertical="center"/>
    </xf>
    <xf numFmtId="0" fontId="48" fillId="0" borderId="12" xfId="0" applyFont="1" applyFill="1" applyBorder="1" applyAlignment="1">
      <alignment horizontal="center" vertical="center"/>
    </xf>
    <xf numFmtId="0" fontId="38" fillId="0" borderId="12" xfId="0" applyFont="1" applyFill="1" applyBorder="1" applyAlignment="1">
      <alignment horizontal="right" vertical="center"/>
    </xf>
    <xf numFmtId="2" fontId="52" fillId="0" borderId="12" xfId="0" applyNumberFormat="1" applyFont="1" applyFill="1" applyBorder="1" applyAlignment="1">
      <alignment horizontal="right" vertical="center"/>
    </xf>
    <xf numFmtId="0" fontId="62" fillId="0" borderId="12" xfId="0" applyFont="1" applyFill="1" applyBorder="1" applyAlignment="1">
      <alignment horizontal="center" vertical="center"/>
    </xf>
    <xf numFmtId="0" fontId="38" fillId="0" borderId="12" xfId="0" applyNumberFormat="1" applyFont="1" applyFill="1" applyBorder="1" applyAlignment="1">
      <alignment horizontal="right" vertical="center"/>
    </xf>
    <xf numFmtId="2" fontId="38" fillId="0" borderId="18" xfId="0" applyNumberFormat="1" applyFont="1" applyFill="1" applyBorder="1" applyAlignment="1">
      <alignment horizontal="right" vertical="center"/>
    </xf>
    <xf numFmtId="0" fontId="51" fillId="0" borderId="24" xfId="0" applyFont="1" applyFill="1" applyBorder="1" applyAlignment="1">
      <alignment vertical="center"/>
    </xf>
    <xf numFmtId="0" fontId="51" fillId="0" borderId="18" xfId="0" applyFont="1" applyFill="1" applyBorder="1" applyAlignment="1">
      <alignment vertical="center"/>
    </xf>
    <xf numFmtId="0" fontId="19" fillId="33" borderId="54" xfId="0" applyFont="1" applyFill="1" applyBorder="1" applyAlignment="1">
      <alignment vertical="center"/>
    </xf>
    <xf numFmtId="0" fontId="19" fillId="32" borderId="55" xfId="0" applyFont="1" applyFill="1" applyBorder="1" applyAlignment="1">
      <alignment vertical="center"/>
    </xf>
    <xf numFmtId="0" fontId="42" fillId="0" borderId="0" xfId="0" applyFont="1"/>
    <xf numFmtId="0" fontId="55" fillId="22" borderId="0" xfId="0" applyFont="1" applyFill="1" applyBorder="1" applyAlignment="1">
      <alignment vertical="center"/>
    </xf>
    <xf numFmtId="0" fontId="55" fillId="22" borderId="0" xfId="0" applyFont="1" applyFill="1" applyAlignment="1">
      <alignment vertical="center"/>
    </xf>
    <xf numFmtId="0" fontId="55" fillId="0" borderId="0" xfId="0" applyNumberFormat="1" applyFont="1" applyFill="1" applyBorder="1" applyAlignment="1">
      <alignment vertical="center"/>
    </xf>
    <xf numFmtId="168" fontId="55" fillId="0" borderId="0" xfId="0" applyNumberFormat="1" applyFont="1" applyFill="1" applyAlignment="1">
      <alignment horizontal="center" vertical="center"/>
    </xf>
    <xf numFmtId="1" fontId="55" fillId="0" borderId="0" xfId="0" applyNumberFormat="1" applyFont="1" applyFill="1" applyAlignment="1">
      <alignment horizontal="right" vertical="center"/>
    </xf>
    <xf numFmtId="0" fontId="42" fillId="0" borderId="0" xfId="0" applyFont="1"/>
    <xf numFmtId="171" fontId="42" fillId="0" borderId="0" xfId="0" applyNumberFormat="1" applyFont="1" applyFill="1" applyBorder="1" applyAlignment="1">
      <alignment vertical="center"/>
    </xf>
    <xf numFmtId="0" fontId="55" fillId="23" borderId="0" xfId="0" applyNumberFormat="1" applyFont="1" applyFill="1" applyBorder="1" applyAlignment="1">
      <alignment horizontal="left" vertical="center" wrapText="1"/>
    </xf>
    <xf numFmtId="0" fontId="55" fillId="23" borderId="19" xfId="0" applyNumberFormat="1" applyFont="1" applyFill="1" applyBorder="1" applyAlignment="1">
      <alignment horizontal="left" vertical="center" wrapText="1"/>
    </xf>
    <xf numFmtId="0" fontId="42" fillId="22" borderId="0" xfId="0" applyFont="1" applyFill="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5" fillId="0" borderId="13" xfId="0" applyFont="1" applyBorder="1"/>
    <xf numFmtId="0" fontId="42" fillId="0" borderId="12" xfId="0" applyNumberFormat="1" applyFont="1" applyFill="1" applyBorder="1" applyAlignment="1">
      <alignment vertical="center"/>
    </xf>
    <xf numFmtId="2" fontId="52" fillId="0" borderId="12" xfId="0" quotePrefix="1" applyNumberFormat="1" applyFont="1" applyFill="1" applyBorder="1" applyAlignment="1">
      <alignment horizontal="right" vertical="center"/>
    </xf>
    <xf numFmtId="0" fontId="49" fillId="0" borderId="0" xfId="0" applyFont="1" applyFill="1" applyBorder="1" applyAlignment="1">
      <alignment horizontal="right" vertical="center"/>
    </xf>
    <xf numFmtId="166" fontId="55" fillId="31" borderId="43" xfId="44" applyNumberFormat="1" applyFont="1" applyFill="1" applyBorder="1" applyAlignment="1">
      <alignment vertical="center"/>
    </xf>
    <xf numFmtId="166" fontId="55" fillId="30" borderId="43" xfId="44" applyNumberFormat="1" applyFont="1" applyFill="1" applyBorder="1" applyAlignment="1">
      <alignment vertical="center"/>
    </xf>
    <xf numFmtId="166" fontId="55" fillId="30" borderId="45" xfId="44" applyNumberFormat="1" applyFont="1" applyFill="1" applyBorder="1" applyAlignment="1">
      <alignment vertical="center"/>
    </xf>
    <xf numFmtId="10" fontId="55" fillId="0" borderId="0" xfId="44" applyNumberFormat="1" applyFont="1" applyFill="1" applyBorder="1" applyAlignment="1">
      <alignment vertical="center"/>
    </xf>
    <xf numFmtId="166" fontId="55" fillId="0" borderId="0" xfId="44" applyNumberFormat="1" applyFont="1" applyFill="1" applyBorder="1" applyAlignment="1">
      <alignment vertical="center"/>
    </xf>
    <xf numFmtId="0" fontId="65" fillId="35" borderId="58" xfId="0" applyFont="1" applyFill="1" applyBorder="1" applyAlignment="1">
      <alignment horizontal="center" vertical="center" wrapText="1"/>
    </xf>
    <xf numFmtId="0" fontId="65" fillId="35" borderId="59" xfId="0" applyFont="1" applyFill="1" applyBorder="1" applyAlignment="1">
      <alignment horizontal="center" vertical="center" wrapText="1"/>
    </xf>
    <xf numFmtId="171" fontId="55" fillId="0" borderId="0" xfId="0" applyNumberFormat="1" applyFont="1" applyFill="1" applyBorder="1" applyAlignment="1">
      <alignment horizontal="right" vertical="center"/>
    </xf>
    <xf numFmtId="0" fontId="55" fillId="0" borderId="0" xfId="0" applyFont="1" applyAlignment="1">
      <alignment horizontal="right" vertical="center"/>
    </xf>
    <xf numFmtId="0" fontId="55" fillId="0" borderId="0" xfId="0" applyFont="1" applyFill="1" applyBorder="1" applyAlignment="1">
      <alignment horizontal="right" vertical="center"/>
    </xf>
    <xf numFmtId="0" fontId="55" fillId="22" borderId="0" xfId="0" applyFont="1" applyFill="1" applyBorder="1" applyAlignment="1">
      <alignment vertical="center"/>
    </xf>
    <xf numFmtId="171" fontId="42" fillId="0" borderId="0" xfId="0" applyNumberFormat="1" applyFont="1" applyFill="1" applyBorder="1" applyAlignment="1">
      <alignment horizontal="right" vertical="center"/>
    </xf>
    <xf numFmtId="0" fontId="62" fillId="35" borderId="61" xfId="0" applyFont="1" applyFill="1" applyBorder="1" applyAlignment="1">
      <alignment horizontal="center" vertical="center"/>
    </xf>
    <xf numFmtId="0" fontId="62" fillId="35" borderId="61" xfId="0" applyFont="1" applyFill="1" applyBorder="1" applyAlignment="1">
      <alignment horizontal="center" vertical="center" wrapText="1"/>
    </xf>
    <xf numFmtId="0" fontId="62" fillId="35" borderId="62" xfId="0" applyFont="1" applyFill="1" applyBorder="1" applyAlignment="1">
      <alignment horizontal="center" vertical="center" wrapText="1"/>
    </xf>
    <xf numFmtId="0" fontId="55" fillId="0" borderId="0" xfId="0" applyFont="1" applyFill="1" applyBorder="1" applyAlignment="1">
      <alignment horizontal="right" vertical="center"/>
    </xf>
    <xf numFmtId="0" fontId="55" fillId="0" borderId="0" xfId="0" applyFont="1" applyBorder="1" applyAlignment="1">
      <alignment horizontal="left" vertical="center" wrapText="1"/>
    </xf>
    <xf numFmtId="0" fontId="55" fillId="0" borderId="0" xfId="0" applyFont="1" applyBorder="1" applyAlignment="1">
      <alignment horizontal="left" vertical="center"/>
    </xf>
    <xf numFmtId="0" fontId="55" fillId="0" borderId="31" xfId="0" applyFont="1" applyFill="1" applyBorder="1" applyAlignment="1">
      <alignment vertical="center"/>
    </xf>
    <xf numFmtId="0" fontId="65" fillId="35" borderId="62" xfId="0" applyFont="1" applyFill="1" applyBorder="1" applyAlignment="1">
      <alignment horizontal="center" vertical="center"/>
    </xf>
    <xf numFmtId="0" fontId="17" fillId="32" borderId="33" xfId="0" applyFont="1" applyFill="1" applyBorder="1" applyAlignment="1">
      <alignment horizontal="right" vertical="center"/>
    </xf>
    <xf numFmtId="0" fontId="65" fillId="35" borderId="61" xfId="0" applyFont="1" applyFill="1" applyBorder="1" applyAlignment="1">
      <alignment horizontal="center" vertical="center"/>
    </xf>
    <xf numFmtId="171" fontId="18" fillId="32" borderId="66" xfId="0" applyNumberFormat="1" applyFont="1" applyFill="1" applyBorder="1" applyAlignment="1">
      <alignment vertical="center"/>
    </xf>
    <xf numFmtId="171" fontId="18" fillId="33" borderId="34" xfId="0" applyNumberFormat="1" applyFont="1" applyFill="1" applyBorder="1" applyAlignment="1">
      <alignment vertical="center"/>
    </xf>
    <xf numFmtId="171" fontId="18" fillId="32" borderId="34" xfId="0" applyNumberFormat="1" applyFont="1" applyFill="1" applyBorder="1" applyAlignment="1">
      <alignment vertical="center"/>
    </xf>
    <xf numFmtId="0" fontId="65" fillId="37" borderId="61" xfId="0" applyFont="1" applyFill="1" applyBorder="1" applyAlignment="1">
      <alignment horizontal="center" vertical="center"/>
    </xf>
    <xf numFmtId="0" fontId="55" fillId="0" borderId="0" xfId="0" applyFont="1" applyBorder="1" applyAlignment="1">
      <alignment horizontal="center" vertical="center"/>
    </xf>
    <xf numFmtId="0" fontId="65" fillId="37" borderId="69" xfId="0" applyFont="1" applyFill="1" applyBorder="1" applyAlignment="1">
      <alignment horizontal="center" vertical="center"/>
    </xf>
    <xf numFmtId="0" fontId="65" fillId="37" borderId="70" xfId="0" applyFont="1" applyFill="1" applyBorder="1" applyAlignment="1">
      <alignment horizontal="center" vertical="center"/>
    </xf>
    <xf numFmtId="1" fontId="55" fillId="0" borderId="0" xfId="0" applyNumberFormat="1" applyFont="1" applyFill="1" applyAlignment="1">
      <alignment vertical="center"/>
    </xf>
    <xf numFmtId="0" fontId="56" fillId="0" borderId="0" xfId="0" applyFont="1" applyFill="1" applyAlignment="1">
      <alignment horizontal="center" vertical="center"/>
    </xf>
    <xf numFmtId="0" fontId="55" fillId="0" borderId="2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Alignment="1">
      <alignment horizontal="center" vertical="center"/>
    </xf>
    <xf numFmtId="0" fontId="67" fillId="0" borderId="0" xfId="0" applyFont="1" applyAlignment="1">
      <alignment horizontal="right" vertical="center"/>
    </xf>
    <xf numFmtId="0" fontId="16" fillId="32" borderId="38" xfId="0" applyFont="1" applyFill="1" applyBorder="1" applyAlignment="1">
      <alignment horizontal="right" vertical="center"/>
    </xf>
    <xf numFmtId="1" fontId="16" fillId="32" borderId="33" xfId="0" applyNumberFormat="1" applyFont="1" applyFill="1" applyBorder="1" applyAlignment="1">
      <alignment horizontal="right" vertical="center"/>
    </xf>
    <xf numFmtId="0" fontId="16" fillId="33" borderId="38" xfId="0" applyFont="1" applyFill="1" applyBorder="1" applyAlignment="1">
      <alignment vertical="center"/>
    </xf>
    <xf numFmtId="0" fontId="16" fillId="33" borderId="38" xfId="0" applyFont="1" applyFill="1" applyBorder="1" applyAlignment="1">
      <alignment horizontal="right" vertical="center"/>
    </xf>
    <xf numFmtId="1" fontId="16" fillId="33" borderId="33" xfId="0" applyNumberFormat="1" applyFont="1" applyFill="1" applyBorder="1" applyAlignment="1">
      <alignment horizontal="right" vertical="center"/>
    </xf>
    <xf numFmtId="0" fontId="16" fillId="32" borderId="45" xfId="0" applyFont="1" applyFill="1" applyBorder="1" applyAlignment="1">
      <alignment vertical="center"/>
    </xf>
    <xf numFmtId="1" fontId="16" fillId="32" borderId="45" xfId="0" applyNumberFormat="1" applyFont="1" applyFill="1" applyBorder="1" applyAlignment="1">
      <alignment horizontal="right" vertical="center"/>
    </xf>
    <xf numFmtId="1" fontId="16" fillId="32" borderId="0" xfId="0" applyNumberFormat="1" applyFont="1" applyFill="1" applyBorder="1" applyAlignment="1">
      <alignment horizontal="right" vertical="center"/>
    </xf>
    <xf numFmtId="10" fontId="55" fillId="0" borderId="10" xfId="0" applyNumberFormat="1" applyFont="1" applyBorder="1"/>
    <xf numFmtId="171" fontId="15" fillId="33" borderId="44" xfId="0" applyNumberFormat="1" applyFont="1" applyFill="1" applyBorder="1" applyAlignment="1">
      <alignment horizontal="right" vertical="center"/>
    </xf>
    <xf numFmtId="171" fontId="15" fillId="32" borderId="44" xfId="0" applyNumberFormat="1" applyFont="1" applyFill="1" applyBorder="1" applyAlignment="1">
      <alignment horizontal="right" vertical="center"/>
    </xf>
    <xf numFmtId="168" fontId="55" fillId="0" borderId="17" xfId="0" applyNumberFormat="1" applyFont="1" applyFill="1" applyBorder="1" applyAlignment="1">
      <alignment horizontal="center" vertical="center"/>
    </xf>
    <xf numFmtId="1" fontId="55" fillId="0" borderId="23" xfId="0" applyNumberFormat="1" applyFont="1" applyFill="1" applyBorder="1" applyAlignment="1">
      <alignment horizontal="right" vertical="center"/>
    </xf>
    <xf numFmtId="2" fontId="38" fillId="0" borderId="12" xfId="0" applyNumberFormat="1" applyFont="1" applyFill="1" applyBorder="1" applyAlignment="1">
      <alignment horizontal="right" vertical="center"/>
    </xf>
    <xf numFmtId="0" fontId="42" fillId="22" borderId="0" xfId="0" applyNumberFormat="1" applyFont="1" applyFill="1" applyBorder="1" applyAlignment="1">
      <alignment vertical="center"/>
    </xf>
    <xf numFmtId="0" fontId="20" fillId="0" borderId="10" xfId="0" applyFont="1" applyFill="1" applyBorder="1"/>
    <xf numFmtId="0" fontId="20" fillId="0" borderId="15" xfId="0" applyFont="1" applyFill="1" applyBorder="1"/>
    <xf numFmtId="0" fontId="68" fillId="0" borderId="21" xfId="0" applyFont="1" applyBorder="1" applyAlignment="1">
      <alignment horizontal="center"/>
    </xf>
    <xf numFmtId="0" fontId="68" fillId="0" borderId="20" xfId="0" applyFont="1" applyBorder="1" applyAlignment="1">
      <alignment horizontal="center"/>
    </xf>
    <xf numFmtId="0" fontId="20" fillId="0" borderId="12" xfId="0" applyFont="1" applyBorder="1"/>
    <xf numFmtId="0" fontId="20" fillId="0" borderId="14" xfId="0" applyFont="1" applyBorder="1"/>
    <xf numFmtId="0" fontId="20" fillId="0" borderId="10" xfId="0" applyFont="1" applyBorder="1"/>
    <xf numFmtId="0" fontId="20" fillId="0" borderId="15" xfId="0" applyFont="1" applyBorder="1"/>
    <xf numFmtId="0" fontId="20" fillId="0" borderId="11" xfId="0" applyFont="1" applyBorder="1"/>
    <xf numFmtId="0" fontId="20" fillId="0" borderId="0" xfId="0" quotePrefix="1" applyNumberFormat="1" applyFont="1" applyAlignment="1">
      <alignment horizontal="right"/>
    </xf>
    <xf numFmtId="0" fontId="20" fillId="0" borderId="0" xfId="0" quotePrefix="1" applyNumberFormat="1" applyFont="1" applyFill="1" applyBorder="1" applyAlignment="1">
      <alignment horizontal="right"/>
    </xf>
    <xf numFmtId="49" fontId="20" fillId="0" borderId="0" xfId="0" applyNumberFormat="1" applyFont="1" applyAlignment="1">
      <alignment horizontal="right"/>
    </xf>
    <xf numFmtId="0" fontId="68" fillId="0" borderId="20" xfId="0" applyFont="1" applyBorder="1" applyAlignment="1">
      <alignment horizontal="center" vertical="top"/>
    </xf>
    <xf numFmtId="0" fontId="55" fillId="23" borderId="0" xfId="0" applyFont="1" applyFill="1" applyBorder="1" applyAlignment="1">
      <alignment horizontal="left"/>
    </xf>
    <xf numFmtId="0" fontId="20" fillId="0" borderId="23" xfId="0" quotePrefix="1" applyNumberFormat="1" applyFont="1" applyFill="1" applyBorder="1" applyAlignment="1">
      <alignment horizontal="right"/>
    </xf>
    <xf numFmtId="0" fontId="51" fillId="0" borderId="13" xfId="0" applyFont="1" applyFill="1" applyBorder="1" applyAlignment="1">
      <alignment vertical="center"/>
    </xf>
    <xf numFmtId="167" fontId="51" fillId="0" borderId="41" xfId="0" applyNumberFormat="1" applyFont="1" applyFill="1" applyBorder="1" applyAlignment="1">
      <alignment vertical="center"/>
    </xf>
    <xf numFmtId="173" fontId="51" fillId="0" borderId="37" xfId="0" applyNumberFormat="1" applyFont="1" applyFill="1" applyBorder="1" applyAlignment="1">
      <alignment vertical="center"/>
    </xf>
    <xf numFmtId="174" fontId="42" fillId="0" borderId="0" xfId="0" applyNumberFormat="1" applyFont="1" applyFill="1" applyBorder="1" applyAlignment="1">
      <alignment horizontal="right" vertical="center"/>
    </xf>
    <xf numFmtId="0" fontId="20" fillId="23" borderId="0" xfId="0" applyFont="1" applyFill="1" applyBorder="1"/>
    <xf numFmtId="0" fontId="20" fillId="23" borderId="0" xfId="0" quotePrefix="1" applyNumberFormat="1" applyFont="1" applyFill="1" applyBorder="1" applyAlignment="1">
      <alignment horizontal="right"/>
    </xf>
    <xf numFmtId="0" fontId="51" fillId="0" borderId="38" xfId="0" applyFont="1" applyFill="1" applyBorder="1" applyAlignment="1">
      <alignment vertical="center"/>
    </xf>
    <xf numFmtId="0" fontId="62" fillId="0" borderId="0" xfId="0" applyFont="1" applyFill="1" applyBorder="1" applyAlignment="1">
      <alignment vertical="center"/>
    </xf>
    <xf numFmtId="0" fontId="62" fillId="0" borderId="62" xfId="0" applyFont="1" applyFill="1" applyBorder="1" applyAlignment="1">
      <alignment horizontal="center" vertical="center"/>
    </xf>
    <xf numFmtId="0" fontId="55" fillId="0" borderId="20" xfId="0" applyFont="1" applyBorder="1"/>
    <xf numFmtId="0" fontId="42" fillId="0" borderId="62" xfId="0" applyFont="1" applyBorder="1" applyAlignment="1">
      <alignment horizontal="center" vertical="center"/>
    </xf>
    <xf numFmtId="0" fontId="63" fillId="0" borderId="0" xfId="0" applyFont="1" applyFill="1" applyBorder="1" applyAlignment="1">
      <alignment vertical="center"/>
    </xf>
    <xf numFmtId="1" fontId="51" fillId="0" borderId="38" xfId="0" applyNumberFormat="1" applyFont="1" applyFill="1" applyBorder="1" applyAlignment="1">
      <alignment horizontal="right" vertical="center"/>
    </xf>
    <xf numFmtId="167" fontId="42" fillId="0" borderId="12" xfId="0" applyNumberFormat="1" applyFont="1" applyFill="1" applyBorder="1" applyAlignment="1">
      <alignment vertical="center"/>
    </xf>
    <xf numFmtId="0" fontId="55" fillId="0" borderId="0" xfId="0" applyFont="1" applyFill="1" applyBorder="1" applyAlignment="1">
      <alignment horizontal="right" vertical="center"/>
    </xf>
    <xf numFmtId="0" fontId="48" fillId="22" borderId="13" xfId="0" applyFont="1" applyFill="1" applyBorder="1" applyAlignment="1">
      <alignment vertical="top" wrapText="1"/>
    </xf>
    <xf numFmtId="0" fontId="48" fillId="22" borderId="0" xfId="0" applyFont="1" applyFill="1" applyBorder="1" applyAlignment="1">
      <alignment vertical="top" wrapText="1"/>
    </xf>
    <xf numFmtId="0" fontId="48" fillId="22" borderId="12" xfId="0" applyFont="1" applyFill="1" applyBorder="1" applyAlignment="1">
      <alignment vertical="top" wrapText="1"/>
    </xf>
    <xf numFmtId="0" fontId="69" fillId="0" borderId="0" xfId="0" applyFont="1" applyFill="1" applyBorder="1" applyAlignment="1">
      <alignment vertical="center"/>
    </xf>
    <xf numFmtId="1" fontId="69" fillId="0" borderId="0" xfId="0" applyNumberFormat="1" applyFont="1" applyFill="1" applyBorder="1" applyAlignment="1">
      <alignment vertical="center"/>
    </xf>
    <xf numFmtId="49" fontId="55" fillId="0" borderId="10" xfId="0" applyNumberFormat="1" applyFont="1" applyBorder="1" applyAlignment="1">
      <alignment horizontal="right"/>
    </xf>
    <xf numFmtId="0" fontId="55" fillId="0" borderId="0" xfId="0" applyFont="1" applyFill="1" applyBorder="1" applyAlignment="1">
      <alignment horizontal="left" vertical="center"/>
    </xf>
    <xf numFmtId="0" fontId="55" fillId="0" borderId="0" xfId="0" applyFont="1" applyFill="1" applyBorder="1" applyAlignment="1">
      <alignment horizontal="right" vertical="center"/>
    </xf>
    <xf numFmtId="0" fontId="50" fillId="0" borderId="0" xfId="0" applyFont="1" applyFill="1" applyBorder="1" applyAlignment="1">
      <alignment horizontal="right" vertical="center"/>
    </xf>
    <xf numFmtId="2" fontId="55" fillId="31" borderId="43" xfId="0" applyNumberFormat="1" applyFont="1" applyFill="1" applyBorder="1" applyAlignment="1">
      <alignment vertical="center"/>
    </xf>
    <xf numFmtId="2" fontId="55" fillId="31" borderId="51" xfId="0" applyNumberFormat="1" applyFont="1" applyFill="1" applyBorder="1" applyAlignment="1">
      <alignment vertical="center"/>
    </xf>
    <xf numFmtId="2" fontId="55" fillId="30" borderId="43" xfId="0" applyNumberFormat="1" applyFont="1" applyFill="1" applyBorder="1" applyAlignment="1">
      <alignment vertical="center"/>
    </xf>
    <xf numFmtId="2" fontId="55" fillId="30" borderId="51" xfId="0" applyNumberFormat="1" applyFont="1" applyFill="1" applyBorder="1" applyAlignment="1">
      <alignment vertical="center"/>
    </xf>
    <xf numFmtId="2" fontId="55" fillId="30" borderId="45" xfId="0" applyNumberFormat="1" applyFont="1" applyFill="1" applyBorder="1" applyAlignment="1">
      <alignment vertical="center"/>
    </xf>
    <xf numFmtId="2" fontId="55" fillId="30" borderId="12" xfId="0" applyNumberFormat="1" applyFont="1" applyFill="1" applyBorder="1" applyAlignment="1">
      <alignment vertical="center"/>
    </xf>
    <xf numFmtId="2" fontId="55" fillId="31" borderId="0" xfId="0" applyNumberFormat="1" applyFont="1" applyFill="1" applyBorder="1" applyAlignment="1">
      <alignment horizontal="right"/>
    </xf>
    <xf numFmtId="2" fontId="55" fillId="31" borderId="48" xfId="0" applyNumberFormat="1" applyFont="1" applyFill="1" applyBorder="1" applyAlignment="1">
      <alignment horizontal="right"/>
    </xf>
    <xf numFmtId="2" fontId="55" fillId="31" borderId="47" xfId="0" applyNumberFormat="1" applyFont="1" applyFill="1" applyBorder="1" applyAlignment="1">
      <alignment horizontal="right"/>
    </xf>
    <xf numFmtId="2" fontId="55" fillId="31" borderId="50" xfId="0" applyNumberFormat="1" applyFont="1" applyFill="1" applyBorder="1" applyAlignment="1">
      <alignment horizontal="right"/>
    </xf>
    <xf numFmtId="0" fontId="51" fillId="36" borderId="67" xfId="0" applyFont="1" applyFill="1" applyBorder="1" applyAlignment="1">
      <alignment vertical="center"/>
    </xf>
    <xf numFmtId="0" fontId="50" fillId="36" borderId="71" xfId="0" applyFont="1" applyFill="1" applyBorder="1" applyAlignment="1">
      <alignment horizontal="right" vertical="center"/>
    </xf>
    <xf numFmtId="0" fontId="38" fillId="0" borderId="10" xfId="0" applyFont="1" applyFill="1" applyBorder="1" applyAlignment="1">
      <alignment horizontal="right" vertical="center"/>
    </xf>
    <xf numFmtId="0" fontId="55" fillId="22" borderId="0" xfId="0" applyFont="1" applyFill="1" applyAlignment="1">
      <alignment vertical="center"/>
    </xf>
    <xf numFmtId="0" fontId="69" fillId="0" borderId="0" xfId="0" applyFont="1" applyFill="1" applyAlignment="1">
      <alignment horizontal="right" vertical="center"/>
    </xf>
    <xf numFmtId="0" fontId="69" fillId="0" borderId="0" xfId="0" quotePrefix="1" applyNumberFormat="1" applyFont="1" applyFill="1" applyBorder="1" applyAlignment="1">
      <alignment vertical="center"/>
    </xf>
    <xf numFmtId="1" fontId="42" fillId="0" borderId="0" xfId="0" quotePrefix="1" applyNumberFormat="1" applyFont="1" applyFill="1" applyBorder="1" applyAlignment="1">
      <alignment horizontal="right" vertical="center"/>
    </xf>
    <xf numFmtId="167" fontId="42" fillId="0" borderId="0" xfId="0" applyNumberFormat="1" applyFont="1" applyFill="1" applyBorder="1" applyAlignment="1">
      <alignment horizontal="right" vertical="center" wrapText="1"/>
    </xf>
    <xf numFmtId="0" fontId="69" fillId="0" borderId="0" xfId="0" applyNumberFormat="1" applyFont="1" applyFill="1" applyAlignment="1">
      <alignment horizontal="right" vertical="center"/>
    </xf>
    <xf numFmtId="0" fontId="69" fillId="0" borderId="0" xfId="0" applyFont="1" applyFill="1" applyBorder="1" applyAlignment="1">
      <alignment horizontal="right" vertical="center"/>
    </xf>
    <xf numFmtId="167" fontId="69" fillId="0" borderId="0" xfId="0" applyNumberFormat="1" applyFont="1" applyFill="1" applyAlignment="1">
      <alignment horizontal="right" vertical="center"/>
    </xf>
    <xf numFmtId="0" fontId="70" fillId="0" borderId="0" xfId="0" applyFont="1" applyFill="1" applyBorder="1" applyAlignment="1">
      <alignment horizontal="center" vertical="center"/>
    </xf>
    <xf numFmtId="2" fontId="55" fillId="0" borderId="0" xfId="0" applyNumberFormat="1" applyFont="1"/>
    <xf numFmtId="10" fontId="55" fillId="0" borderId="12" xfId="0" applyNumberFormat="1" applyFont="1" applyBorder="1"/>
    <xf numFmtId="9" fontId="55" fillId="0" borderId="12" xfId="44" applyFont="1" applyBorder="1"/>
    <xf numFmtId="9" fontId="55" fillId="0" borderId="15" xfId="44" applyFont="1" applyBorder="1"/>
    <xf numFmtId="0" fontId="56" fillId="0" borderId="20" xfId="0" applyFont="1" applyBorder="1" applyAlignment="1">
      <alignment horizontal="left"/>
    </xf>
    <xf numFmtId="0" fontId="65" fillId="35" borderId="69" xfId="0" applyFont="1" applyFill="1" applyBorder="1" applyAlignment="1">
      <alignment horizontal="center" vertical="center" wrapText="1"/>
    </xf>
    <xf numFmtId="0" fontId="65" fillId="35" borderId="61" xfId="0" applyFont="1" applyFill="1" applyBorder="1" applyAlignment="1">
      <alignment horizontal="center" vertical="center" wrapText="1"/>
    </xf>
    <xf numFmtId="0" fontId="65" fillId="35" borderId="62" xfId="0" applyFont="1" applyFill="1" applyBorder="1" applyAlignment="1">
      <alignment horizontal="center" vertical="center" wrapText="1"/>
    </xf>
    <xf numFmtId="0" fontId="56" fillId="0" borderId="62" xfId="0" applyFont="1" applyFill="1" applyBorder="1" applyAlignment="1">
      <alignment horizontal="center" vertical="center"/>
    </xf>
    <xf numFmtId="167" fontId="55" fillId="0" borderId="77" xfId="0" applyNumberFormat="1" applyFont="1" applyFill="1" applyBorder="1" applyAlignment="1">
      <alignment horizontal="right" vertical="center"/>
    </xf>
    <xf numFmtId="0" fontId="55" fillId="0" borderId="78" xfId="0" applyFont="1" applyFill="1" applyBorder="1" applyAlignment="1">
      <alignment horizontal="right" vertical="center"/>
    </xf>
    <xf numFmtId="0" fontId="55" fillId="0" borderId="13" xfId="0" applyFont="1" applyFill="1" applyBorder="1" applyAlignment="1">
      <alignment vertical="center"/>
    </xf>
    <xf numFmtId="0" fontId="56" fillId="0" borderId="63" xfId="0" applyFont="1" applyFill="1" applyBorder="1" applyAlignment="1">
      <alignment horizontal="center" vertical="center"/>
    </xf>
    <xf numFmtId="0" fontId="55" fillId="30" borderId="36" xfId="0" applyFont="1" applyFill="1" applyBorder="1" applyAlignment="1">
      <alignment vertical="center"/>
    </xf>
    <xf numFmtId="0" fontId="55" fillId="31" borderId="79" xfId="0" applyFont="1" applyFill="1" applyBorder="1" applyAlignment="1">
      <alignment vertical="center"/>
    </xf>
    <xf numFmtId="1" fontId="65" fillId="26" borderId="83" xfId="0" applyNumberFormat="1" applyFont="1" applyFill="1" applyBorder="1" applyAlignment="1">
      <alignment horizontal="center"/>
    </xf>
    <xf numFmtId="0" fontId="65" fillId="26" borderId="59" xfId="0" applyFont="1" applyFill="1" applyBorder="1" applyAlignment="1">
      <alignment horizontal="center"/>
    </xf>
    <xf numFmtId="0" fontId="65" fillId="26" borderId="70" xfId="0" applyFont="1" applyFill="1" applyBorder="1" applyAlignment="1">
      <alignment horizontal="center" vertical="center"/>
    </xf>
    <xf numFmtId="0" fontId="55" fillId="31" borderId="84" xfId="0" applyNumberFormat="1" applyFont="1" applyFill="1" applyBorder="1" applyAlignment="1">
      <alignment vertical="center"/>
    </xf>
    <xf numFmtId="167" fontId="42" fillId="0" borderId="12" xfId="0" applyNumberFormat="1" applyFont="1" applyFill="1" applyBorder="1" applyAlignment="1">
      <alignment horizontal="right" vertical="center"/>
    </xf>
    <xf numFmtId="0" fontId="51" fillId="0" borderId="72" xfId="0" applyFont="1" applyFill="1" applyBorder="1" applyAlignment="1">
      <alignment vertical="center"/>
    </xf>
    <xf numFmtId="0" fontId="55" fillId="0" borderId="86" xfId="0" applyFont="1" applyBorder="1"/>
    <xf numFmtId="0" fontId="55" fillId="0" borderId="87" xfId="0" applyFont="1" applyBorder="1" applyAlignment="1">
      <alignment horizontal="right"/>
    </xf>
    <xf numFmtId="175" fontId="55" fillId="0" borderId="10" xfId="44" applyNumberFormat="1" applyFont="1" applyBorder="1"/>
    <xf numFmtId="0" fontId="55" fillId="23" borderId="88" xfId="0" applyFont="1" applyFill="1" applyBorder="1"/>
    <xf numFmtId="0" fontId="56" fillId="0" borderId="11" xfId="0" applyFont="1" applyBorder="1"/>
    <xf numFmtId="0" fontId="55" fillId="23" borderId="89" xfId="0" applyFont="1" applyFill="1" applyBorder="1"/>
    <xf numFmtId="0" fontId="55" fillId="23" borderId="52" xfId="0" applyFont="1" applyFill="1" applyBorder="1"/>
    <xf numFmtId="0" fontId="55" fillId="23" borderId="90" xfId="0" applyFont="1" applyFill="1" applyBorder="1"/>
    <xf numFmtId="0" fontId="56" fillId="0" borderId="91" xfId="0" applyFont="1" applyBorder="1"/>
    <xf numFmtId="0" fontId="55" fillId="23" borderId="92" xfId="0" applyFont="1" applyFill="1" applyBorder="1"/>
    <xf numFmtId="0" fontId="42" fillId="0" borderId="93" xfId="0" applyFont="1" applyBorder="1" applyAlignment="1">
      <alignment vertical="center"/>
    </xf>
    <xf numFmtId="2" fontId="69" fillId="0" borderId="0" xfId="0" quotePrefix="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Border="1" applyAlignment="1">
      <alignment horizontal="center" vertical="center"/>
    </xf>
    <xf numFmtId="176" fontId="42" fillId="0" borderId="0" xfId="0" applyNumberFormat="1" applyFont="1" applyFill="1" applyBorder="1" applyAlignment="1">
      <alignment horizontal="right" vertical="center"/>
    </xf>
    <xf numFmtId="10" fontId="49" fillId="0" borderId="0" xfId="44" applyNumberFormat="1" applyFont="1" applyFill="1" applyBorder="1" applyAlignment="1">
      <alignment vertical="center"/>
    </xf>
    <xf numFmtId="0" fontId="55" fillId="0" borderId="19" xfId="0" applyFont="1" applyBorder="1"/>
    <xf numFmtId="0" fontId="42" fillId="0" borderId="12" xfId="0" applyNumberFormat="1" applyFont="1" applyBorder="1" applyAlignment="1">
      <alignment vertical="center"/>
    </xf>
    <xf numFmtId="1" fontId="69" fillId="0" borderId="0" xfId="0" quotePrefix="1" applyNumberFormat="1" applyFont="1" applyFill="1" applyBorder="1" applyAlignment="1">
      <alignment horizontal="right" vertical="center"/>
    </xf>
    <xf numFmtId="0" fontId="56" fillId="0" borderId="14" xfId="0" applyFont="1" applyBorder="1"/>
    <xf numFmtId="0" fontId="51" fillId="0" borderId="96" xfId="0" applyFont="1" applyFill="1" applyBorder="1" applyAlignment="1">
      <alignment vertical="center"/>
    </xf>
    <xf numFmtId="0" fontId="56" fillId="22" borderId="0" xfId="0" applyFont="1" applyFill="1" applyBorder="1" applyAlignment="1">
      <alignment horizontal="left"/>
    </xf>
    <xf numFmtId="0" fontId="55" fillId="23" borderId="18" xfId="0" applyFont="1" applyFill="1" applyBorder="1" applyAlignment="1">
      <alignment vertical="center"/>
    </xf>
    <xf numFmtId="0" fontId="20" fillId="23" borderId="18" xfId="0" applyFont="1" applyFill="1" applyBorder="1"/>
    <xf numFmtId="0" fontId="55" fillId="0" borderId="18" xfId="0" applyFont="1" applyBorder="1"/>
    <xf numFmtId="0" fontId="0" fillId="0" borderId="0" xfId="0"/>
    <xf numFmtId="0" fontId="0" fillId="0" borderId="12" xfId="0" applyBorder="1"/>
    <xf numFmtId="0" fontId="42" fillId="0" borderId="0" xfId="0" applyFont="1"/>
    <xf numFmtId="0" fontId="42" fillId="0" borderId="12" xfId="0" applyFont="1" applyFill="1" applyBorder="1" applyAlignment="1">
      <alignment vertical="center"/>
    </xf>
    <xf numFmtId="1" fontId="51" fillId="0" borderId="12" xfId="0" applyNumberFormat="1" applyFont="1" applyFill="1" applyBorder="1" applyAlignment="1">
      <alignment horizontal="right" vertical="center"/>
    </xf>
    <xf numFmtId="1" fontId="51" fillId="0" borderId="12" xfId="0" applyNumberFormat="1" applyFont="1" applyFill="1" applyBorder="1" applyAlignment="1">
      <alignment vertical="center"/>
    </xf>
    <xf numFmtId="0" fontId="51" fillId="0" borderId="33" xfId="0" applyFont="1" applyFill="1" applyBorder="1" applyAlignment="1">
      <alignment horizontal="left" vertical="center"/>
    </xf>
    <xf numFmtId="0" fontId="51" fillId="0" borderId="12" xfId="0" applyFont="1" applyFill="1" applyBorder="1" applyAlignment="1">
      <alignment vertical="center"/>
    </xf>
    <xf numFmtId="0" fontId="51" fillId="0" borderId="12" xfId="0" applyNumberFormat="1" applyFont="1" applyFill="1" applyBorder="1" applyAlignment="1">
      <alignment vertical="center"/>
    </xf>
    <xf numFmtId="0" fontId="42" fillId="0" borderId="12" xfId="0" applyFont="1" applyBorder="1" applyAlignment="1">
      <alignment horizontal="center" vertical="center"/>
    </xf>
    <xf numFmtId="1" fontId="42" fillId="0" borderId="0" xfId="0" applyNumberFormat="1" applyFont="1" applyBorder="1" applyAlignment="1">
      <alignment horizontal="right" vertical="center"/>
    </xf>
    <xf numFmtId="0" fontId="65" fillId="0" borderId="61" xfId="0" applyFont="1" applyFill="1" applyBorder="1" applyAlignment="1">
      <alignment horizontal="center" vertical="center"/>
    </xf>
    <xf numFmtId="0" fontId="65" fillId="0" borderId="95" xfId="0" applyFont="1" applyFill="1" applyBorder="1" applyAlignment="1">
      <alignment horizontal="center" vertical="center"/>
    </xf>
    <xf numFmtId="0" fontId="42" fillId="0" borderId="0" xfId="0" applyFont="1" applyAlignment="1">
      <alignment horizontal="right" vertical="center"/>
    </xf>
    <xf numFmtId="0" fontId="65" fillId="0" borderId="0" xfId="0" applyFont="1" applyFill="1" applyBorder="1" applyAlignment="1">
      <alignment horizontal="left" vertical="center"/>
    </xf>
    <xf numFmtId="0" fontId="55" fillId="0" borderId="93" xfId="0" applyFont="1" applyBorder="1" applyAlignment="1">
      <alignment vertical="center"/>
    </xf>
    <xf numFmtId="0" fontId="0" fillId="0" borderId="0" xfId="0"/>
    <xf numFmtId="0" fontId="0" fillId="0" borderId="12" xfId="0" applyBorder="1"/>
    <xf numFmtId="0" fontId="56" fillId="22" borderId="0"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8" xfId="0" applyFont="1" applyBorder="1" applyAlignment="1">
      <alignment vertical="center"/>
    </xf>
    <xf numFmtId="0" fontId="13" fillId="38" borderId="38" xfId="0" applyFont="1" applyFill="1" applyBorder="1" applyAlignment="1">
      <alignment horizontal="right" vertical="center"/>
    </xf>
    <xf numFmtId="0" fontId="60" fillId="36" borderId="97" xfId="0" applyFont="1" applyFill="1" applyBorder="1" applyAlignment="1">
      <alignment horizontal="right" vertical="center"/>
    </xf>
    <xf numFmtId="0" fontId="60" fillId="0" borderId="0" xfId="0" applyFont="1" applyBorder="1" applyAlignment="1">
      <alignment horizontal="right" vertical="center"/>
    </xf>
    <xf numFmtId="0" fontId="56" fillId="22" borderId="0" xfId="0" applyFont="1" applyFill="1" applyBorder="1" applyAlignment="1">
      <alignment vertical="center" wrapText="1"/>
    </xf>
    <xf numFmtId="1" fontId="55" fillId="0" borderId="0" xfId="0" applyNumberFormat="1" applyFont="1" applyBorder="1" applyAlignment="1">
      <alignment vertical="center"/>
    </xf>
    <xf numFmtId="0" fontId="55" fillId="23" borderId="23" xfId="0" applyFont="1" applyFill="1" applyBorder="1" applyAlignment="1">
      <alignment horizontal="left" vertical="center" wrapText="1"/>
    </xf>
    <xf numFmtId="0" fontId="65" fillId="37" borderId="62" xfId="0" applyFont="1" applyFill="1" applyBorder="1" applyAlignment="1">
      <alignment horizontal="center" vertical="center"/>
    </xf>
    <xf numFmtId="0" fontId="13" fillId="38" borderId="44" xfId="0" applyFont="1" applyFill="1" applyBorder="1" applyAlignment="1">
      <alignment horizontal="right" vertical="center"/>
    </xf>
    <xf numFmtId="0" fontId="13" fillId="38" borderId="33" xfId="0" applyFont="1" applyFill="1" applyBorder="1" applyAlignment="1">
      <alignment horizontal="right" vertical="center"/>
    </xf>
    <xf numFmtId="0" fontId="13" fillId="38" borderId="37" xfId="0" applyFont="1" applyFill="1" applyBorder="1" applyAlignment="1">
      <alignment horizontal="right" vertical="center"/>
    </xf>
    <xf numFmtId="0" fontId="13" fillId="34" borderId="44" xfId="0" applyFont="1" applyFill="1" applyBorder="1" applyAlignment="1">
      <alignment horizontal="right" vertical="center"/>
    </xf>
    <xf numFmtId="0" fontId="13" fillId="34" borderId="33" xfId="0" applyFont="1" applyFill="1" applyBorder="1" applyAlignment="1">
      <alignment horizontal="right" vertical="center"/>
    </xf>
    <xf numFmtId="0" fontId="13" fillId="34" borderId="37" xfId="0" applyFont="1" applyFill="1" applyBorder="1" applyAlignment="1">
      <alignment horizontal="right" vertical="center"/>
    </xf>
    <xf numFmtId="0" fontId="13" fillId="38" borderId="47" xfId="0" applyFont="1" applyFill="1" applyBorder="1" applyAlignment="1">
      <alignment horizontal="right" vertical="center"/>
    </xf>
    <xf numFmtId="0" fontId="13" fillId="38" borderId="0" xfId="0" applyFont="1" applyFill="1" applyAlignment="1">
      <alignment horizontal="right" vertical="center"/>
    </xf>
    <xf numFmtId="0" fontId="13" fillId="38" borderId="48" xfId="0" applyFont="1" applyFill="1" applyBorder="1" applyAlignment="1">
      <alignment horizontal="right" vertical="center"/>
    </xf>
    <xf numFmtId="0" fontId="12" fillId="32" borderId="38" xfId="0" applyFont="1" applyFill="1" applyBorder="1" applyAlignment="1">
      <alignment vertical="center"/>
    </xf>
    <xf numFmtId="1" fontId="55" fillId="0" borderId="0" xfId="0" applyNumberFormat="1" applyFont="1" applyFill="1" applyBorder="1" applyAlignment="1">
      <alignment horizontal="center" vertical="center"/>
    </xf>
    <xf numFmtId="0" fontId="67" fillId="0" borderId="23" xfId="0" applyFont="1" applyBorder="1" applyAlignment="1">
      <alignment horizontal="right" vertical="center"/>
    </xf>
    <xf numFmtId="0" fontId="55" fillId="0" borderId="0" xfId="0" applyFont="1" applyFill="1" applyBorder="1" applyAlignment="1">
      <alignment horizontal="center" vertical="center" wrapText="1"/>
    </xf>
    <xf numFmtId="0" fontId="58" fillId="0" borderId="0" xfId="0" applyFont="1" applyFill="1" applyBorder="1" applyAlignment="1">
      <alignment horizontal="right" vertical="center" wrapText="1"/>
    </xf>
    <xf numFmtId="1" fontId="72" fillId="0" borderId="0" xfId="0" applyNumberFormat="1" applyFont="1" applyFill="1" applyBorder="1" applyAlignment="1">
      <alignment vertical="center"/>
    </xf>
    <xf numFmtId="0" fontId="72" fillId="0" borderId="0" xfId="0" applyFont="1" applyFill="1" applyBorder="1" applyAlignment="1">
      <alignment vertical="center"/>
    </xf>
    <xf numFmtId="0" fontId="72" fillId="0" borderId="0" xfId="0" applyFont="1" applyFill="1" applyAlignment="1">
      <alignment vertical="center"/>
    </xf>
    <xf numFmtId="0" fontId="65" fillId="27" borderId="0" xfId="0" applyFont="1" applyFill="1" applyBorder="1" applyAlignment="1">
      <alignment vertical="center"/>
    </xf>
    <xf numFmtId="0" fontId="55" fillId="0" borderId="0" xfId="0" applyFont="1" applyFill="1" applyBorder="1" applyAlignment="1">
      <alignment horizontal="left" vertical="center"/>
    </xf>
    <xf numFmtId="1" fontId="55" fillId="0" borderId="62" xfId="0" applyNumberFormat="1" applyFont="1" applyFill="1" applyBorder="1" applyAlignment="1">
      <alignment horizontal="right" vertical="center"/>
    </xf>
    <xf numFmtId="171" fontId="55" fillId="0" borderId="62" xfId="0" applyNumberFormat="1" applyFont="1" applyFill="1" applyBorder="1" applyAlignment="1">
      <alignment horizontal="right" vertical="center"/>
    </xf>
    <xf numFmtId="171" fontId="18" fillId="33" borderId="59" xfId="0" applyNumberFormat="1" applyFont="1" applyFill="1" applyBorder="1" applyAlignment="1">
      <alignment vertical="center"/>
    </xf>
    <xf numFmtId="1" fontId="47" fillId="27" borderId="0" xfId="0" applyNumberFormat="1" applyFont="1" applyFill="1" applyBorder="1" applyAlignment="1">
      <alignment horizontal="right" vertical="center"/>
    </xf>
    <xf numFmtId="167" fontId="47" fillId="27" borderId="0" xfId="0" applyNumberFormat="1" applyFont="1" applyFill="1" applyBorder="1" applyAlignment="1">
      <alignment vertical="center"/>
    </xf>
    <xf numFmtId="0" fontId="65" fillId="27" borderId="0" xfId="0" applyFont="1" applyFill="1" applyBorder="1" applyAlignment="1">
      <alignment horizontal="left" vertical="center" wrapText="1"/>
    </xf>
    <xf numFmtId="171" fontId="47" fillId="27" borderId="0" xfId="0" applyNumberFormat="1" applyFont="1" applyFill="1" applyBorder="1" applyAlignment="1">
      <alignment horizontal="right" vertical="center"/>
    </xf>
    <xf numFmtId="0" fontId="65" fillId="40" borderId="38" xfId="0" applyFont="1" applyFill="1" applyBorder="1" applyAlignment="1">
      <alignment vertical="center"/>
    </xf>
    <xf numFmtId="171" fontId="47" fillId="40" borderId="38" xfId="0" applyNumberFormat="1" applyFont="1" applyFill="1" applyBorder="1" applyAlignment="1">
      <alignment vertical="center"/>
    </xf>
    <xf numFmtId="171" fontId="47" fillId="40" borderId="34" xfId="0" applyNumberFormat="1" applyFont="1" applyFill="1" applyBorder="1" applyAlignment="1">
      <alignment vertical="center"/>
    </xf>
    <xf numFmtId="0" fontId="65" fillId="41" borderId="43" xfId="0" applyFont="1" applyFill="1" applyBorder="1" applyAlignment="1">
      <alignment horizontal="left" vertical="center" wrapText="1"/>
    </xf>
    <xf numFmtId="171" fontId="47" fillId="41" borderId="60" xfId="0" applyNumberFormat="1" applyFont="1" applyFill="1" applyBorder="1" applyAlignment="1">
      <alignment horizontal="right" vertical="center"/>
    </xf>
    <xf numFmtId="171" fontId="47" fillId="41" borderId="85" xfId="0" applyNumberFormat="1" applyFont="1" applyFill="1" applyBorder="1" applyAlignment="1">
      <alignment horizontal="right" vertical="center"/>
    </xf>
    <xf numFmtId="0" fontId="42" fillId="0" borderId="0" xfId="0" applyNumberFormat="1" applyFont="1" applyFill="1" applyBorder="1" applyAlignment="1">
      <alignment horizontal="center" vertical="center"/>
    </xf>
    <xf numFmtId="0" fontId="50" fillId="0" borderId="0" xfId="0" quotePrefix="1" applyNumberFormat="1" applyFont="1" applyFill="1" applyBorder="1" applyAlignment="1">
      <alignment horizontal="right" vertical="center"/>
    </xf>
    <xf numFmtId="0" fontId="49" fillId="0" borderId="0" xfId="0" quotePrefix="1" applyNumberFormat="1" applyFont="1" applyFill="1" applyBorder="1" applyAlignment="1">
      <alignment horizontal="right" vertical="center"/>
    </xf>
    <xf numFmtId="1" fontId="42" fillId="0" borderId="0" xfId="0" applyNumberFormat="1" applyFont="1" applyAlignment="1">
      <alignment horizontal="right" vertical="center"/>
    </xf>
    <xf numFmtId="9" fontId="42" fillId="0" borderId="0" xfId="44" applyFont="1" applyBorder="1" applyAlignment="1">
      <alignment horizontal="right" vertical="center"/>
    </xf>
    <xf numFmtId="0" fontId="42" fillId="0" borderId="0" xfId="0" applyFont="1" applyAlignment="1">
      <alignment horizontal="left" vertical="center"/>
    </xf>
    <xf numFmtId="9" fontId="42" fillId="0" borderId="0" xfId="44" applyFont="1" applyFill="1" applyBorder="1" applyAlignment="1">
      <alignment horizontal="right" vertical="center"/>
    </xf>
    <xf numFmtId="0" fontId="38" fillId="0" borderId="98" xfId="0" applyFont="1" applyFill="1" applyBorder="1" applyAlignment="1">
      <alignment horizontal="right" vertical="center"/>
    </xf>
    <xf numFmtId="0" fontId="42" fillId="0" borderId="0" xfId="0" applyFont="1" applyFill="1" applyBorder="1" applyAlignment="1">
      <alignment horizontal="center" vertical="center" wrapText="1"/>
    </xf>
    <xf numFmtId="0" fontId="42" fillId="0" borderId="17" xfId="0" applyFont="1" applyBorder="1" applyAlignment="1">
      <alignment vertical="center"/>
    </xf>
    <xf numFmtId="0" fontId="42" fillId="0" borderId="23" xfId="0" applyFont="1" applyBorder="1" applyAlignment="1">
      <alignment vertical="center"/>
    </xf>
    <xf numFmtId="0" fontId="55" fillId="0" borderId="94" xfId="0" applyFont="1" applyBorder="1"/>
    <xf numFmtId="0" fontId="55" fillId="23" borderId="99" xfId="0" applyFont="1" applyFill="1" applyBorder="1"/>
    <xf numFmtId="0" fontId="55" fillId="23" borderId="100" xfId="0" applyFont="1" applyFill="1" applyBorder="1"/>
    <xf numFmtId="0" fontId="51" fillId="0" borderId="101" xfId="0" applyFont="1" applyFill="1" applyBorder="1" applyAlignment="1">
      <alignment vertical="center"/>
    </xf>
    <xf numFmtId="0" fontId="38" fillId="0" borderId="102" xfId="0" applyFont="1" applyFill="1" applyBorder="1" applyAlignment="1">
      <alignment horizontal="right" vertical="center"/>
    </xf>
    <xf numFmtId="0" fontId="38" fillId="0" borderId="68" xfId="0" applyFont="1" applyFill="1" applyBorder="1" applyAlignment="1">
      <alignment horizontal="right" vertical="center"/>
    </xf>
    <xf numFmtId="0" fontId="51" fillId="0" borderId="104" xfId="0" applyFont="1" applyFill="1" applyBorder="1" applyAlignment="1">
      <alignment vertical="center"/>
    </xf>
    <xf numFmtId="0" fontId="51" fillId="0" borderId="105" xfId="0" applyFont="1" applyFill="1" applyBorder="1" applyAlignment="1">
      <alignment vertical="center"/>
    </xf>
    <xf numFmtId="167" fontId="51" fillId="0" borderId="0" xfId="0" applyNumberFormat="1" applyFont="1" applyFill="1" applyBorder="1" applyAlignment="1">
      <alignment vertical="center"/>
    </xf>
    <xf numFmtId="173" fontId="51" fillId="0" borderId="0" xfId="0" applyNumberFormat="1" applyFont="1" applyFill="1" applyBorder="1" applyAlignment="1">
      <alignment vertical="center"/>
    </xf>
    <xf numFmtId="0" fontId="48" fillId="0" borderId="0" xfId="0" applyFont="1" applyFill="1" applyAlignment="1">
      <alignment horizontal="center" vertical="center" wrapText="1"/>
    </xf>
    <xf numFmtId="1" fontId="42" fillId="0" borderId="0" xfId="0" applyNumberFormat="1" applyFont="1" applyFill="1" applyAlignment="1">
      <alignment vertical="center"/>
    </xf>
    <xf numFmtId="0" fontId="73" fillId="22" borderId="23" xfId="0" applyFont="1" applyFill="1" applyBorder="1" applyAlignment="1">
      <alignment horizontal="right"/>
    </xf>
    <xf numFmtId="0" fontId="74" fillId="0" borderId="0" xfId="0" applyFont="1" applyFill="1" applyBorder="1" applyAlignment="1">
      <alignment vertical="center"/>
    </xf>
    <xf numFmtId="0" fontId="0" fillId="0" borderId="12" xfId="0" applyBorder="1"/>
    <xf numFmtId="0" fontId="13" fillId="0" borderId="0" xfId="0" applyFont="1" applyFill="1" applyBorder="1" applyAlignment="1">
      <alignment horizontal="right" vertical="center"/>
    </xf>
    <xf numFmtId="0" fontId="13" fillId="0" borderId="0" xfId="0" applyFont="1" applyFill="1" applyAlignment="1">
      <alignment horizontal="right" vertical="center"/>
    </xf>
    <xf numFmtId="0" fontId="13" fillId="38" borderId="65" xfId="0" applyFont="1" applyFill="1" applyBorder="1" applyAlignment="1">
      <alignment horizontal="right" vertical="center"/>
    </xf>
    <xf numFmtId="0" fontId="13" fillId="34" borderId="38" xfId="0" applyFont="1" applyFill="1" applyBorder="1" applyAlignment="1">
      <alignment horizontal="right" vertical="center"/>
    </xf>
    <xf numFmtId="0" fontId="13" fillId="38" borderId="45" xfId="0" applyFont="1" applyFill="1" applyBorder="1" applyAlignment="1">
      <alignment horizontal="right" vertical="center"/>
    </xf>
    <xf numFmtId="0" fontId="13" fillId="0" borderId="45" xfId="0" applyFont="1" applyFill="1" applyBorder="1" applyAlignment="1">
      <alignment horizontal="right" vertical="center"/>
    </xf>
    <xf numFmtId="1" fontId="16" fillId="39" borderId="12" xfId="0" applyNumberFormat="1" applyFont="1" applyFill="1" applyBorder="1" applyAlignment="1">
      <alignment horizontal="right" vertical="center"/>
    </xf>
    <xf numFmtId="0" fontId="55" fillId="0" borderId="0" xfId="0" quotePrefix="1" applyFont="1" applyBorder="1" applyAlignment="1">
      <alignment vertical="center"/>
    </xf>
    <xf numFmtId="0" fontId="11" fillId="36" borderId="67" xfId="0" applyFont="1" applyFill="1" applyBorder="1" applyAlignment="1">
      <alignment vertical="center"/>
    </xf>
    <xf numFmtId="0" fontId="11" fillId="0" borderId="0" xfId="0" applyFont="1" applyFill="1" applyBorder="1" applyAlignment="1">
      <alignment vertical="center"/>
    </xf>
    <xf numFmtId="1" fontId="42" fillId="0" borderId="0" xfId="0" applyNumberFormat="1" applyFont="1" applyBorder="1" applyAlignment="1">
      <alignment horizontal="center" vertical="center"/>
    </xf>
    <xf numFmtId="0" fontId="55" fillId="23" borderId="0" xfId="0" applyFont="1" applyFill="1" applyAlignment="1">
      <alignment vertical="center" wrapText="1"/>
    </xf>
    <xf numFmtId="0" fontId="55" fillId="23" borderId="12" xfId="0" applyFont="1" applyFill="1" applyBorder="1" applyAlignment="1">
      <alignment vertical="center" wrapText="1"/>
    </xf>
    <xf numFmtId="2" fontId="51" fillId="0" borderId="12" xfId="0" quotePrefix="1" applyNumberFormat="1" applyFont="1" applyFill="1" applyBorder="1" applyAlignment="1">
      <alignment horizontal="right" vertical="center"/>
    </xf>
    <xf numFmtId="2" fontId="51" fillId="0" borderId="12" xfId="0" applyNumberFormat="1" applyFont="1" applyFill="1" applyBorder="1" applyAlignment="1">
      <alignment horizontal="right" vertical="center"/>
    </xf>
    <xf numFmtId="1" fontId="42" fillId="0" borderId="0" xfId="0" applyNumberFormat="1" applyFont="1" applyFill="1" applyAlignment="1">
      <alignment horizontal="right" vertical="center"/>
    </xf>
    <xf numFmtId="0" fontId="42" fillId="0" borderId="0" xfId="0" applyNumberFormat="1" applyFont="1" applyFill="1" applyAlignment="1">
      <alignment horizontal="right" vertical="center"/>
    </xf>
    <xf numFmtId="171" fontId="72" fillId="0" borderId="0" xfId="0" quotePrefix="1" applyNumberFormat="1" applyFont="1" applyFill="1" applyBorder="1" applyAlignment="1">
      <alignment horizontal="right" vertical="center"/>
    </xf>
    <xf numFmtId="1" fontId="51" fillId="0" borderId="0" xfId="0" applyNumberFormat="1" applyFont="1" applyFill="1" applyBorder="1" applyAlignment="1">
      <alignment horizontal="right" vertical="center"/>
    </xf>
    <xf numFmtId="164" fontId="63" fillId="24" borderId="0" xfId="0" applyNumberFormat="1" applyFont="1" applyFill="1" applyBorder="1" applyAlignment="1">
      <alignment vertical="center"/>
    </xf>
    <xf numFmtId="0" fontId="63" fillId="0" borderId="0" xfId="0" applyFont="1" applyFill="1" applyBorder="1" applyAlignment="1">
      <alignment horizontal="center" vertical="center"/>
    </xf>
    <xf numFmtId="1" fontId="72" fillId="0" borderId="0" xfId="0" applyNumberFormat="1" applyFont="1" applyFill="1" applyBorder="1" applyAlignment="1">
      <alignment horizontal="right" vertical="center"/>
    </xf>
    <xf numFmtId="1" fontId="72" fillId="0" borderId="0" xfId="0" applyNumberFormat="1" applyFont="1" applyFill="1" applyAlignment="1">
      <alignment horizontal="right" vertical="center"/>
    </xf>
    <xf numFmtId="1" fontId="72" fillId="0" borderId="0" xfId="0" quotePrefix="1" applyNumberFormat="1" applyFont="1" applyFill="1" applyAlignment="1">
      <alignment horizontal="right" vertical="center"/>
    </xf>
    <xf numFmtId="49" fontId="55" fillId="23" borderId="0" xfId="0" applyNumberFormat="1" applyFont="1" applyFill="1" applyBorder="1" applyAlignment="1">
      <alignment horizontal="right"/>
    </xf>
    <xf numFmtId="1" fontId="65" fillId="27" borderId="0" xfId="0" applyNumberFormat="1" applyFont="1" applyFill="1" applyBorder="1" applyAlignment="1">
      <alignment horizontal="right" vertical="center"/>
    </xf>
    <xf numFmtId="0" fontId="47" fillId="0" borderId="0" xfId="0" applyFont="1" applyFill="1" applyBorder="1" applyAlignment="1">
      <alignment vertical="center" wrapText="1"/>
    </xf>
    <xf numFmtId="9" fontId="57" fillId="0" borderId="12" xfId="44" applyFont="1" applyBorder="1"/>
    <xf numFmtId="0" fontId="42" fillId="0" borderId="0" xfId="0" applyNumberFormat="1" applyFont="1" applyFill="1" applyBorder="1" applyAlignment="1">
      <alignment horizontal="right" vertical="center"/>
    </xf>
    <xf numFmtId="0" fontId="38" fillId="0" borderId="18" xfId="0" applyFont="1" applyFill="1" applyBorder="1" applyAlignment="1">
      <alignment horizontal="right" vertical="center"/>
    </xf>
    <xf numFmtId="0" fontId="42" fillId="0" borderId="0" xfId="0" applyFont="1" applyAlignment="1">
      <alignment horizontal="center" vertical="center" wrapText="1"/>
    </xf>
    <xf numFmtId="0" fontId="72" fillId="0" borderId="0" xfId="0" quotePrefix="1" applyFont="1" applyFill="1" applyAlignment="1">
      <alignment horizontal="right" vertical="center"/>
    </xf>
    <xf numFmtId="1" fontId="72" fillId="0" borderId="0" xfId="0" applyNumberFormat="1" applyFont="1" applyFill="1" applyAlignment="1">
      <alignment vertical="center"/>
    </xf>
    <xf numFmtId="0" fontId="0" fillId="0" borderId="0" xfId="0"/>
    <xf numFmtId="0" fontId="0" fillId="0" borderId="12" xfId="0" applyBorder="1"/>
    <xf numFmtId="0" fontId="55" fillId="0" borderId="0" xfId="0" applyFont="1" applyFill="1" applyBorder="1" applyAlignment="1">
      <alignment horizontal="left" vertical="center"/>
    </xf>
    <xf numFmtId="0" fontId="0" fillId="0" borderId="12" xfId="0" applyBorder="1"/>
    <xf numFmtId="0" fontId="0" fillId="0" borderId="0" xfId="0"/>
    <xf numFmtId="0" fontId="0" fillId="0" borderId="12" xfId="0" applyBorder="1"/>
    <xf numFmtId="0" fontId="55" fillId="0" borderId="18" xfId="0" applyFont="1" applyFill="1" applyBorder="1" applyAlignment="1">
      <alignment vertical="center"/>
    </xf>
    <xf numFmtId="0" fontId="55" fillId="0" borderId="0" xfId="0" applyNumberFormat="1" applyFont="1" applyAlignment="1">
      <alignment vertical="center"/>
    </xf>
    <xf numFmtId="0" fontId="62" fillId="35" borderId="106" xfId="0" applyFont="1" applyFill="1" applyBorder="1" applyAlignment="1">
      <alignment horizontal="center" vertical="center" wrapText="1"/>
    </xf>
    <xf numFmtId="1" fontId="77" fillId="0" borderId="0" xfId="0" applyNumberFormat="1" applyFont="1" applyFill="1" applyAlignment="1">
      <alignment horizontal="center" vertical="center"/>
    </xf>
    <xf numFmtId="0" fontId="49" fillId="0" borderId="12" xfId="0" applyFont="1" applyFill="1" applyBorder="1" applyAlignment="1">
      <alignment vertical="center"/>
    </xf>
    <xf numFmtId="9" fontId="49" fillId="0" borderId="12" xfId="0" applyNumberFormat="1" applyFont="1" applyFill="1" applyBorder="1" applyAlignment="1">
      <alignment vertical="center"/>
    </xf>
    <xf numFmtId="0" fontId="38" fillId="0" borderId="19" xfId="0" applyFont="1" applyFill="1" applyBorder="1" applyAlignment="1">
      <alignment horizontal="right" vertical="center"/>
    </xf>
    <xf numFmtId="0" fontId="52" fillId="0" borderId="12" xfId="0" applyFont="1" applyFill="1" applyBorder="1" applyAlignment="1">
      <alignment vertical="center"/>
    </xf>
    <xf numFmtId="0" fontId="38" fillId="0" borderId="108" xfId="0" applyFont="1" applyFill="1" applyBorder="1" applyAlignment="1">
      <alignment horizontal="right" vertical="center"/>
    </xf>
    <xf numFmtId="0" fontId="38" fillId="0" borderId="107" xfId="0" applyFont="1" applyFill="1" applyBorder="1" applyAlignment="1">
      <alignment horizontal="right" vertical="center"/>
    </xf>
    <xf numFmtId="9" fontId="50" fillId="0" borderId="12" xfId="0" applyNumberFormat="1" applyFont="1" applyFill="1" applyBorder="1" applyAlignment="1">
      <alignment horizontal="right" vertical="center"/>
    </xf>
    <xf numFmtId="0" fontId="0" fillId="0" borderId="0" xfId="0"/>
    <xf numFmtId="0" fontId="51" fillId="38" borderId="43" xfId="0" applyFont="1" applyFill="1" applyBorder="1" applyAlignment="1">
      <alignment vertical="center"/>
    </xf>
    <xf numFmtId="0" fontId="78" fillId="0" borderId="0" xfId="0" applyFont="1" applyFill="1" applyBorder="1" applyAlignment="1">
      <alignment vertical="center"/>
    </xf>
    <xf numFmtId="2" fontId="42" fillId="0" borderId="0" xfId="0" applyNumberFormat="1" applyFont="1" applyFill="1" applyBorder="1" applyAlignment="1">
      <alignment horizontal="center" vertical="center" wrapText="1"/>
    </xf>
    <xf numFmtId="1" fontId="51" fillId="0" borderId="0" xfId="0" applyNumberFormat="1" applyFont="1" applyFill="1" applyBorder="1" applyAlignment="1">
      <alignment vertical="center"/>
    </xf>
    <xf numFmtId="1" fontId="65" fillId="0" borderId="0" xfId="0" applyNumberFormat="1" applyFont="1" applyFill="1" applyBorder="1" applyAlignment="1">
      <alignment horizontal="right" vertical="center"/>
    </xf>
    <xf numFmtId="0" fontId="62" fillId="0" borderId="0" xfId="0" applyFont="1" applyFill="1" applyBorder="1" applyAlignment="1">
      <alignment horizontal="center" vertical="center" wrapText="1"/>
    </xf>
    <xf numFmtId="0" fontId="79" fillId="0" borderId="72" xfId="0" applyFont="1" applyFill="1" applyBorder="1" applyAlignment="1">
      <alignment vertical="center"/>
    </xf>
    <xf numFmtId="0" fontId="78" fillId="0" borderId="0" xfId="0" quotePrefix="1" applyFont="1" applyFill="1" applyBorder="1" applyAlignment="1">
      <alignment horizontal="right" vertical="center"/>
    </xf>
    <xf numFmtId="1" fontId="78" fillId="0" borderId="0" xfId="0" applyNumberFormat="1" applyFont="1" applyFill="1" applyAlignment="1">
      <alignment horizontal="right" vertical="center"/>
    </xf>
    <xf numFmtId="1" fontId="51" fillId="38" borderId="35" xfId="0" applyNumberFormat="1" applyFont="1" applyFill="1" applyBorder="1" applyAlignment="1">
      <alignment horizontal="right" vertical="center"/>
    </xf>
    <xf numFmtId="0" fontId="51" fillId="0" borderId="111" xfId="0" applyFont="1" applyFill="1" applyBorder="1" applyAlignment="1">
      <alignment vertical="center"/>
    </xf>
    <xf numFmtId="2" fontId="49" fillId="0" borderId="103" xfId="0" applyNumberFormat="1" applyFont="1" applyFill="1" applyBorder="1" applyAlignment="1">
      <alignment horizontal="right" vertical="center"/>
    </xf>
    <xf numFmtId="2" fontId="38" fillId="0" borderId="112" xfId="0" applyNumberFormat="1" applyFont="1" applyFill="1" applyBorder="1" applyAlignment="1">
      <alignment horizontal="right" vertical="center"/>
    </xf>
    <xf numFmtId="2" fontId="38" fillId="0" borderId="114" xfId="0" applyNumberFormat="1" applyFont="1" applyFill="1" applyBorder="1" applyAlignment="1">
      <alignment horizontal="right" vertical="center"/>
    </xf>
    <xf numFmtId="0" fontId="51" fillId="0" borderId="112" xfId="0" applyFont="1" applyFill="1" applyBorder="1" applyAlignment="1">
      <alignment vertical="center"/>
    </xf>
    <xf numFmtId="2" fontId="38" fillId="0" borderId="115" xfId="0" applyNumberFormat="1" applyFont="1" applyFill="1" applyBorder="1" applyAlignment="1">
      <alignment horizontal="right" vertical="center"/>
    </xf>
    <xf numFmtId="0" fontId="51" fillId="0" borderId="117" xfId="0" applyFont="1" applyFill="1" applyBorder="1" applyAlignment="1">
      <alignment vertical="center"/>
    </xf>
    <xf numFmtId="2" fontId="49" fillId="0" borderId="109" xfId="0" applyNumberFormat="1" applyFont="1" applyFill="1" applyBorder="1" applyAlignment="1">
      <alignment horizontal="right" vertical="center"/>
    </xf>
    <xf numFmtId="1" fontId="78" fillId="0" borderId="0" xfId="0" applyNumberFormat="1" applyFont="1" applyFill="1" applyBorder="1" applyAlignment="1">
      <alignment vertical="center"/>
    </xf>
    <xf numFmtId="0" fontId="0" fillId="0" borderId="0" xfId="0"/>
    <xf numFmtId="0" fontId="0" fillId="0" borderId="12" xfId="0" applyBorder="1"/>
    <xf numFmtId="0" fontId="42" fillId="0" borderId="0" xfId="0" applyFont="1"/>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xf>
    <xf numFmtId="0" fontId="62" fillId="35" borderId="70" xfId="0" applyFont="1" applyFill="1" applyBorder="1" applyAlignment="1">
      <alignment horizontal="center" vertical="center"/>
    </xf>
    <xf numFmtId="0" fontId="65" fillId="35" borderId="69" xfId="0" applyFont="1" applyFill="1" applyBorder="1" applyAlignment="1">
      <alignment horizontal="center" vertical="center"/>
    </xf>
    <xf numFmtId="0" fontId="65" fillId="35" borderId="70" xfId="0" applyFont="1" applyFill="1" applyBorder="1" applyAlignment="1">
      <alignment horizontal="center" vertical="center" wrapText="1"/>
    </xf>
    <xf numFmtId="0" fontId="42" fillId="0" borderId="0" xfId="0" applyFont="1" applyAlignment="1">
      <alignment horizontal="right"/>
    </xf>
    <xf numFmtId="0" fontId="42" fillId="0" borderId="0" xfId="0" applyFont="1" applyAlignment="1">
      <alignment horizontal="center"/>
    </xf>
    <xf numFmtId="0" fontId="42" fillId="0" borderId="0" xfId="0" applyFont="1" applyBorder="1" applyAlignment="1">
      <alignment horizontal="center"/>
    </xf>
    <xf numFmtId="0" fontId="78" fillId="0" borderId="0" xfId="0" applyFont="1" applyAlignment="1">
      <alignment vertical="center"/>
    </xf>
    <xf numFmtId="1" fontId="78" fillId="0" borderId="0" xfId="0" applyNumberFormat="1" applyFont="1" applyFill="1" applyBorder="1" applyAlignment="1">
      <alignment horizontal="right" vertical="center"/>
    </xf>
    <xf numFmtId="0" fontId="51" fillId="0" borderId="0" xfId="0" applyNumberFormat="1" applyFont="1" applyFill="1" applyBorder="1" applyAlignment="1">
      <alignment vertical="center"/>
    </xf>
    <xf numFmtId="1" fontId="9" fillId="0" borderId="47" xfId="0" applyNumberFormat="1" applyFont="1" applyFill="1" applyBorder="1" applyAlignment="1">
      <alignment horizontal="right" vertical="center"/>
    </xf>
    <xf numFmtId="0" fontId="62" fillId="0" borderId="69" xfId="0" applyFont="1" applyFill="1" applyBorder="1" applyAlignment="1">
      <alignment horizontal="center" vertical="center"/>
    </xf>
    <xf numFmtId="0" fontId="25" fillId="0" borderId="0" xfId="0" applyFont="1" applyAlignment="1">
      <alignment wrapText="1"/>
    </xf>
    <xf numFmtId="0" fontId="42" fillId="22" borderId="0" xfId="0" applyFont="1" applyFill="1" applyBorder="1" applyAlignment="1">
      <alignment horizontal="center" vertical="center"/>
    </xf>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wrapText="1"/>
    </xf>
    <xf numFmtId="0" fontId="62" fillId="35" borderId="70" xfId="0" applyFont="1" applyFill="1" applyBorder="1" applyAlignment="1">
      <alignment horizontal="center" vertical="center" wrapText="1"/>
    </xf>
    <xf numFmtId="2" fontId="62" fillId="35" borderId="69" xfId="0" applyNumberFormat="1" applyFont="1" applyFill="1" applyBorder="1" applyAlignment="1">
      <alignment horizontal="center" vertical="center" wrapText="1"/>
    </xf>
    <xf numFmtId="2" fontId="62" fillId="35" borderId="70" xfId="0" applyNumberFormat="1" applyFont="1" applyFill="1" applyBorder="1" applyAlignment="1">
      <alignment horizontal="center" vertical="center" wrapText="1"/>
    </xf>
    <xf numFmtId="1" fontId="62" fillId="35" borderId="70" xfId="0" applyNumberFormat="1" applyFont="1" applyFill="1" applyBorder="1" applyAlignment="1">
      <alignment horizontal="center" vertical="center" wrapText="1"/>
    </xf>
    <xf numFmtId="0" fontId="47" fillId="23" borderId="0" xfId="0" applyFont="1" applyFill="1" applyBorder="1" applyAlignment="1">
      <alignment vertical="center" wrapText="1"/>
    </xf>
    <xf numFmtId="0" fontId="47" fillId="23" borderId="12" xfId="0" applyFont="1" applyFill="1" applyBorder="1" applyAlignment="1">
      <alignment vertical="center" wrapText="1"/>
    </xf>
    <xf numFmtId="0" fontId="17" fillId="33" borderId="33" xfId="0" applyFont="1" applyFill="1" applyBorder="1" applyAlignment="1">
      <alignment horizontal="right" vertical="center"/>
    </xf>
    <xf numFmtId="1" fontId="51" fillId="0" borderId="33" xfId="0" applyNumberFormat="1" applyFont="1" applyFill="1" applyBorder="1" applyAlignment="1">
      <alignment horizontal="right" vertical="center"/>
    </xf>
    <xf numFmtId="9" fontId="42" fillId="0" borderId="0" xfId="0" applyNumberFormat="1" applyFont="1" applyFill="1" applyBorder="1" applyAlignment="1">
      <alignment horizontal="right" vertical="center"/>
    </xf>
    <xf numFmtId="171" fontId="42" fillId="0" borderId="0" xfId="0" quotePrefix="1" applyNumberFormat="1" applyFont="1" applyFill="1" applyBorder="1" applyAlignment="1">
      <alignment horizontal="right" vertical="center"/>
    </xf>
    <xf numFmtId="0" fontId="55" fillId="0" borderId="0" xfId="0" quotePrefix="1" applyFont="1" applyFill="1" applyBorder="1" applyAlignment="1">
      <alignment horizontal="right" vertical="center"/>
    </xf>
    <xf numFmtId="0" fontId="78" fillId="0" borderId="0" xfId="0" applyFont="1"/>
    <xf numFmtId="0" fontId="42" fillId="0" borderId="0" xfId="0" applyFont="1" applyFill="1" applyAlignment="1">
      <alignment vertical="center"/>
    </xf>
    <xf numFmtId="0" fontId="38" fillId="0" borderId="71" xfId="0" applyFont="1" applyFill="1" applyBorder="1" applyAlignment="1">
      <alignment horizontal="right" vertical="center"/>
    </xf>
    <xf numFmtId="0" fontId="49" fillId="0" borderId="12" xfId="0" applyFont="1" applyFill="1" applyBorder="1" applyAlignment="1">
      <alignment horizontal="right" vertical="center"/>
    </xf>
    <xf numFmtId="0" fontId="50" fillId="0" borderId="12" xfId="0" applyFont="1" applyFill="1" applyBorder="1" applyAlignment="1">
      <alignment horizontal="right" vertical="center"/>
    </xf>
    <xf numFmtId="0" fontId="38" fillId="0" borderId="119" xfId="0" applyFont="1" applyFill="1" applyBorder="1" applyAlignment="1">
      <alignment horizontal="right" vertical="center"/>
    </xf>
    <xf numFmtId="9" fontId="52" fillId="0" borderId="0" xfId="0" applyNumberFormat="1" applyFont="1" applyFill="1" applyBorder="1" applyAlignment="1">
      <alignment vertical="center"/>
    </xf>
    <xf numFmtId="9" fontId="49" fillId="0" borderId="0" xfId="0" applyNumberFormat="1" applyFont="1" applyFill="1" applyBorder="1" applyAlignment="1">
      <alignment horizontal="right" vertical="center"/>
    </xf>
    <xf numFmtId="0" fontId="50" fillId="0" borderId="0" xfId="0" applyFont="1" applyBorder="1" applyAlignment="1">
      <alignment horizontal="right" vertical="center"/>
    </xf>
    <xf numFmtId="9" fontId="57" fillId="0" borderId="0" xfId="44" applyFont="1" applyBorder="1"/>
    <xf numFmtId="0" fontId="79" fillId="0" borderId="0" xfId="0" applyFont="1" applyFill="1" applyBorder="1" applyAlignment="1">
      <alignment vertical="center"/>
    </xf>
    <xf numFmtId="0" fontId="38" fillId="0" borderId="120" xfId="0" applyFont="1" applyFill="1" applyBorder="1" applyAlignment="1">
      <alignment horizontal="right" vertical="center"/>
    </xf>
    <xf numFmtId="2" fontId="52" fillId="0" borderId="0" xfId="0" quotePrefix="1" applyNumberFormat="1" applyFont="1" applyFill="1" applyBorder="1" applyAlignment="1">
      <alignment horizontal="right" vertical="center"/>
    </xf>
    <xf numFmtId="0" fontId="52" fillId="0" borderId="107" xfId="0" quotePrefix="1" applyNumberFormat="1" applyFont="1" applyFill="1" applyBorder="1" applyAlignment="1">
      <alignment horizontal="right" vertical="center"/>
    </xf>
    <xf numFmtId="0" fontId="49" fillId="0" borderId="12" xfId="0" applyFont="1" applyBorder="1" applyAlignment="1">
      <alignment vertical="center"/>
    </xf>
    <xf numFmtId="0" fontId="42" fillId="0" borderId="0" xfId="0" applyFont="1" applyAlignment="1">
      <alignment vertical="center"/>
    </xf>
    <xf numFmtId="0" fontId="42" fillId="22" borderId="0" xfId="0" applyFont="1" applyFill="1" applyBorder="1" applyAlignment="1">
      <alignment vertical="center"/>
    </xf>
    <xf numFmtId="0" fontId="51" fillId="0" borderId="36" xfId="0" applyFont="1" applyFill="1" applyBorder="1" applyAlignment="1">
      <alignment vertical="center"/>
    </xf>
    <xf numFmtId="0" fontId="51" fillId="0" borderId="43" xfId="0" applyFont="1" applyFill="1" applyBorder="1" applyAlignment="1">
      <alignment vertical="center"/>
    </xf>
    <xf numFmtId="1" fontId="51" fillId="0" borderId="85" xfId="0" applyNumberFormat="1" applyFont="1" applyFill="1" applyBorder="1" applyAlignment="1">
      <alignment vertical="center"/>
    </xf>
    <xf numFmtId="1" fontId="51" fillId="0" borderId="118" xfId="0" applyNumberFormat="1" applyFont="1" applyFill="1" applyBorder="1" applyAlignment="1">
      <alignment vertical="center"/>
    </xf>
    <xf numFmtId="0" fontId="8" fillId="0" borderId="45" xfId="0" applyFont="1" applyFill="1" applyBorder="1" applyAlignment="1">
      <alignment vertical="center"/>
    </xf>
    <xf numFmtId="1" fontId="8" fillId="0" borderId="50" xfId="0" applyNumberFormat="1" applyFont="1" applyFill="1" applyBorder="1" applyAlignment="1">
      <alignment horizontal="right" vertical="center"/>
    </xf>
    <xf numFmtId="0" fontId="42" fillId="0" borderId="12" xfId="0" applyNumberFormat="1" applyFont="1" applyFill="1" applyBorder="1" applyAlignment="1">
      <alignment horizontal="right" vertical="center"/>
    </xf>
    <xf numFmtId="175" fontId="55" fillId="0" borderId="87" xfId="44" applyNumberFormat="1" applyFont="1" applyBorder="1"/>
    <xf numFmtId="0" fontId="42" fillId="0" borderId="0" xfId="0" applyFont="1" applyFill="1" applyBorder="1" applyAlignment="1">
      <alignment horizontal="center"/>
    </xf>
    <xf numFmtId="174" fontId="42" fillId="0" borderId="0" xfId="0" applyNumberFormat="1" applyFont="1" applyFill="1" applyBorder="1" applyAlignment="1">
      <alignment horizontal="center"/>
    </xf>
    <xf numFmtId="1" fontId="42" fillId="0" borderId="12" xfId="0" applyNumberFormat="1" applyFont="1" applyBorder="1" applyAlignment="1">
      <alignment horizontal="center" vertical="center"/>
    </xf>
    <xf numFmtId="1" fontId="42" fillId="0" borderId="12" xfId="0" applyNumberFormat="1" applyFont="1" applyBorder="1" applyAlignment="1">
      <alignment horizontal="right" vertical="center"/>
    </xf>
    <xf numFmtId="172" fontId="51" fillId="34" borderId="35" xfId="0" applyNumberFormat="1" applyFont="1" applyFill="1" applyBorder="1" applyAlignment="1">
      <alignment horizontal="right" vertical="center"/>
    </xf>
    <xf numFmtId="172" fontId="51" fillId="38" borderId="35" xfId="0" applyNumberFormat="1" applyFont="1" applyFill="1" applyBorder="1" applyAlignment="1">
      <alignment horizontal="right" vertical="center"/>
    </xf>
    <xf numFmtId="0" fontId="63" fillId="24" borderId="0" xfId="0" applyFont="1" applyFill="1" applyBorder="1" applyAlignment="1">
      <alignment vertical="center"/>
    </xf>
    <xf numFmtId="0" fontId="62" fillId="24"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Border="1" applyAlignment="1">
      <alignment horizontal="left" vertical="center" wrapText="1"/>
    </xf>
    <xf numFmtId="0" fontId="81" fillId="0" borderId="69" xfId="0" applyFont="1" applyFill="1" applyBorder="1" applyAlignment="1">
      <alignment horizontal="center" vertical="center"/>
    </xf>
    <xf numFmtId="0" fontId="0" fillId="0" borderId="0" xfId="0" applyAlignment="1">
      <alignment vertical="center"/>
    </xf>
    <xf numFmtId="0" fontId="21" fillId="22" borderId="13" xfId="0" applyFont="1" applyFill="1" applyBorder="1" applyAlignment="1">
      <alignment horizontal="left" vertical="center"/>
    </xf>
    <xf numFmtId="0" fontId="21" fillId="22" borderId="0" xfId="0" applyFont="1" applyFill="1" applyBorder="1" applyAlignment="1">
      <alignment horizontal="left" vertical="center"/>
    </xf>
    <xf numFmtId="0" fontId="21" fillId="22" borderId="12" xfId="0" applyFont="1" applyFill="1" applyBorder="1" applyAlignment="1">
      <alignment horizontal="left" vertical="center"/>
    </xf>
    <xf numFmtId="0" fontId="0" fillId="0" borderId="12" xfId="0" applyBorder="1" applyAlignment="1">
      <alignment vertical="center"/>
    </xf>
    <xf numFmtId="0" fontId="0" fillId="0" borderId="0" xfId="0" applyBorder="1" applyAlignment="1">
      <alignment vertical="center"/>
    </xf>
    <xf numFmtId="0" fontId="55" fillId="0" borderId="0" xfId="0" applyFont="1" applyAlignment="1">
      <alignment vertical="center" wrapText="1"/>
    </xf>
    <xf numFmtId="0" fontId="55" fillId="0" borderId="12" xfId="0" applyFont="1" applyBorder="1" applyAlignment="1">
      <alignment vertical="center" wrapText="1"/>
    </xf>
    <xf numFmtId="0" fontId="65" fillId="35" borderId="62" xfId="0" applyFont="1" applyFill="1" applyBorder="1" applyAlignment="1">
      <alignment horizontal="center" vertical="center"/>
    </xf>
    <xf numFmtId="0" fontId="55" fillId="0" borderId="0" xfId="0" applyFont="1" applyFill="1" applyBorder="1" applyAlignment="1">
      <alignment vertical="center"/>
    </xf>
    <xf numFmtId="0" fontId="42" fillId="0" borderId="12" xfId="0" applyNumberFormat="1" applyFont="1" applyBorder="1" applyAlignment="1">
      <alignment horizontal="right" vertical="center"/>
    </xf>
    <xf numFmtId="0" fontId="42" fillId="0" borderId="12" xfId="0" applyFont="1" applyBorder="1" applyAlignment="1">
      <alignment horizontal="right" vertical="center"/>
    </xf>
    <xf numFmtId="0" fontId="51" fillId="0" borderId="32" xfId="0" applyFont="1" applyFill="1" applyBorder="1" applyAlignment="1">
      <alignment vertical="center"/>
    </xf>
    <xf numFmtId="0" fontId="65" fillId="25" borderId="121" xfId="0" applyFont="1" applyFill="1" applyBorder="1" applyAlignment="1">
      <alignment horizontal="center" vertical="center"/>
    </xf>
    <xf numFmtId="0" fontId="16" fillId="0" borderId="0" xfId="0" applyFont="1" applyFill="1" applyBorder="1" applyAlignment="1">
      <alignment vertical="center"/>
    </xf>
    <xf numFmtId="1" fontId="16" fillId="0" borderId="0" xfId="0" applyNumberFormat="1" applyFont="1" applyFill="1" applyBorder="1" applyAlignment="1">
      <alignment horizontal="right" vertical="center"/>
    </xf>
    <xf numFmtId="0" fontId="50" fillId="0" borderId="12" xfId="0" applyFont="1" applyBorder="1" applyAlignment="1">
      <alignment horizontal="right" vertical="center"/>
    </xf>
    <xf numFmtId="0" fontId="82" fillId="0" borderId="0" xfId="0" applyFont="1" applyFill="1" applyBorder="1" applyAlignment="1">
      <alignment vertical="center"/>
    </xf>
    <xf numFmtId="0" fontId="82" fillId="0" borderId="0" xfId="0" applyFont="1" applyFill="1" applyAlignment="1">
      <alignment vertical="center"/>
    </xf>
    <xf numFmtId="1" fontId="82" fillId="0" borderId="0" xfId="0" applyNumberFormat="1" applyFont="1" applyFill="1" applyBorder="1" applyAlignment="1">
      <alignment vertical="center"/>
    </xf>
    <xf numFmtId="1" fontId="82" fillId="0" borderId="0" xfId="0" applyNumberFormat="1" applyFont="1" applyFill="1" applyAlignment="1">
      <alignment vertical="center"/>
    </xf>
    <xf numFmtId="0" fontId="65" fillId="42" borderId="13" xfId="0" applyFont="1" applyFill="1" applyBorder="1" applyAlignment="1">
      <alignment horizontal="center" vertical="center"/>
    </xf>
    <xf numFmtId="0" fontId="0" fillId="0" borderId="12" xfId="0" applyBorder="1" applyAlignment="1">
      <alignment horizontal="center" vertical="center"/>
    </xf>
    <xf numFmtId="0" fontId="47" fillId="43" borderId="13" xfId="0" applyFont="1" applyFill="1" applyBorder="1" applyAlignment="1">
      <alignment horizontal="center" vertical="center"/>
    </xf>
    <xf numFmtId="0" fontId="47" fillId="44" borderId="13" xfId="0" applyFont="1" applyFill="1" applyBorder="1" applyAlignment="1">
      <alignment horizontal="center" vertical="center"/>
    </xf>
    <xf numFmtId="0" fontId="47" fillId="45" borderId="13" xfId="0" applyFont="1" applyFill="1" applyBorder="1" applyAlignment="1">
      <alignment horizontal="center" vertical="center"/>
    </xf>
    <xf numFmtId="0" fontId="47" fillId="46" borderId="13" xfId="0" applyFont="1" applyFill="1" applyBorder="1" applyAlignment="1">
      <alignment horizontal="center" vertical="center"/>
    </xf>
    <xf numFmtId="0" fontId="83" fillId="47" borderId="13" xfId="0" applyFont="1" applyFill="1" applyBorder="1" applyAlignment="1">
      <alignment horizontal="center" vertical="center"/>
    </xf>
    <xf numFmtId="0" fontId="47" fillId="48" borderId="13" xfId="0" applyFont="1" applyFill="1" applyBorder="1" applyAlignment="1">
      <alignment horizontal="center" vertical="center"/>
    </xf>
    <xf numFmtId="0" fontId="47" fillId="49" borderId="13" xfId="0" applyFont="1" applyFill="1" applyBorder="1" applyAlignment="1">
      <alignment horizontal="center" vertical="center"/>
    </xf>
    <xf numFmtId="0" fontId="83" fillId="50" borderId="13" xfId="0" applyFont="1" applyFill="1" applyBorder="1" applyAlignment="1">
      <alignment horizontal="center" vertical="center"/>
    </xf>
    <xf numFmtId="0" fontId="47" fillId="51" borderId="13" xfId="0" applyFont="1" applyFill="1" applyBorder="1" applyAlignment="1">
      <alignment horizontal="center"/>
    </xf>
    <xf numFmtId="0" fontId="0" fillId="0" borderId="12" xfId="0" applyBorder="1" applyAlignment="1">
      <alignment horizontal="center"/>
    </xf>
    <xf numFmtId="0" fontId="47" fillId="52" borderId="13" xfId="0" applyFont="1" applyFill="1" applyBorder="1" applyAlignment="1">
      <alignment horizontal="center"/>
    </xf>
    <xf numFmtId="0" fontId="47" fillId="53" borderId="13" xfId="0" applyFont="1" applyFill="1" applyBorder="1" applyAlignment="1">
      <alignment horizontal="center"/>
    </xf>
    <xf numFmtId="0" fontId="83" fillId="54" borderId="13" xfId="0" applyFont="1" applyFill="1" applyBorder="1" applyAlignment="1">
      <alignment horizontal="center"/>
    </xf>
    <xf numFmtId="0" fontId="83" fillId="55" borderId="13" xfId="0" applyFont="1" applyFill="1" applyBorder="1" applyAlignment="1">
      <alignment horizontal="center"/>
    </xf>
    <xf numFmtId="0" fontId="83" fillId="56" borderId="13" xfId="0" applyFont="1" applyFill="1" applyBorder="1" applyAlignment="1">
      <alignment horizontal="center"/>
    </xf>
    <xf numFmtId="0" fontId="47" fillId="57" borderId="122" xfId="0" applyFont="1" applyFill="1" applyBorder="1" applyAlignment="1">
      <alignment horizontal="center"/>
    </xf>
    <xf numFmtId="0" fontId="0" fillId="0" borderId="1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lignment horizontal="center" vertical="center"/>
    </xf>
    <xf numFmtId="0" fontId="0" fillId="0" borderId="0" xfId="0"/>
    <xf numFmtId="0" fontId="42" fillId="0" borderId="0" xfId="0" applyFont="1"/>
    <xf numFmtId="0" fontId="25" fillId="0" borderId="0" xfId="0" applyFont="1"/>
    <xf numFmtId="178" fontId="0" fillId="0" borderId="0" xfId="0" applyNumberFormat="1" applyAlignment="1">
      <alignment horizontal="left"/>
    </xf>
    <xf numFmtId="178" fontId="25" fillId="0" borderId="0" xfId="0" applyNumberFormat="1" applyFont="1" applyAlignment="1">
      <alignment horizontal="left"/>
    </xf>
    <xf numFmtId="1" fontId="0" fillId="0" borderId="0" xfId="0" applyNumberFormat="1" applyAlignment="1">
      <alignment horizontal="left"/>
    </xf>
    <xf numFmtId="1" fontId="25" fillId="0" borderId="0" xfId="0" applyNumberFormat="1" applyFont="1" applyAlignment="1">
      <alignment horizontal="left"/>
    </xf>
    <xf numFmtId="179" fontId="42" fillId="0" borderId="0" xfId="0" quotePrefix="1" applyNumberFormat="1" applyFont="1" applyFill="1" applyBorder="1" applyAlignment="1">
      <alignment horizontal="right" vertical="center"/>
    </xf>
    <xf numFmtId="0" fontId="42" fillId="0" borderId="0" xfId="0" quotePrefix="1" applyNumberFormat="1" applyFont="1" applyFill="1" applyBorder="1" applyAlignment="1">
      <alignment horizontal="right" vertical="center"/>
    </xf>
    <xf numFmtId="9" fontId="49" fillId="0" borderId="0" xfId="44" quotePrefix="1" applyFont="1" applyFill="1" applyBorder="1" applyAlignment="1">
      <alignment horizontal="right" vertical="center"/>
    </xf>
    <xf numFmtId="0" fontId="0" fillId="0" borderId="0" xfId="0"/>
    <xf numFmtId="0" fontId="0" fillId="0" borderId="0" xfId="0" applyBorder="1" applyAlignment="1">
      <alignment horizontal="center"/>
    </xf>
    <xf numFmtId="2" fontId="25"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5" fillId="0" borderId="0" xfId="0" applyNumberFormat="1" applyFont="1"/>
    <xf numFmtId="0" fontId="42" fillId="0" borderId="0" xfId="0" applyFont="1"/>
    <xf numFmtId="0" fontId="55" fillId="0" borderId="0" xfId="0" applyFont="1" applyFill="1" applyBorder="1" applyAlignment="1">
      <alignment vertical="center"/>
    </xf>
    <xf numFmtId="0" fontId="55" fillId="0" borderId="21" xfId="0" applyFont="1" applyBorder="1" applyAlignment="1">
      <alignment horizontal="right"/>
    </xf>
    <xf numFmtId="0" fontId="55" fillId="22" borderId="11" xfId="0" applyFont="1" applyFill="1" applyBorder="1" applyAlignment="1">
      <alignment horizontal="right"/>
    </xf>
    <xf numFmtId="0" fontId="55" fillId="22" borderId="20" xfId="0" applyFont="1" applyFill="1" applyBorder="1" applyAlignment="1">
      <alignment horizontal="right"/>
    </xf>
    <xf numFmtId="0" fontId="55" fillId="0" borderId="124" xfId="0" applyFont="1" applyBorder="1"/>
    <xf numFmtId="0" fontId="55" fillId="0" borderId="124" xfId="0" applyFont="1" applyFill="1" applyBorder="1" applyAlignment="1">
      <alignment vertical="center"/>
    </xf>
    <xf numFmtId="0" fontId="55" fillId="0" borderId="123" xfId="0" applyFont="1" applyBorder="1"/>
    <xf numFmtId="0" fontId="55" fillId="0" borderId="122" xfId="0" applyFont="1" applyBorder="1"/>
    <xf numFmtId="180" fontId="42" fillId="0" borderId="0" xfId="0" applyNumberFormat="1" applyFont="1" applyFill="1" applyBorder="1" applyAlignment="1">
      <alignment horizontal="right" vertical="center"/>
    </xf>
    <xf numFmtId="49" fontId="25" fillId="0" borderId="0" xfId="0" applyNumberFormat="1" applyFont="1" applyAlignment="1">
      <alignment horizontal="left"/>
    </xf>
    <xf numFmtId="49" fontId="0" fillId="0" borderId="0" xfId="0" applyNumberFormat="1" applyAlignment="1">
      <alignment horizontal="left"/>
    </xf>
    <xf numFmtId="171" fontId="47" fillId="40" borderId="34" xfId="0" applyNumberFormat="1" applyFont="1" applyFill="1" applyBorder="1" applyAlignment="1">
      <alignment horizontal="right" vertical="center"/>
    </xf>
    <xf numFmtId="171" fontId="47" fillId="40" borderId="35" xfId="0" applyNumberFormat="1" applyFont="1" applyFill="1" applyBorder="1" applyAlignment="1">
      <alignment horizontal="right" vertical="center"/>
    </xf>
    <xf numFmtId="0" fontId="42" fillId="0" borderId="0" xfId="0" applyFont="1"/>
    <xf numFmtId="171" fontId="55" fillId="0" borderId="0" xfId="0" applyNumberFormat="1" applyFont="1" applyAlignment="1">
      <alignmen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0" borderId="12" xfId="0" applyFont="1" applyBorder="1"/>
    <xf numFmtId="0" fontId="34" fillId="22" borderId="0" xfId="0" applyFont="1" applyFill="1" applyBorder="1" applyAlignment="1">
      <alignment vertical="center"/>
    </xf>
    <xf numFmtId="0" fontId="55" fillId="0" borderId="13" xfId="0" applyFont="1" applyFill="1" applyBorder="1" applyAlignment="1">
      <alignment horizontal="left" vertical="center" wrapText="1"/>
    </xf>
    <xf numFmtId="0" fontId="62" fillId="25" borderId="121" xfId="0" applyFont="1" applyFill="1" applyBorder="1" applyAlignment="1">
      <alignment horizontal="center" vertical="center"/>
    </xf>
    <xf numFmtId="0" fontId="62" fillId="25" borderId="125" xfId="0" applyFont="1" applyFill="1" applyBorder="1" applyAlignment="1">
      <alignment horizontal="center" vertical="center"/>
    </xf>
    <xf numFmtId="0" fontId="42" fillId="0" borderId="18" xfId="0" applyFont="1" applyBorder="1" applyAlignment="1">
      <alignment vertical="center"/>
    </xf>
    <xf numFmtId="0" fontId="71" fillId="22" borderId="19" xfId="0" applyFont="1" applyFill="1" applyBorder="1" applyAlignment="1">
      <alignment horizontal="right" vertical="center"/>
    </xf>
    <xf numFmtId="0" fontId="34" fillId="22" borderId="13" xfId="0" applyFont="1" applyFill="1" applyBorder="1" applyAlignment="1">
      <alignment vertical="center"/>
    </xf>
    <xf numFmtId="0" fontId="53" fillId="22" borderId="13" xfId="0" applyFont="1" applyFill="1" applyBorder="1" applyAlignment="1">
      <alignment vertical="center"/>
    </xf>
    <xf numFmtId="0" fontId="48" fillId="0" borderId="13" xfId="0" applyFont="1" applyFill="1" applyBorder="1" applyAlignment="1">
      <alignment horizontal="center" vertical="center" wrapText="1"/>
    </xf>
    <xf numFmtId="0" fontId="51" fillId="0" borderId="128" xfId="0" applyFont="1" applyFill="1" applyBorder="1" applyAlignment="1">
      <alignment vertical="center"/>
    </xf>
    <xf numFmtId="0" fontId="79" fillId="0" borderId="13" xfId="0" applyFont="1" applyFill="1" applyBorder="1" applyAlignment="1">
      <alignment vertical="center"/>
    </xf>
    <xf numFmtId="0" fontId="80" fillId="0" borderId="0" xfId="0" applyFont="1" applyFill="1" applyBorder="1" applyAlignment="1">
      <alignment horizontal="right" vertical="center"/>
    </xf>
    <xf numFmtId="0" fontId="62" fillId="0" borderId="13" xfId="0" applyFont="1" applyFill="1" applyBorder="1" applyAlignment="1">
      <alignment horizontal="center" vertical="center"/>
    </xf>
    <xf numFmtId="0" fontId="74" fillId="0" borderId="13" xfId="0" applyFont="1" applyFill="1" applyBorder="1" applyAlignment="1">
      <alignment vertical="center"/>
    </xf>
    <xf numFmtId="0" fontId="52" fillId="23" borderId="13" xfId="0" applyFont="1" applyFill="1" applyBorder="1" applyAlignment="1">
      <alignment vertical="center"/>
    </xf>
    <xf numFmtId="0" fontId="42" fillId="23" borderId="13" xfId="0" applyFont="1" applyFill="1" applyBorder="1" applyAlignment="1">
      <alignment horizontal="left" vertical="center"/>
    </xf>
    <xf numFmtId="9" fontId="49" fillId="0" borderId="124" xfId="0" applyNumberFormat="1" applyFont="1" applyFill="1" applyBorder="1" applyAlignment="1">
      <alignment vertical="center"/>
    </xf>
    <xf numFmtId="0" fontId="51" fillId="0" borderId="122" xfId="0" applyFont="1" applyFill="1" applyBorder="1" applyAlignment="1">
      <alignment vertical="center"/>
    </xf>
    <xf numFmtId="0" fontId="52" fillId="0" borderId="124" xfId="0" applyFont="1" applyFill="1" applyBorder="1" applyAlignment="1">
      <alignment horizontal="right" vertical="center"/>
    </xf>
    <xf numFmtId="0" fontId="51" fillId="0" borderId="124" xfId="0" applyFont="1" applyFill="1" applyBorder="1" applyAlignment="1">
      <alignment vertical="center"/>
    </xf>
    <xf numFmtId="0" fontId="52" fillId="0" borderId="123" xfId="0" applyFont="1" applyFill="1" applyBorder="1" applyAlignment="1">
      <alignment horizontal="right" vertical="center"/>
    </xf>
    <xf numFmtId="0" fontId="51" fillId="0" borderId="129" xfId="0" applyFont="1" applyFill="1" applyBorder="1" applyAlignment="1">
      <alignment vertical="center"/>
    </xf>
    <xf numFmtId="0" fontId="55" fillId="0" borderId="13" xfId="0" applyFont="1" applyFill="1" applyBorder="1" applyAlignment="1">
      <alignment horizontal="center" vertical="center" wrapText="1"/>
    </xf>
    <xf numFmtId="0" fontId="65" fillId="25" borderId="127" xfId="0" applyFont="1" applyFill="1" applyBorder="1" applyAlignment="1">
      <alignment horizontal="center" vertical="center"/>
    </xf>
    <xf numFmtId="0" fontId="14" fillId="0" borderId="13" xfId="0" applyFont="1" applyFill="1" applyBorder="1" applyAlignment="1">
      <alignment horizontal="left" vertical="center"/>
    </xf>
    <xf numFmtId="0" fontId="10" fillId="0" borderId="13" xfId="0" applyFont="1" applyFill="1" applyBorder="1" applyAlignment="1">
      <alignment horizontal="left" vertical="center"/>
    </xf>
    <xf numFmtId="0" fontId="14" fillId="0" borderId="13" xfId="0" applyFont="1" applyFill="1" applyBorder="1" applyAlignment="1">
      <alignment vertical="center"/>
    </xf>
    <xf numFmtId="0" fontId="42" fillId="0" borderId="13" xfId="0" applyFont="1" applyFill="1" applyBorder="1" applyAlignment="1">
      <alignment horizontal="center" vertical="center"/>
    </xf>
    <xf numFmtId="0" fontId="49" fillId="0" borderId="0" xfId="0" applyFont="1" applyBorder="1" applyAlignment="1">
      <alignment vertical="center"/>
    </xf>
    <xf numFmtId="0" fontId="75" fillId="0" borderId="13" xfId="0" applyFont="1" applyFill="1" applyBorder="1" applyAlignment="1">
      <alignment horizontal="right" vertical="center"/>
    </xf>
    <xf numFmtId="10" fontId="76" fillId="0" borderId="0" xfId="0" applyNumberFormat="1" applyFont="1" applyFill="1" applyBorder="1" applyAlignment="1">
      <alignment vertical="center"/>
    </xf>
    <xf numFmtId="0" fontId="42" fillId="23" borderId="122" xfId="0" applyFont="1" applyFill="1" applyBorder="1" applyAlignment="1">
      <alignment vertical="center"/>
    </xf>
    <xf numFmtId="0" fontId="42" fillId="23" borderId="124" xfId="0" applyFont="1" applyFill="1" applyBorder="1" applyAlignment="1">
      <alignment vertical="center"/>
    </xf>
    <xf numFmtId="1" fontId="42" fillId="23" borderId="124" xfId="0" applyNumberFormat="1" applyFont="1" applyFill="1" applyBorder="1" applyAlignment="1">
      <alignment vertical="center"/>
    </xf>
    <xf numFmtId="0" fontId="48" fillId="0" borderId="13" xfId="0" applyFont="1" applyFill="1" applyBorder="1" applyAlignment="1">
      <alignment horizontal="right" vertical="center"/>
    </xf>
    <xf numFmtId="10" fontId="48" fillId="0" borderId="0" xfId="0" applyNumberFormat="1" applyFont="1" applyFill="1" applyBorder="1" applyAlignment="1">
      <alignment vertical="center"/>
    </xf>
    <xf numFmtId="1" fontId="42" fillId="0" borderId="0" xfId="44" applyNumberFormat="1" applyFont="1" applyFill="1" applyBorder="1" applyAlignment="1">
      <alignment vertical="center"/>
    </xf>
    <xf numFmtId="0" fontId="42" fillId="36" borderId="67" xfId="0" applyFont="1" applyFill="1" applyBorder="1" applyAlignment="1">
      <alignment vertical="center"/>
    </xf>
    <xf numFmtId="0" fontId="42" fillId="36" borderId="128" xfId="0" applyFont="1" applyFill="1" applyBorder="1" applyAlignment="1">
      <alignment vertical="center"/>
    </xf>
    <xf numFmtId="0" fontId="42" fillId="0" borderId="128" xfId="0" applyFont="1" applyBorder="1" applyAlignment="1">
      <alignment vertical="center"/>
    </xf>
    <xf numFmtId="0" fontId="42" fillId="0" borderId="13" xfId="0" applyNumberFormat="1" applyFont="1" applyFill="1" applyBorder="1" applyAlignment="1">
      <alignment horizontal="left" vertical="center"/>
    </xf>
    <xf numFmtId="0" fontId="48" fillId="0" borderId="0" xfId="0" applyFont="1" applyFill="1" applyBorder="1" applyAlignment="1">
      <alignment horizontal="right" vertical="center"/>
    </xf>
    <xf numFmtId="0" fontId="42" fillId="36" borderId="132" xfId="0" applyFont="1" applyFill="1" applyBorder="1" applyAlignment="1">
      <alignment vertical="center"/>
    </xf>
    <xf numFmtId="1" fontId="48" fillId="0" borderId="22" xfId="0" applyNumberFormat="1" applyFont="1" applyFill="1" applyBorder="1" applyAlignment="1">
      <alignment horizontal="center" vertical="center"/>
    </xf>
    <xf numFmtId="0" fontId="42" fillId="0" borderId="21" xfId="0" applyFont="1" applyBorder="1" applyAlignment="1">
      <alignment horizontal="center" vertical="center"/>
    </xf>
    <xf numFmtId="1" fontId="48" fillId="0" borderId="89" xfId="0" applyNumberFormat="1" applyFont="1" applyFill="1" applyBorder="1" applyAlignment="1">
      <alignment horizontal="center" vertical="center"/>
    </xf>
    <xf numFmtId="0" fontId="42" fillId="0" borderId="90" xfId="0" applyFont="1" applyBorder="1" applyAlignment="1">
      <alignment horizontal="center" vertical="center"/>
    </xf>
    <xf numFmtId="0" fontId="42" fillId="36" borderId="109" xfId="0" applyNumberFormat="1" applyFont="1" applyFill="1" applyBorder="1" applyAlignment="1">
      <alignment horizontal="center" vertical="center"/>
    </xf>
    <xf numFmtId="0" fontId="42" fillId="36" borderId="131" xfId="0" applyNumberFormat="1" applyFont="1" applyFill="1" applyBorder="1" applyAlignment="1">
      <alignment horizontal="center" vertical="center"/>
    </xf>
    <xf numFmtId="0" fontId="84" fillId="0" borderId="0" xfId="0" applyFont="1"/>
    <xf numFmtId="0" fontId="25" fillId="0" borderId="0" xfId="0" applyFont="1" applyBorder="1"/>
    <xf numFmtId="0" fontId="42" fillId="22" borderId="0" xfId="0" applyFont="1" applyFill="1" applyBorder="1" applyAlignment="1">
      <alignment vertical="center"/>
    </xf>
    <xf numFmtId="171" fontId="7" fillId="32" borderId="44" xfId="0" applyNumberFormat="1" applyFont="1" applyFill="1" applyBorder="1" applyAlignment="1">
      <alignment horizontal="right" vertical="center"/>
    </xf>
    <xf numFmtId="171" fontId="7" fillId="33" borderId="35" xfId="0" applyNumberFormat="1" applyFont="1" applyFill="1" applyBorder="1" applyAlignment="1">
      <alignment horizontal="right" vertical="center"/>
    </xf>
    <xf numFmtId="171" fontId="7" fillId="32" borderId="35" xfId="0" applyNumberFormat="1" applyFont="1" applyFill="1" applyBorder="1" applyAlignment="1">
      <alignment horizontal="right" vertical="center"/>
    </xf>
    <xf numFmtId="171" fontId="7" fillId="33" borderId="83" xfId="0" applyNumberFormat="1" applyFont="1" applyFill="1" applyBorder="1" applyAlignment="1">
      <alignment horizontal="right" vertical="center"/>
    </xf>
    <xf numFmtId="0" fontId="51" fillId="0" borderId="133" xfId="0" applyFont="1" applyFill="1" applyBorder="1" applyAlignment="1">
      <alignment vertical="center"/>
    </xf>
    <xf numFmtId="0" fontId="85" fillId="0" borderId="0" xfId="0" applyFont="1" applyBorder="1" applyAlignment="1">
      <alignment vertical="center"/>
    </xf>
    <xf numFmtId="1" fontId="85" fillId="0" borderId="0" xfId="0" applyNumberFormat="1" applyFont="1" applyBorder="1" applyAlignment="1">
      <alignment horizontal="right" vertical="center"/>
    </xf>
    <xf numFmtId="0" fontId="85" fillId="0" borderId="0" xfId="0" applyFont="1" applyAlignment="1">
      <alignment vertical="center"/>
    </xf>
    <xf numFmtId="0" fontId="7" fillId="0" borderId="13" xfId="0" applyFont="1" applyFill="1" applyBorder="1" applyAlignment="1">
      <alignment vertical="center"/>
    </xf>
    <xf numFmtId="0" fontId="7" fillId="32" borderId="53" xfId="0" applyFont="1" applyFill="1" applyBorder="1" applyAlignment="1">
      <alignment vertical="center"/>
    </xf>
    <xf numFmtId="0" fontId="55" fillId="0" borderId="122" xfId="0" applyFont="1" applyBorder="1"/>
    <xf numFmtId="0" fontId="55" fillId="0" borderId="124" xfId="0" applyFont="1" applyBorder="1"/>
    <xf numFmtId="0" fontId="55" fillId="0" borderId="123" xfId="0" applyFont="1" applyBorder="1"/>
    <xf numFmtId="0" fontId="42" fillId="22" borderId="0" xfId="0"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86" fillId="0" borderId="0" xfId="0" applyFont="1" applyFill="1" applyAlignment="1">
      <alignment vertical="center"/>
    </xf>
    <xf numFmtId="0" fontId="25" fillId="0" borderId="0" xfId="0" applyNumberFormat="1" applyFont="1" applyAlignment="1">
      <alignment horizontal="left"/>
    </xf>
    <xf numFmtId="1" fontId="42" fillId="23" borderId="123" xfId="0" applyNumberFormat="1" applyFont="1" applyFill="1" applyBorder="1" applyAlignment="1">
      <alignment vertical="center"/>
    </xf>
    <xf numFmtId="0" fontId="62" fillId="25" borderId="29" xfId="0" applyFont="1" applyFill="1" applyBorder="1" applyAlignment="1">
      <alignment horizontal="center" vertical="center"/>
    </xf>
    <xf numFmtId="0" fontId="42" fillId="36" borderId="68" xfId="0" applyFont="1" applyFill="1" applyBorder="1" applyAlignment="1">
      <alignment vertical="center"/>
    </xf>
    <xf numFmtId="0" fontId="42" fillId="0" borderId="68" xfId="0" applyFont="1" applyBorder="1" applyAlignment="1">
      <alignment vertical="center"/>
    </xf>
    <xf numFmtId="0" fontId="42" fillId="36" borderId="134" xfId="0" applyFont="1" applyFill="1" applyBorder="1" applyAlignment="1">
      <alignment vertical="center"/>
    </xf>
    <xf numFmtId="0" fontId="49" fillId="36" borderId="126" xfId="0" applyNumberFormat="1" applyFont="1" applyFill="1" applyBorder="1" applyAlignment="1">
      <alignment horizontal="right" vertical="center"/>
    </xf>
    <xf numFmtId="1" fontId="49" fillId="36" borderId="126" xfId="0" applyNumberFormat="1" applyFont="1" applyFill="1" applyBorder="1" applyAlignment="1">
      <alignment horizontal="right" vertical="center"/>
    </xf>
    <xf numFmtId="0" fontId="49" fillId="0" borderId="12" xfId="0" applyNumberFormat="1" applyFont="1" applyFill="1" applyBorder="1" applyAlignment="1">
      <alignment horizontal="right" vertical="center"/>
    </xf>
    <xf numFmtId="2" fontId="49" fillId="0" borderId="12" xfId="0" applyNumberFormat="1" applyFont="1" applyFill="1" applyBorder="1" applyAlignment="1">
      <alignment horizontal="right" vertical="center"/>
    </xf>
    <xf numFmtId="1" fontId="49" fillId="0" borderId="126" xfId="0" applyNumberFormat="1" applyFont="1" applyBorder="1" applyAlignment="1">
      <alignment horizontal="right" vertical="center"/>
    </xf>
    <xf numFmtId="168" fontId="6" fillId="32" borderId="38" xfId="0" applyNumberFormat="1" applyFont="1" applyFill="1" applyBorder="1" applyAlignment="1">
      <alignment horizontal="center" vertical="center"/>
    </xf>
    <xf numFmtId="168" fontId="6" fillId="33" borderId="43" xfId="0" applyNumberFormat="1" applyFont="1" applyFill="1" applyBorder="1" applyAlignment="1">
      <alignment horizontal="center" vertical="center"/>
    </xf>
    <xf numFmtId="168" fontId="6" fillId="32" borderId="43" xfId="0" applyNumberFormat="1" applyFont="1" applyFill="1" applyBorder="1" applyAlignment="1">
      <alignment horizontal="center" vertical="center"/>
    </xf>
    <xf numFmtId="0" fontId="85" fillId="0" borderId="12" xfId="0" applyFont="1" applyBorder="1" applyAlignment="1">
      <alignment vertical="center"/>
    </xf>
    <xf numFmtId="0" fontId="42" fillId="22" borderId="0" xfId="0" applyFont="1" applyFill="1" applyBorder="1" applyAlignment="1">
      <alignment vertical="center"/>
    </xf>
    <xf numFmtId="0" fontId="42" fillId="22" borderId="0" xfId="0" applyFont="1" applyFill="1" applyBorder="1" applyAlignment="1">
      <alignment vertical="center"/>
    </xf>
    <xf numFmtId="0" fontId="38" fillId="0" borderId="110" xfId="0" applyFont="1" applyFill="1" applyBorder="1" applyAlignment="1">
      <alignment horizontal="right" vertical="center"/>
    </xf>
    <xf numFmtId="9" fontId="49" fillId="0" borderId="18" xfId="44" applyFont="1" applyBorder="1" applyAlignment="1">
      <alignment vertical="center"/>
    </xf>
    <xf numFmtId="2" fontId="78" fillId="0" borderId="0" xfId="0" applyNumberFormat="1" applyFont="1" applyFill="1" applyBorder="1" applyAlignment="1">
      <alignment vertical="center"/>
    </xf>
    <xf numFmtId="2" fontId="78" fillId="0" borderId="12" xfId="0" applyNumberFormat="1" applyFont="1" applyFill="1" applyBorder="1" applyAlignment="1">
      <alignment vertical="center"/>
    </xf>
    <xf numFmtId="2" fontId="42" fillId="0" borderId="12" xfId="0" applyNumberFormat="1" applyFont="1" applyFill="1" applyBorder="1" applyAlignment="1">
      <alignment horizontal="right" vertical="center"/>
    </xf>
    <xf numFmtId="0" fontId="51" fillId="0" borderId="110" xfId="0" applyFont="1" applyFill="1" applyBorder="1" applyAlignment="1">
      <alignment vertical="center"/>
    </xf>
    <xf numFmtId="0" fontId="51" fillId="0" borderId="116" xfId="0" applyFont="1" applyFill="1" applyBorder="1" applyAlignment="1">
      <alignment vertical="center"/>
    </xf>
    <xf numFmtId="2" fontId="49" fillId="0" borderId="108" xfId="0" applyNumberFormat="1" applyFont="1" applyFill="1" applyBorder="1" applyAlignment="1">
      <alignment horizontal="right" vertical="center"/>
    </xf>
    <xf numFmtId="2" fontId="49" fillId="0" borderId="101" xfId="0" applyNumberFormat="1" applyFont="1" applyFill="1" applyBorder="1" applyAlignment="1">
      <alignment horizontal="right" vertical="center"/>
    </xf>
    <xf numFmtId="9" fontId="49" fillId="0" borderId="19" xfId="44" applyFont="1" applyBorder="1" applyAlignment="1">
      <alignment vertical="center"/>
    </xf>
    <xf numFmtId="0" fontId="55" fillId="0" borderId="27" xfId="0" applyFont="1" applyFill="1" applyBorder="1" applyAlignment="1">
      <alignment horizontal="right"/>
    </xf>
    <xf numFmtId="164" fontId="42" fillId="0" borderId="0" xfId="0" applyNumberFormat="1" applyFont="1" applyFill="1" applyBorder="1" applyAlignment="1">
      <alignment horizontal="right" vertical="center"/>
    </xf>
    <xf numFmtId="164" fontId="42" fillId="0" borderId="12" xfId="0" applyNumberFormat="1" applyFont="1" applyFill="1" applyBorder="1" applyAlignment="1">
      <alignment horizontal="right" vertical="center"/>
    </xf>
    <xf numFmtId="0" fontId="88" fillId="0" borderId="13" xfId="0" applyFont="1" applyFill="1" applyBorder="1" applyAlignment="1">
      <alignment vertical="center"/>
    </xf>
    <xf numFmtId="2" fontId="88" fillId="0" borderId="0" xfId="0" applyNumberFormat="1" applyFont="1" applyFill="1" applyBorder="1" applyAlignment="1">
      <alignment vertical="center"/>
    </xf>
    <xf numFmtId="0" fontId="88" fillId="0" borderId="0" xfId="0" applyFont="1" applyFill="1" applyAlignment="1">
      <alignment vertical="center"/>
    </xf>
    <xf numFmtId="0" fontId="88" fillId="0" borderId="0" xfId="0" applyFont="1" applyFill="1" applyBorder="1" applyAlignment="1">
      <alignment vertical="center"/>
    </xf>
    <xf numFmtId="2" fontId="88" fillId="0" borderId="0" xfId="0" applyNumberFormat="1" applyFont="1" applyFill="1" applyAlignment="1">
      <alignment vertical="center"/>
    </xf>
    <xf numFmtId="2" fontId="88" fillId="0" borderId="12" xfId="0" applyNumberFormat="1" applyFont="1" applyFill="1" applyBorder="1" applyAlignment="1">
      <alignment vertical="center"/>
    </xf>
    <xf numFmtId="0" fontId="55" fillId="0" borderId="123" xfId="0" applyFont="1" applyBorder="1"/>
    <xf numFmtId="9" fontId="55" fillId="0" borderId="10" xfId="44" applyFont="1" applyBorder="1"/>
    <xf numFmtId="0" fontId="55" fillId="0" borderId="135" xfId="0" applyFont="1" applyBorder="1"/>
    <xf numFmtId="0" fontId="42" fillId="22" borderId="0" xfId="0" applyFont="1" applyFill="1" applyBorder="1" applyAlignment="1">
      <alignment vertical="center"/>
    </xf>
    <xf numFmtId="0" fontId="0" fillId="0" borderId="12" xfId="0" applyBorder="1"/>
    <xf numFmtId="0" fontId="42" fillId="22" borderId="0" xfId="0" applyFont="1" applyFill="1" applyBorder="1" applyAlignment="1">
      <alignment vertical="center"/>
    </xf>
    <xf numFmtId="0" fontId="47" fillId="23" borderId="0" xfId="0" applyFont="1" applyFill="1" applyBorder="1" applyAlignment="1">
      <alignment horizontal="left" vertical="center" wrapText="1"/>
    </xf>
    <xf numFmtId="0" fontId="65" fillId="35" borderId="62" xfId="0"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42" fillId="22" borderId="0" xfId="0" applyFont="1" applyFill="1" applyBorder="1" applyAlignment="1">
      <alignment vertical="center"/>
    </xf>
    <xf numFmtId="0" fontId="88" fillId="0" borderId="0" xfId="0" applyFont="1" applyBorder="1" applyAlignment="1">
      <alignment vertical="center"/>
    </xf>
    <xf numFmtId="1" fontId="88" fillId="0" borderId="0" xfId="0" applyNumberFormat="1" applyFont="1" applyBorder="1" applyAlignment="1">
      <alignment horizontal="right" vertical="center"/>
    </xf>
    <xf numFmtId="0" fontId="88" fillId="0" borderId="0" xfId="0" applyFont="1" applyAlignment="1">
      <alignment vertical="center"/>
    </xf>
    <xf numFmtId="1" fontId="88" fillId="0" borderId="0" xfId="0" applyNumberFormat="1" applyFont="1" applyAlignment="1">
      <alignment horizontal="right" vertical="center"/>
    </xf>
    <xf numFmtId="2" fontId="55" fillId="23" borderId="12" xfId="0" applyNumberFormat="1" applyFont="1" applyFill="1" applyBorder="1" applyAlignment="1">
      <alignment horizontal="right"/>
    </xf>
    <xf numFmtId="182" fontId="55" fillId="0" borderId="0" xfId="0" applyNumberFormat="1" applyFont="1"/>
    <xf numFmtId="0" fontId="87" fillId="0" borderId="0" xfId="0" applyFont="1" applyFill="1" applyBorder="1" applyAlignment="1">
      <alignment horizontal="right" vertical="center" wrapText="1"/>
    </xf>
    <xf numFmtId="1" fontId="88" fillId="0" borderId="0" xfId="0" applyNumberFormat="1" applyFont="1" applyFill="1" applyAlignment="1">
      <alignment horizontal="right" vertical="center"/>
    </xf>
    <xf numFmtId="0" fontId="20" fillId="0" borderId="0" xfId="0" applyFont="1" applyFill="1" applyBorder="1"/>
    <xf numFmtId="171" fontId="88" fillId="0" borderId="0" xfId="0" applyNumberFormat="1" applyFont="1" applyFill="1" applyBorder="1" applyAlignment="1">
      <alignment horizontal="right" vertical="center"/>
    </xf>
    <xf numFmtId="0" fontId="62" fillId="0" borderId="139" xfId="0" applyFont="1" applyFill="1" applyBorder="1" applyAlignment="1">
      <alignment horizontal="center" vertical="center"/>
    </xf>
    <xf numFmtId="0" fontId="62" fillId="0" borderId="140" xfId="0" applyFont="1" applyFill="1" applyBorder="1" applyAlignment="1">
      <alignment horizontal="center" vertical="center"/>
    </xf>
    <xf numFmtId="0" fontId="42" fillId="0" borderId="136" xfId="0" applyFont="1" applyFill="1" applyBorder="1" applyAlignment="1">
      <alignment vertical="center"/>
    </xf>
    <xf numFmtId="181" fontId="50" fillId="0" borderId="137" xfId="0" applyNumberFormat="1" applyFont="1" applyFill="1" applyBorder="1" applyAlignment="1">
      <alignment horizontal="right" vertical="center"/>
    </xf>
    <xf numFmtId="0" fontId="42" fillId="0" borderId="102" xfId="0" applyFont="1" applyFill="1" applyBorder="1" applyAlignment="1">
      <alignment vertical="center"/>
    </xf>
    <xf numFmtId="1" fontId="49" fillId="0" borderId="138" xfId="0" applyNumberFormat="1" applyFont="1" applyFill="1" applyBorder="1" applyAlignment="1">
      <alignment horizontal="right" vertical="center"/>
    </xf>
    <xf numFmtId="1" fontId="49" fillId="0" borderId="141" xfId="0" applyNumberFormat="1" applyFont="1" applyFill="1" applyBorder="1" applyAlignment="1">
      <alignment horizontal="right" vertical="center"/>
    </xf>
    <xf numFmtId="0" fontId="55" fillId="0" borderId="0" xfId="0" applyFont="1" applyFill="1" applyBorder="1" applyAlignment="1">
      <alignment horizontal="left" vertical="center" wrapText="1"/>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8" xfId="0" applyBorder="1"/>
    <xf numFmtId="0" fontId="0" fillId="0" borderId="0" xfId="0" applyBorder="1" applyAlignment="1">
      <alignment horizontal="right" vertical="center"/>
    </xf>
    <xf numFmtId="0" fontId="0" fillId="58" borderId="142" xfId="0" applyFill="1" applyBorder="1"/>
    <xf numFmtId="183" fontId="0" fillId="29" borderId="143" xfId="0" applyNumberFormat="1" applyFill="1" applyBorder="1" applyAlignment="1">
      <alignment horizontal="left"/>
    </xf>
    <xf numFmtId="0" fontId="0" fillId="58" borderId="142" xfId="0" applyFill="1" applyBorder="1" applyAlignment="1">
      <alignment horizontal="center" vertical="center" textRotation="180"/>
    </xf>
    <xf numFmtId="0" fontId="0" fillId="59" borderId="142" xfId="0" applyFill="1" applyBorder="1" applyAlignment="1">
      <alignment horizontal="center" vertical="center"/>
    </xf>
    <xf numFmtId="0" fontId="0" fillId="58" borderId="143" xfId="0" applyFill="1" applyBorder="1" applyAlignment="1">
      <alignment horizontal="center" vertical="center" wrapText="1"/>
    </xf>
    <xf numFmtId="0" fontId="0" fillId="0" borderId="13" xfId="0" applyBorder="1" applyAlignment="1">
      <alignment horizontal="center"/>
    </xf>
    <xf numFmtId="0" fontId="0" fillId="0" borderId="24" xfId="0" applyBorder="1"/>
    <xf numFmtId="0" fontId="0" fillId="0" borderId="18" xfId="0" applyBorder="1" applyAlignment="1">
      <alignment horizontal="center" vertical="center"/>
    </xf>
    <xf numFmtId="0" fontId="0" fillId="0" borderId="19" xfId="0" applyBorder="1"/>
    <xf numFmtId="0" fontId="0" fillId="0" borderId="124" xfId="0" applyBorder="1"/>
    <xf numFmtId="0" fontId="89" fillId="0" borderId="0" xfId="0" applyFont="1" applyFill="1" applyBorder="1" applyAlignment="1">
      <alignment horizontal="center" vertical="center"/>
    </xf>
    <xf numFmtId="0" fontId="48" fillId="23" borderId="10" xfId="0" applyFont="1" applyFill="1" applyBorder="1" applyAlignment="1">
      <alignment vertical="center"/>
    </xf>
    <xf numFmtId="0" fontId="90" fillId="0" borderId="0" xfId="0" applyFont="1" applyFill="1" applyBorder="1" applyAlignment="1">
      <alignment horizontal="left" vertical="center" wrapText="1"/>
    </xf>
    <xf numFmtId="0" fontId="90" fillId="0" borderId="0" xfId="0" applyFont="1" applyFill="1" applyBorder="1" applyAlignment="1">
      <alignment horizontal="center" vertical="center" wrapText="1"/>
    </xf>
    <xf numFmtId="0" fontId="62" fillId="23" borderId="24" xfId="0" applyFont="1" applyFill="1" applyBorder="1" applyAlignment="1">
      <alignment vertical="center"/>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25" fillId="0" borderId="0" xfId="0" applyFont="1" applyBorder="1" applyAlignment="1">
      <alignment horizontal="center" vertical="center" textRotation="90"/>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23" xfId="0" applyBorder="1"/>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56" fillId="0" borderId="0" xfId="0" applyNumberFormat="1" applyFont="1" applyFill="1" applyAlignment="1">
      <alignment horizontal="center" vertical="center"/>
    </xf>
    <xf numFmtId="0" fontId="42" fillId="22" borderId="0" xfId="0" applyFont="1" applyFill="1" applyBorder="1" applyAlignment="1">
      <alignment vertical="center"/>
    </xf>
    <xf numFmtId="0" fontId="92" fillId="0" borderId="0" xfId="0" applyFont="1" applyFill="1" applyAlignment="1">
      <alignment vertical="center"/>
    </xf>
    <xf numFmtId="1" fontId="92" fillId="0" borderId="0" xfId="0" applyNumberFormat="1" applyFont="1" applyFill="1" applyBorder="1" applyAlignment="1">
      <alignment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42" fillId="0" borderId="0" xfId="0" applyNumberFormat="1"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25"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25" fillId="0" borderId="0" xfId="0" applyFont="1" applyAlignment="1">
      <alignment horizontal="left"/>
    </xf>
    <xf numFmtId="0" fontId="5" fillId="32" borderId="37" xfId="0" applyNumberFormat="1" applyFont="1" applyFill="1" applyBorder="1" applyAlignment="1">
      <alignment horizontal="right" vertical="center"/>
    </xf>
    <xf numFmtId="1" fontId="69" fillId="0" borderId="0" xfId="0" applyNumberFormat="1" applyFont="1" applyFill="1" applyBorder="1" applyAlignment="1">
      <alignment horizontal="right" vertical="center"/>
    </xf>
    <xf numFmtId="0" fontId="42" fillId="22" borderId="0" xfId="0"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3" fillId="0" borderId="133" xfId="0" applyFont="1" applyFill="1" applyBorder="1" applyAlignment="1">
      <alignment vertical="center"/>
    </xf>
    <xf numFmtId="1" fontId="82" fillId="0" borderId="0" xfId="0" applyNumberFormat="1" applyFont="1" applyFill="1" applyBorder="1" applyAlignment="1">
      <alignment horizontal="right" vertical="center"/>
    </xf>
    <xf numFmtId="0" fontId="48" fillId="22" borderId="0" xfId="0" applyFont="1" applyFill="1" applyBorder="1" applyAlignment="1">
      <alignment horizontal="center" vertical="center"/>
    </xf>
    <xf numFmtId="0" fontId="42" fillId="22" borderId="0" xfId="0" applyFont="1" applyFill="1" applyBorder="1" applyAlignment="1">
      <alignmen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 fillId="38" borderId="43" xfId="0" applyFont="1" applyFill="1" applyBorder="1" applyAlignment="1">
      <alignment vertical="center"/>
    </xf>
    <xf numFmtId="0" fontId="4" fillId="34" borderId="43" xfId="0" applyFont="1" applyFill="1" applyBorder="1" applyAlignment="1">
      <alignment vertical="center"/>
    </xf>
    <xf numFmtId="0" fontId="4" fillId="34" borderId="36" xfId="0" applyFont="1" applyFill="1" applyBorder="1" applyAlignment="1">
      <alignment vertical="center"/>
    </xf>
    <xf numFmtId="0" fontId="42" fillId="0" borderId="144" xfId="0" applyFont="1" applyBorder="1" applyAlignment="1">
      <alignment vertical="center"/>
    </xf>
    <xf numFmtId="0" fontId="93" fillId="0" borderId="13" xfId="0" applyFont="1" applyFill="1" applyBorder="1" applyAlignment="1">
      <alignment vertical="center"/>
    </xf>
    <xf numFmtId="0" fontId="42" fillId="0" borderId="0" xfId="0" applyNumberFormat="1" applyFont="1" applyFill="1" applyBorder="1" applyAlignment="1">
      <alignment horizontal="left" vertical="center"/>
    </xf>
    <xf numFmtId="0" fontId="49" fillId="0" borderId="0" xfId="0" applyNumberFormat="1" applyFont="1" applyFill="1" applyBorder="1" applyAlignment="1">
      <alignment horizontal="right" vertical="center"/>
    </xf>
    <xf numFmtId="0" fontId="95" fillId="0" borderId="13" xfId="0" applyFont="1" applyFill="1" applyBorder="1" applyAlignment="1">
      <alignment horizontal="center" vertical="center"/>
    </xf>
    <xf numFmtId="0" fontId="57" fillId="0" borderId="12" xfId="44" applyNumberFormat="1" applyFont="1" applyBorder="1"/>
    <xf numFmtId="171" fontId="42" fillId="0" borderId="0" xfId="0" quotePrefix="1" applyNumberFormat="1" applyFont="1" applyFill="1" applyAlignment="1">
      <alignment horizontal="right" vertical="center"/>
    </xf>
    <xf numFmtId="0" fontId="94" fillId="0" borderId="0" xfId="0" applyFont="1" applyFill="1" applyBorder="1" applyAlignment="1">
      <alignment vertical="center"/>
    </xf>
    <xf numFmtId="167" fontId="94" fillId="0" borderId="0" xfId="0" applyNumberFormat="1" applyFont="1" applyFill="1" applyBorder="1" applyAlignment="1">
      <alignment horizontal="right" vertical="center"/>
    </xf>
    <xf numFmtId="0" fontId="65" fillId="37" borderId="61" xfId="0" applyFont="1" applyFill="1" applyBorder="1" applyAlignment="1">
      <alignment vertical="center"/>
    </xf>
    <xf numFmtId="1" fontId="4" fillId="34" borderId="35" xfId="0" applyNumberFormat="1" applyFont="1" applyFill="1" applyBorder="1" applyAlignment="1">
      <alignment vertical="center"/>
    </xf>
    <xf numFmtId="0" fontId="4" fillId="34" borderId="60" xfId="0" applyFont="1" applyFill="1" applyBorder="1" applyAlignment="1">
      <alignment vertical="center"/>
    </xf>
    <xf numFmtId="0" fontId="4" fillId="38" borderId="35" xfId="0" applyFont="1" applyFill="1" applyBorder="1" applyAlignment="1">
      <alignment horizontal="right" vertical="center"/>
    </xf>
    <xf numFmtId="9" fontId="4" fillId="38" borderId="35" xfId="0" applyNumberFormat="1" applyFont="1" applyFill="1" applyBorder="1" applyAlignment="1">
      <alignment vertical="center"/>
    </xf>
    <xf numFmtId="167" fontId="94" fillId="0" borderId="0" xfId="0" quotePrefix="1" applyNumberFormat="1" applyFont="1" applyFill="1" applyBorder="1" applyAlignment="1">
      <alignment horizontal="right" vertical="center"/>
    </xf>
    <xf numFmtId="2" fontId="51" fillId="0" borderId="0" xfId="0" applyNumberFormat="1"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167" fontId="42" fillId="0" borderId="0" xfId="0" applyNumberFormat="1" applyFont="1" applyBorder="1" applyAlignment="1">
      <alignment horizontal="right" vertical="center"/>
    </xf>
    <xf numFmtId="0" fontId="55" fillId="0" borderId="22" xfId="0" applyFont="1" applyBorder="1"/>
    <xf numFmtId="9" fontId="55" fillId="0" borderId="20" xfId="44" applyFont="1" applyBorder="1"/>
    <xf numFmtId="1" fontId="42" fillId="22" borderId="0" xfId="0" applyNumberFormat="1"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6" fillId="0" borderId="0" xfId="0" applyFont="1" applyFill="1" applyBorder="1" applyAlignment="1">
      <alignment vertical="center"/>
    </xf>
    <xf numFmtId="0" fontId="96" fillId="0" borderId="0" xfId="0" applyFont="1" applyFill="1" applyAlignment="1">
      <alignment vertical="center"/>
    </xf>
    <xf numFmtId="1" fontId="96" fillId="0" borderId="0" xfId="0" quotePrefix="1" applyNumberFormat="1" applyFont="1" applyFill="1" applyAlignment="1">
      <alignment horizontal="right" vertical="center"/>
    </xf>
    <xf numFmtId="1" fontId="96" fillId="0" borderId="0" xfId="0" applyNumberFormat="1" applyFont="1" applyFill="1" applyBorder="1" applyAlignment="1">
      <alignment horizontal="right" vertical="center"/>
    </xf>
    <xf numFmtId="1" fontId="96" fillId="0" borderId="0" xfId="0" applyNumberFormat="1" applyFont="1" applyFill="1" applyAlignment="1">
      <alignment horizontal="right" vertical="center"/>
    </xf>
    <xf numFmtId="0" fontId="96" fillId="0" borderId="0" xfId="0" applyFont="1" applyBorder="1" applyAlignment="1">
      <alignment vertical="center"/>
    </xf>
    <xf numFmtId="1" fontId="96" fillId="0" borderId="0" xfId="0" applyNumberFormat="1" applyFont="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0" borderId="12" xfId="0"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0" fillId="58" borderId="142" xfId="0" applyFill="1" applyBorder="1" applyAlignment="1">
      <alignment horizontal="center" vertical="center" wrapText="1"/>
    </xf>
    <xf numFmtId="0" fontId="55" fillId="0" borderId="123" xfId="0" applyFont="1" applyBorder="1"/>
    <xf numFmtId="0" fontId="55" fillId="23" borderId="0" xfId="0" applyFont="1" applyFill="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45" xfId="0" applyFont="1" applyBorder="1"/>
    <xf numFmtId="0" fontId="55" fillId="0" borderId="146" xfId="0" applyFont="1" applyBorder="1"/>
    <xf numFmtId="0" fontId="0" fillId="0" borderId="12" xfId="0" applyBorder="1" applyAlignment="1">
      <alignment vertical="center" wrapText="1"/>
    </xf>
    <xf numFmtId="0" fontId="0" fillId="0" borderId="0" xfId="0" applyAlignment="1">
      <alignmen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97" fillId="0" borderId="96" xfId="0" applyFont="1" applyBorder="1" applyAlignment="1">
      <alignment vertical="center"/>
    </xf>
    <xf numFmtId="0" fontId="97" fillId="0" borderId="131" xfId="0" applyFont="1" applyBorder="1" applyAlignment="1">
      <alignment horizontal="right" vertical="center"/>
    </xf>
    <xf numFmtId="0" fontId="42" fillId="0" borderId="0" xfId="0" applyFont="1" applyFill="1" applyBorder="1" applyAlignment="1">
      <alignment horizontal="center" vertical="top" wrapText="1"/>
    </xf>
    <xf numFmtId="0" fontId="98" fillId="0" borderId="0" xfId="0" applyFont="1" applyFill="1" applyBorder="1" applyAlignment="1">
      <alignment horizontal="left" vertical="top" wrapText="1"/>
    </xf>
    <xf numFmtId="0" fontId="42" fillId="0" borderId="94" xfId="0" applyFont="1" applyFill="1" applyBorder="1" applyAlignment="1">
      <alignment vertical="center"/>
    </xf>
    <xf numFmtId="2" fontId="42" fillId="0" borderId="0" xfId="0" applyNumberFormat="1" applyFont="1" applyFill="1" applyAlignment="1">
      <alignment vertical="center"/>
    </xf>
    <xf numFmtId="0" fontId="0" fillId="0" borderId="0" xfId="0" applyBorder="1"/>
    <xf numFmtId="0" fontId="0" fillId="0" borderId="12" xfId="0" applyBorder="1"/>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0" xfId="0" applyFont="1" applyFill="1" applyBorder="1" applyAlignment="1">
      <alignment vertical="center"/>
    </xf>
    <xf numFmtId="0" fontId="0" fillId="0" borderId="0" xfId="0" applyBorder="1"/>
    <xf numFmtId="0" fontId="0" fillId="0" borderId="12" xfId="0" applyBorder="1"/>
    <xf numFmtId="0" fontId="55" fillId="0" borderId="0" xfId="0" applyFont="1" applyFill="1" applyBorder="1" applyAlignment="1">
      <alignment horizontal="left" vertical="center"/>
    </xf>
    <xf numFmtId="0" fontId="51" fillId="38" borderId="54" xfId="0" applyFont="1" applyFill="1" applyBorder="1" applyAlignment="1">
      <alignment vertical="center"/>
    </xf>
    <xf numFmtId="0" fontId="51" fillId="34" borderId="54" xfId="0" applyFont="1" applyFill="1" applyBorder="1" applyAlignment="1">
      <alignment vertical="center"/>
    </xf>
    <xf numFmtId="2" fontId="51" fillId="38" borderId="41" xfId="0" applyNumberFormat="1" applyFont="1" applyFill="1" applyBorder="1" applyAlignment="1">
      <alignment vertical="center"/>
    </xf>
    <xf numFmtId="2" fontId="51" fillId="34" borderId="41" xfId="0" applyNumberFormat="1" applyFont="1" applyFill="1" applyBorder="1" applyAlignment="1">
      <alignment vertical="center"/>
    </xf>
    <xf numFmtId="2" fontId="55" fillId="0" borderId="0" xfId="0" applyNumberFormat="1" applyFont="1" applyFill="1" applyBorder="1" applyAlignment="1">
      <alignment horizontal="right" vertical="center"/>
    </xf>
    <xf numFmtId="0" fontId="65" fillId="0" borderId="0" xfId="0" applyFont="1" applyFill="1" applyBorder="1" applyAlignment="1">
      <alignment horizontal="center" vertical="center"/>
    </xf>
    <xf numFmtId="2" fontId="55" fillId="0" borderId="0" xfId="0" applyNumberFormat="1" applyFont="1" applyFill="1" applyBorder="1" applyAlignment="1">
      <alignment horizontal="center" vertical="center"/>
    </xf>
    <xf numFmtId="0" fontId="65" fillId="37" borderId="69" xfId="0" applyNumberFormat="1" applyFont="1" applyFill="1" applyBorder="1" applyAlignment="1">
      <alignment horizontal="center" vertical="center"/>
    </xf>
    <xf numFmtId="0" fontId="65" fillId="0" borderId="13" xfId="0" applyFont="1" applyFill="1" applyBorder="1" applyAlignment="1">
      <alignment horizontal="left" vertical="center"/>
    </xf>
    <xf numFmtId="0" fontId="65" fillId="0" borderId="13" xfId="0" applyFont="1" applyFill="1" applyBorder="1" applyAlignment="1">
      <alignment horizontal="center" vertical="center"/>
    </xf>
    <xf numFmtId="2" fontId="55" fillId="0" borderId="12" xfId="0" applyNumberFormat="1" applyFont="1" applyFill="1" applyBorder="1" applyAlignment="1">
      <alignment horizontal="right" vertical="center"/>
    </xf>
    <xf numFmtId="0" fontId="65" fillId="37" borderId="106" xfId="0" applyFont="1" applyFill="1" applyBorder="1" applyAlignment="1">
      <alignment horizontal="center" vertical="center"/>
    </xf>
    <xf numFmtId="0" fontId="100" fillId="37" borderId="69" xfId="0" applyNumberFormat="1" applyFont="1" applyFill="1" applyBorder="1" applyAlignment="1">
      <alignment horizontal="left" vertical="center"/>
    </xf>
    <xf numFmtId="0" fontId="100" fillId="37" borderId="61" xfId="0" applyNumberFormat="1" applyFont="1" applyFill="1" applyBorder="1" applyAlignment="1">
      <alignment horizontal="left" vertical="center"/>
    </xf>
    <xf numFmtId="0" fontId="100" fillId="37" borderId="95" xfId="0" applyNumberFormat="1" applyFont="1" applyFill="1" applyBorder="1" applyAlignment="1">
      <alignment horizontal="left" vertical="center"/>
    </xf>
    <xf numFmtId="0" fontId="100" fillId="0" borderId="0" xfId="0" applyFont="1" applyFill="1" applyBorder="1" applyAlignment="1">
      <alignment horizontal="center" vertical="center"/>
    </xf>
    <xf numFmtId="0" fontId="101" fillId="0" borderId="13" xfId="0" applyFont="1" applyFill="1" applyBorder="1" applyAlignment="1">
      <alignment vertical="center"/>
    </xf>
    <xf numFmtId="0" fontId="101" fillId="0" borderId="24" xfId="0" applyFont="1" applyFill="1" applyBorder="1" applyAlignment="1">
      <alignment vertical="center"/>
    </xf>
    <xf numFmtId="0" fontId="101" fillId="0" borderId="122" xfId="0" applyFont="1" applyFill="1" applyBorder="1" applyAlignment="1">
      <alignment vertical="center"/>
    </xf>
    <xf numFmtId="0" fontId="101" fillId="0" borderId="104" xfId="0" applyFont="1" applyFill="1" applyBorder="1" applyAlignment="1">
      <alignment vertical="center"/>
    </xf>
    <xf numFmtId="0" fontId="101" fillId="0" borderId="129" xfId="0" applyFont="1" applyFill="1" applyBorder="1" applyAlignment="1">
      <alignment vertical="center"/>
    </xf>
    <xf numFmtId="0" fontId="101" fillId="0" borderId="113" xfId="0" applyFont="1" applyFill="1" applyBorder="1" applyAlignment="1">
      <alignment vertical="center"/>
    </xf>
    <xf numFmtId="0" fontId="52" fillId="0" borderId="0" xfId="0" applyFont="1" applyFill="1" applyBorder="1" applyAlignment="1">
      <alignment horizontal="right" vertical="center"/>
    </xf>
    <xf numFmtId="0" fontId="49" fillId="0" borderId="18" xfId="0" applyFont="1" applyBorder="1" applyAlignment="1">
      <alignment vertical="center"/>
    </xf>
    <xf numFmtId="0" fontId="1" fillId="0" borderId="54" xfId="0" applyFont="1" applyFill="1" applyBorder="1" applyAlignment="1">
      <alignment horizontal="left" vertical="center"/>
    </xf>
    <xf numFmtId="0" fontId="1" fillId="0" borderId="13" xfId="0" applyFont="1" applyFill="1" applyBorder="1" applyAlignment="1">
      <alignment horizontal="left" vertical="center"/>
    </xf>
    <xf numFmtId="2" fontId="1" fillId="0" borderId="41" xfId="0" applyNumberFormat="1" applyFont="1" applyFill="1" applyBorder="1" applyAlignment="1">
      <alignment horizontal="right" vertical="center"/>
    </xf>
    <xf numFmtId="2" fontId="1" fillId="0" borderId="0" xfId="0" applyNumberFormat="1" applyFont="1" applyFill="1" applyBorder="1" applyAlignment="1">
      <alignment horizontal="right" vertical="center"/>
    </xf>
    <xf numFmtId="0" fontId="51" fillId="0" borderId="0" xfId="0" applyFont="1" applyFill="1" applyAlignment="1">
      <alignment vertical="center"/>
    </xf>
    <xf numFmtId="0" fontId="52" fillId="0" borderId="12" xfId="0" applyFont="1" applyFill="1" applyBorder="1" applyAlignment="1">
      <alignment horizontal="right" vertical="center"/>
    </xf>
    <xf numFmtId="0" fontId="1" fillId="0" borderId="43" xfId="0" applyFont="1" applyFill="1" applyBorder="1" applyAlignment="1">
      <alignment horizontal="left" vertical="center"/>
    </xf>
    <xf numFmtId="0" fontId="1" fillId="0" borderId="0" xfId="0" applyFont="1" applyFill="1" applyBorder="1" applyAlignment="1">
      <alignment horizontal="left" vertical="center"/>
    </xf>
    <xf numFmtId="0" fontId="100" fillId="37" borderId="70" xfId="0" applyNumberFormat="1" applyFont="1" applyFill="1" applyBorder="1" applyAlignment="1">
      <alignment horizontal="left" vertical="center"/>
    </xf>
    <xf numFmtId="0" fontId="51" fillId="32" borderId="43" xfId="0" applyFont="1" applyFill="1" applyBorder="1"/>
    <xf numFmtId="2" fontId="51" fillId="33" borderId="31" xfId="0" applyNumberFormat="1" applyFont="1" applyFill="1" applyBorder="1"/>
    <xf numFmtId="184" fontId="51" fillId="32" borderId="41" xfId="0" applyNumberFormat="1" applyFont="1" applyFill="1" applyBorder="1"/>
    <xf numFmtId="0" fontId="51" fillId="33" borderId="36" xfId="0" applyFont="1" applyFill="1" applyBorder="1"/>
    <xf numFmtId="167" fontId="51" fillId="32" borderId="41" xfId="0" applyNumberFormat="1" applyFont="1" applyFill="1" applyBorder="1" applyAlignment="1">
      <alignment horizontal="right"/>
    </xf>
    <xf numFmtId="0" fontId="99" fillId="0" borderId="0" xfId="0" applyFont="1" applyFill="1" applyBorder="1" applyAlignment="1">
      <alignment horizontal="right" vertical="center" wrapText="1"/>
    </xf>
    <xf numFmtId="0" fontId="101" fillId="0" borderId="72" xfId="0" applyFont="1" applyFill="1" applyBorder="1" applyAlignment="1">
      <alignment vertical="center"/>
    </xf>
    <xf numFmtId="0" fontId="51" fillId="0" borderId="45" xfId="0" applyFont="1" applyFill="1" applyBorder="1" applyAlignment="1">
      <alignment vertical="center"/>
    </xf>
    <xf numFmtId="0" fontId="101" fillId="0" borderId="38" xfId="0" applyFont="1" applyFill="1" applyBorder="1" applyAlignment="1">
      <alignment vertical="center"/>
    </xf>
    <xf numFmtId="171" fontId="42" fillId="0" borderId="12" xfId="0" applyNumberFormat="1"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55" fillId="0" borderId="20" xfId="0" applyFont="1" applyBorder="1" applyAlignment="1">
      <alignment horizontal="center"/>
    </xf>
    <xf numFmtId="0" fontId="55" fillId="0" borderId="10" xfId="0" applyFont="1" applyBorder="1" applyAlignment="1">
      <alignment horizontal="center"/>
    </xf>
    <xf numFmtId="0" fontId="55" fillId="0" borderId="135" xfId="0" applyFont="1" applyBorder="1" applyAlignment="1">
      <alignment horizontal="center"/>
    </xf>
    <xf numFmtId="2" fontId="42" fillId="0" borderId="12" xfId="0" applyNumberFormat="1" applyFont="1" applyFill="1" applyBorder="1" applyAlignment="1">
      <alignment vertical="center"/>
    </xf>
    <xf numFmtId="0" fontId="55" fillId="0" borderId="0" xfId="0" applyFont="1" applyFill="1" applyBorder="1" applyAlignment="1">
      <alignment horizontal="left" vertical="center" wrapText="1"/>
    </xf>
    <xf numFmtId="0" fontId="25" fillId="0" borderId="122" xfId="0" applyFont="1" applyBorder="1" applyAlignment="1">
      <alignment horizontal="center" vertical="center" textRotation="90"/>
    </xf>
    <xf numFmtId="0" fontId="0" fillId="0" borderId="0" xfId="0" applyBorder="1"/>
    <xf numFmtId="0" fontId="0" fillId="0" borderId="12" xfId="0" applyBorder="1"/>
    <xf numFmtId="0" fontId="42" fillId="0" borderId="0" xfId="0" applyFont="1" applyBorder="1"/>
    <xf numFmtId="0" fontId="66" fillId="0" borderId="22" xfId="0" applyFont="1" applyBorder="1" applyAlignment="1">
      <alignment horizontal="left"/>
    </xf>
    <xf numFmtId="0" fontId="66" fillId="0" borderId="16" xfId="0" applyFont="1" applyBorder="1" applyAlignment="1">
      <alignment horizontal="left"/>
    </xf>
    <xf numFmtId="0" fontId="66" fillId="0" borderId="21" xfId="0" applyFont="1" applyBorder="1" applyAlignment="1">
      <alignment horizontal="left"/>
    </xf>
    <xf numFmtId="0" fontId="42" fillId="36" borderId="13" xfId="0" applyFont="1" applyFill="1" applyBorder="1" applyAlignment="1">
      <alignment horizontal="left" vertical="top" wrapText="1"/>
    </xf>
    <xf numFmtId="0" fontId="42" fillId="36" borderId="0" xfId="0" applyFont="1" applyFill="1" applyBorder="1" applyAlignment="1">
      <alignment horizontal="left" vertical="top" wrapText="1"/>
    </xf>
    <xf numFmtId="0" fontId="42" fillId="36" borderId="12" xfId="0" applyFont="1" applyFill="1" applyBorder="1" applyAlignment="1">
      <alignment horizontal="left" vertical="top" wrapText="1"/>
    </xf>
    <xf numFmtId="0" fontId="62" fillId="25" borderId="13" xfId="0" applyFont="1" applyFill="1" applyBorder="1" applyAlignment="1">
      <alignment horizontal="center" vertical="center"/>
    </xf>
    <xf numFmtId="0" fontId="62" fillId="25" borderId="0" xfId="0" applyFont="1" applyFill="1" applyBorder="1" applyAlignment="1">
      <alignment horizontal="center" vertical="center"/>
    </xf>
    <xf numFmtId="0" fontId="62" fillId="25" borderId="12" xfId="0" applyFont="1" applyFill="1" applyBorder="1" applyAlignment="1">
      <alignment horizontal="center" vertical="center"/>
    </xf>
    <xf numFmtId="0" fontId="62" fillId="24" borderId="13" xfId="0" applyFont="1" applyFill="1" applyBorder="1" applyAlignment="1">
      <alignment vertical="center"/>
    </xf>
    <xf numFmtId="0" fontId="63" fillId="24" borderId="0" xfId="0" applyFont="1" applyFill="1" applyBorder="1" applyAlignment="1">
      <alignment vertical="center"/>
    </xf>
    <xf numFmtId="0" fontId="63" fillId="24" borderId="12" xfId="0" applyFont="1" applyFill="1" applyBorder="1" applyAlignment="1">
      <alignment vertical="center"/>
    </xf>
    <xf numFmtId="0" fontId="42" fillId="23" borderId="13" xfId="0" applyFont="1" applyFill="1" applyBorder="1" applyAlignment="1">
      <alignment horizontal="lef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65" fillId="24" borderId="13" xfId="0" applyFont="1" applyFill="1" applyBorder="1" applyAlignment="1">
      <alignment vertical="center"/>
    </xf>
    <xf numFmtId="0" fontId="47" fillId="24" borderId="0" xfId="0" applyFont="1" applyFill="1" applyBorder="1" applyAlignment="1">
      <alignment vertical="center"/>
    </xf>
    <xf numFmtId="0" fontId="47" fillId="24" borderId="12" xfId="0" applyFont="1" applyFill="1" applyBorder="1" applyAlignment="1">
      <alignment vertical="center"/>
    </xf>
    <xf numFmtId="0" fontId="42" fillId="23" borderId="13" xfId="0" applyFont="1" applyFill="1" applyBorder="1" applyAlignment="1">
      <alignment horizontal="left" vertical="center" wrapText="1"/>
    </xf>
    <xf numFmtId="0" fontId="42" fillId="23" borderId="0" xfId="0" applyFont="1" applyFill="1" applyBorder="1" applyAlignment="1">
      <alignment horizontal="left" vertical="center" wrapText="1"/>
    </xf>
    <xf numFmtId="0" fontId="42" fillId="23" borderId="12" xfId="0" applyFont="1" applyFill="1" applyBorder="1" applyAlignment="1">
      <alignment horizontal="left" vertical="center" wrapText="1"/>
    </xf>
    <xf numFmtId="0" fontId="55" fillId="0" borderId="13"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8" fillId="0" borderId="13" xfId="0" applyFont="1" applyFill="1" applyBorder="1" applyAlignment="1">
      <alignment horizontal="left" vertical="center"/>
    </xf>
    <xf numFmtId="0" fontId="48" fillId="0" borderId="0" xfId="0" applyFont="1" applyFill="1" applyBorder="1" applyAlignment="1">
      <alignment horizontal="left" vertical="center"/>
    </xf>
    <xf numFmtId="0" fontId="48" fillId="0" borderId="12" xfId="0" applyFont="1" applyFill="1" applyBorder="1" applyAlignment="1">
      <alignment horizontal="left" vertical="center"/>
    </xf>
    <xf numFmtId="0" fontId="62" fillId="25" borderId="130" xfId="0" applyFont="1" applyFill="1" applyBorder="1" applyAlignment="1">
      <alignment horizontal="center" vertical="center" wrapText="1"/>
    </xf>
    <xf numFmtId="0" fontId="62" fillId="25" borderId="29" xfId="0" applyFont="1" applyFill="1" applyBorder="1" applyAlignment="1">
      <alignment horizontal="center" vertical="center" wrapText="1"/>
    </xf>
    <xf numFmtId="0" fontId="42" fillId="23" borderId="13" xfId="0" applyFont="1" applyFill="1" applyBorder="1" applyAlignment="1">
      <alignment horizontal="left" vertical="top" wrapText="1"/>
    </xf>
    <xf numFmtId="0" fontId="42" fillId="23" borderId="0" xfId="0" applyFont="1" applyFill="1" applyBorder="1" applyAlignment="1">
      <alignment horizontal="left" vertical="top" wrapText="1"/>
    </xf>
    <xf numFmtId="0" fontId="42" fillId="23" borderId="12" xfId="0" applyFont="1" applyFill="1" applyBorder="1" applyAlignment="1">
      <alignment horizontal="left" vertical="top" wrapText="1"/>
    </xf>
    <xf numFmtId="0" fontId="47" fillId="0" borderId="0" xfId="0" applyFont="1" applyFill="1" applyBorder="1" applyAlignment="1">
      <alignment horizontal="lef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62" fillId="24" borderId="24" xfId="0" applyFont="1" applyFill="1" applyBorder="1" applyAlignment="1">
      <alignment vertical="center"/>
    </xf>
    <xf numFmtId="0" fontId="62" fillId="24" borderId="18" xfId="0" applyFont="1" applyFill="1" applyBorder="1" applyAlignment="1">
      <alignment vertical="center"/>
    </xf>
    <xf numFmtId="0" fontId="48" fillId="22" borderId="13" xfId="0" applyFont="1" applyFill="1" applyBorder="1" applyAlignment="1">
      <alignment horizontal="left" vertical="center"/>
    </xf>
    <xf numFmtId="0" fontId="48" fillId="22" borderId="0" xfId="0" applyFont="1" applyFill="1" applyBorder="1" applyAlignment="1">
      <alignment horizontal="left" vertical="center"/>
    </xf>
    <xf numFmtId="0" fontId="48" fillId="22" borderId="12" xfId="0" applyFont="1" applyFill="1" applyBorder="1" applyAlignment="1">
      <alignment horizontal="left" vertical="center"/>
    </xf>
    <xf numFmtId="0" fontId="64" fillId="0" borderId="23" xfId="0" applyFont="1" applyBorder="1" applyAlignment="1">
      <alignment horizontal="left" vertical="center"/>
    </xf>
    <xf numFmtId="0" fontId="48" fillId="22" borderId="13" xfId="0" applyFont="1" applyFill="1" applyBorder="1" applyAlignment="1">
      <alignment horizontal="left" vertical="top" wrapText="1"/>
    </xf>
    <xf numFmtId="0" fontId="48" fillId="22" borderId="0" xfId="0" applyFont="1" applyFill="1" applyBorder="1" applyAlignment="1">
      <alignment horizontal="left" vertical="top" wrapText="1"/>
    </xf>
    <xf numFmtId="0" fontId="48" fillId="22" borderId="12" xfId="0" applyFont="1" applyFill="1" applyBorder="1" applyAlignment="1">
      <alignment horizontal="left" vertical="top" wrapText="1"/>
    </xf>
    <xf numFmtId="0" fontId="34" fillId="22" borderId="13" xfId="0" applyFont="1" applyFill="1" applyBorder="1" applyAlignment="1">
      <alignment horizontal="left" vertical="center"/>
    </xf>
    <xf numFmtId="0" fontId="0" fillId="0" borderId="0" xfId="0" applyBorder="1"/>
    <xf numFmtId="0" fontId="0" fillId="0" borderId="12" xfId="0" applyBorder="1"/>
    <xf numFmtId="0" fontId="34" fillId="22" borderId="13" xfId="0" applyFont="1" applyFill="1" applyBorder="1" applyAlignment="1">
      <alignment horizontal="left" vertical="center" wrapText="1"/>
    </xf>
    <xf numFmtId="0" fontId="48" fillId="22" borderId="13" xfId="0" applyFont="1" applyFill="1" applyBorder="1" applyAlignment="1">
      <alignment vertical="center" wrapText="1"/>
    </xf>
    <xf numFmtId="0" fontId="42" fillId="22" borderId="0" xfId="0" applyFont="1" applyFill="1" applyBorder="1" applyAlignment="1">
      <alignment vertical="center" wrapText="1"/>
    </xf>
    <xf numFmtId="0" fontId="42" fillId="0" borderId="0" xfId="0" applyFont="1" applyBorder="1"/>
    <xf numFmtId="0" fontId="42" fillId="0" borderId="12" xfId="0" applyFont="1" applyBorder="1"/>
    <xf numFmtId="0" fontId="34" fillId="22" borderId="24" xfId="0" applyFont="1" applyFill="1" applyBorder="1" applyAlignment="1">
      <alignment vertical="center"/>
    </xf>
    <xf numFmtId="0" fontId="42" fillId="0" borderId="18" xfId="0" applyFont="1" applyBorder="1"/>
    <xf numFmtId="0" fontId="34" fillId="22" borderId="0" xfId="0" applyFont="1" applyFill="1" applyBorder="1" applyAlignment="1">
      <alignment horizontal="left" vertical="center"/>
    </xf>
    <xf numFmtId="0" fontId="48" fillId="22" borderId="24" xfId="0" applyFont="1" applyFill="1" applyBorder="1" applyAlignment="1">
      <alignment horizontal="left" vertical="center"/>
    </xf>
    <xf numFmtId="0" fontId="48" fillId="22" borderId="18" xfId="0" applyFont="1" applyFill="1" applyBorder="1" applyAlignment="1">
      <alignment horizontal="left" vertical="center"/>
    </xf>
    <xf numFmtId="0" fontId="48" fillId="22" borderId="19" xfId="0" applyFont="1" applyFill="1" applyBorder="1" applyAlignment="1">
      <alignment horizontal="left" vertical="center"/>
    </xf>
    <xf numFmtId="0" fontId="48" fillId="22" borderId="13" xfId="0" applyFont="1" applyFill="1" applyBorder="1" applyAlignment="1">
      <alignment horizontal="left" vertical="center" wrapText="1"/>
    </xf>
    <xf numFmtId="0" fontId="48" fillId="22" borderId="0" xfId="0" applyFont="1" applyFill="1" applyBorder="1" applyAlignment="1">
      <alignment horizontal="left" vertical="center" wrapText="1"/>
    </xf>
    <xf numFmtId="0" fontId="48" fillId="22" borderId="12" xfId="0" applyFont="1" applyFill="1" applyBorder="1" applyAlignment="1">
      <alignment horizontal="left" vertical="center" wrapText="1"/>
    </xf>
    <xf numFmtId="0" fontId="62" fillId="27" borderId="73" xfId="0" applyFont="1" applyFill="1" applyBorder="1" applyAlignment="1">
      <alignment horizontal="left" vertical="center"/>
    </xf>
    <xf numFmtId="0" fontId="62" fillId="27" borderId="40" xfId="0" applyFont="1" applyFill="1" applyBorder="1" applyAlignment="1">
      <alignment horizontal="left" vertical="center"/>
    </xf>
    <xf numFmtId="0" fontId="62" fillId="27" borderId="74" xfId="0" applyFont="1" applyFill="1" applyBorder="1" applyAlignment="1">
      <alignment horizontal="left" vertical="center"/>
    </xf>
    <xf numFmtId="0" fontId="62" fillId="27" borderId="0" xfId="0" applyFont="1" applyFill="1" applyBorder="1" applyAlignment="1">
      <alignment vertical="center"/>
    </xf>
    <xf numFmtId="0" fontId="63" fillId="27" borderId="0" xfId="0" applyFont="1" applyFill="1" applyBorder="1" applyAlignment="1">
      <alignment vertical="center"/>
    </xf>
    <xf numFmtId="0" fontId="42" fillId="29" borderId="75" xfId="0" applyFont="1" applyFill="1" applyBorder="1" applyAlignment="1">
      <alignment horizontal="left" vertical="center" wrapText="1"/>
    </xf>
    <xf numFmtId="0" fontId="42" fillId="29" borderId="39" xfId="0" applyFont="1" applyFill="1" applyBorder="1" applyAlignment="1">
      <alignment horizontal="left" vertical="center" wrapText="1"/>
    </xf>
    <xf numFmtId="0" fontId="42" fillId="29" borderId="76" xfId="0" applyFont="1" applyFill="1" applyBorder="1" applyAlignment="1">
      <alignment horizontal="left" vertical="center" wrapText="1"/>
    </xf>
    <xf numFmtId="0" fontId="42" fillId="29" borderId="13" xfId="0" applyFont="1" applyFill="1" applyBorder="1" applyAlignment="1">
      <alignment horizontal="left" vertical="center" wrapText="1"/>
    </xf>
    <xf numFmtId="0" fontId="42" fillId="29" borderId="0" xfId="0" applyFont="1" applyFill="1" applyBorder="1" applyAlignment="1">
      <alignment horizontal="left" vertical="center" wrapText="1"/>
    </xf>
    <xf numFmtId="0" fontId="42" fillId="29" borderId="12" xfId="0" applyFont="1" applyFill="1" applyBorder="1" applyAlignment="1">
      <alignment horizontal="left" vertical="center" wrapText="1"/>
    </xf>
    <xf numFmtId="0" fontId="62" fillId="27" borderId="13" xfId="0" applyFont="1" applyFill="1" applyBorder="1" applyAlignment="1">
      <alignment vertical="center"/>
    </xf>
    <xf numFmtId="0" fontId="63" fillId="27" borderId="12" xfId="0" applyFont="1" applyFill="1" applyBorder="1" applyAlignment="1">
      <alignment vertical="center"/>
    </xf>
    <xf numFmtId="0" fontId="47" fillId="23" borderId="0" xfId="0" applyFont="1" applyFill="1" applyBorder="1" applyAlignment="1">
      <alignment vertical="center" wrapText="1"/>
    </xf>
    <xf numFmtId="0" fontId="42" fillId="0" borderId="0" xfId="0" applyFont="1" applyAlignment="1">
      <alignment horizontal="left" vertical="center" wrapText="1"/>
    </xf>
    <xf numFmtId="0" fontId="63" fillId="0" borderId="0" xfId="0" applyFont="1" applyAlignment="1">
      <alignment horizontal="left" vertical="center" wrapText="1"/>
    </xf>
    <xf numFmtId="0" fontId="56" fillId="22" borderId="13" xfId="0" applyFont="1" applyFill="1" applyBorder="1" applyAlignment="1">
      <alignment horizontal="lef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65" fillId="26" borderId="0" xfId="0" applyFont="1" applyFill="1" applyBorder="1" applyAlignment="1">
      <alignment horizontal="left" vertical="center"/>
    </xf>
    <xf numFmtId="0" fontId="65" fillId="27" borderId="0" xfId="0" applyFont="1" applyFill="1" applyBorder="1" applyAlignment="1">
      <alignment horizontal="left" vertical="center"/>
    </xf>
    <xf numFmtId="0" fontId="65" fillId="27" borderId="13" xfId="0" applyFont="1" applyFill="1" applyBorder="1" applyAlignment="1">
      <alignment horizontal="left" vertical="center"/>
    </xf>
    <xf numFmtId="0" fontId="65" fillId="27" borderId="12" xfId="0" applyFont="1" applyFill="1" applyBorder="1" applyAlignment="1">
      <alignment horizontal="left" vertical="center"/>
    </xf>
    <xf numFmtId="0" fontId="56" fillId="22" borderId="13" xfId="0" applyFont="1" applyFill="1" applyBorder="1" applyAlignment="1">
      <alignment horizontal="left" vertical="center" wrapText="1"/>
    </xf>
    <xf numFmtId="0" fontId="56" fillId="22" borderId="0" xfId="0" applyFont="1" applyFill="1" applyBorder="1" applyAlignment="1">
      <alignment horizontal="left" vertical="center" wrapText="1"/>
    </xf>
    <xf numFmtId="0" fontId="56" fillId="22" borderId="12" xfId="0" applyFont="1" applyFill="1" applyBorder="1" applyAlignment="1">
      <alignment horizontal="left" vertical="center" wrapText="1"/>
    </xf>
    <xf numFmtId="0" fontId="25" fillId="0" borderId="18" xfId="0" applyFont="1" applyBorder="1" applyAlignment="1">
      <alignment horizontal="center" vertical="center" textRotation="90"/>
    </xf>
    <xf numFmtId="0" fontId="25" fillId="0" borderId="0" xfId="0" applyFont="1" applyAlignment="1">
      <alignment horizontal="center" vertical="center" textRotation="90"/>
    </xf>
    <xf numFmtId="0" fontId="25" fillId="58" borderId="0" xfId="0" applyFont="1" applyFill="1" applyBorder="1" applyAlignment="1">
      <alignment horizontal="center" vertical="center" wrapText="1"/>
    </xf>
    <xf numFmtId="0" fontId="25" fillId="0" borderId="0" xfId="0" quotePrefix="1" applyFont="1" applyBorder="1"/>
    <xf numFmtId="0" fontId="65" fillId="35" borderId="63" xfId="0" applyFont="1" applyFill="1" applyBorder="1" applyAlignment="1">
      <alignment horizontal="center" vertical="center"/>
    </xf>
    <xf numFmtId="0" fontId="65" fillId="35" borderId="62" xfId="0" applyFont="1" applyFill="1" applyBorder="1" applyAlignment="1">
      <alignment horizontal="center" vertical="center"/>
    </xf>
    <xf numFmtId="0" fontId="47" fillId="23" borderId="0" xfId="0" applyFont="1" applyFill="1" applyAlignment="1">
      <alignment horizontal="left" vertical="center" wrapText="1"/>
    </xf>
    <xf numFmtId="0" fontId="65" fillId="27" borderId="0" xfId="0" applyFont="1" applyFill="1" applyBorder="1" applyAlignment="1">
      <alignment horizontal="center" vertical="center"/>
    </xf>
    <xf numFmtId="0" fontId="65" fillId="27" borderId="12" xfId="0" applyFont="1" applyFill="1" applyBorder="1" applyAlignment="1">
      <alignment horizontal="center" vertical="center"/>
    </xf>
    <xf numFmtId="0" fontId="65" fillId="27" borderId="32" xfId="0" applyFont="1" applyFill="1" applyBorder="1" applyAlignment="1">
      <alignment horizontal="center" vertical="center"/>
    </xf>
    <xf numFmtId="0" fontId="65" fillId="27" borderId="33" xfId="0" applyFont="1" applyFill="1" applyBorder="1" applyAlignment="1">
      <alignment horizontal="center" vertical="center"/>
    </xf>
    <xf numFmtId="0" fontId="65" fillId="26" borderId="12" xfId="0" applyFont="1" applyFill="1" applyBorder="1" applyAlignment="1">
      <alignment horizontal="left" vertical="center"/>
    </xf>
    <xf numFmtId="0" fontId="17" fillId="33" borderId="56" xfId="0" applyFont="1" applyFill="1" applyBorder="1" applyAlignment="1">
      <alignment horizontal="left" vertical="center" wrapText="1"/>
    </xf>
    <xf numFmtId="0" fontId="17" fillId="33" borderId="42" xfId="0" applyFont="1" applyFill="1" applyBorder="1" applyAlignment="1">
      <alignment horizontal="left" vertical="center" wrapText="1"/>
    </xf>
    <xf numFmtId="0" fontId="17" fillId="33" borderId="43" xfId="0" applyFont="1" applyFill="1" applyBorder="1" applyAlignment="1">
      <alignment horizontal="left" vertical="center" wrapText="1"/>
    </xf>
    <xf numFmtId="0" fontId="7" fillId="32" borderId="56" xfId="0" applyFont="1" applyFill="1" applyBorder="1" applyAlignment="1">
      <alignment horizontal="left" vertical="center" wrapText="1"/>
    </xf>
    <xf numFmtId="0" fontId="17" fillId="32" borderId="42" xfId="0" applyFont="1" applyFill="1" applyBorder="1" applyAlignment="1">
      <alignment horizontal="left" vertical="center" wrapText="1"/>
    </xf>
    <xf numFmtId="0" fontId="17" fillId="32" borderId="43" xfId="0" applyFont="1" applyFill="1" applyBorder="1" applyAlignment="1">
      <alignment horizontal="left" vertical="center" wrapText="1"/>
    </xf>
    <xf numFmtId="0" fontId="5" fillId="32" borderId="64" xfId="0" applyFont="1" applyFill="1" applyBorder="1" applyAlignment="1">
      <alignment horizontal="left" vertical="center"/>
    </xf>
    <xf numFmtId="0" fontId="5" fillId="32" borderId="80" xfId="0" applyFont="1" applyFill="1" applyBorder="1" applyAlignment="1">
      <alignment horizontal="left" vertical="center"/>
    </xf>
    <xf numFmtId="0" fontId="5" fillId="32" borderId="65" xfId="0" applyFont="1" applyFill="1" applyBorder="1" applyAlignment="1">
      <alignment horizontal="left" vertical="center"/>
    </xf>
    <xf numFmtId="0" fontId="3" fillId="32" borderId="56" xfId="0" applyFont="1" applyFill="1" applyBorder="1" applyAlignment="1">
      <alignment horizontal="left" vertical="center" wrapText="1"/>
    </xf>
    <xf numFmtId="0" fontId="65" fillId="26" borderId="13" xfId="0" applyFont="1" applyFill="1" applyBorder="1" applyAlignment="1">
      <alignment horizontal="left" vertical="center"/>
    </xf>
    <xf numFmtId="0" fontId="47" fillId="23" borderId="0" xfId="0" applyFont="1" applyFill="1" applyBorder="1" applyAlignment="1">
      <alignment horizontal="left" vertical="center" wrapText="1"/>
    </xf>
    <xf numFmtId="0" fontId="47" fillId="27" borderId="33" xfId="0" applyFont="1" applyFill="1" applyBorder="1"/>
    <xf numFmtId="0" fontId="19" fillId="32" borderId="49" xfId="0" applyFont="1" applyFill="1" applyBorder="1" applyAlignment="1">
      <alignment horizontal="right" vertical="center" wrapText="1"/>
    </xf>
    <xf numFmtId="0" fontId="19" fillId="32" borderId="39" xfId="0" applyFont="1" applyFill="1" applyBorder="1" applyAlignment="1">
      <alignment horizontal="right" vertical="center" wrapText="1"/>
    </xf>
    <xf numFmtId="0" fontId="19" fillId="33" borderId="41" xfId="0" applyFont="1" applyFill="1" applyBorder="1" applyAlignment="1">
      <alignment horizontal="right" vertical="center" wrapText="1"/>
    </xf>
    <xf numFmtId="0" fontId="19" fillId="33" borderId="42" xfId="0" applyFont="1" applyFill="1" applyBorder="1" applyAlignment="1">
      <alignment horizontal="right" vertical="center" wrapText="1"/>
    </xf>
    <xf numFmtId="0" fontId="19" fillId="32" borderId="48" xfId="0" applyFont="1" applyFill="1" applyBorder="1" applyAlignment="1">
      <alignment horizontal="right" vertical="center" wrapText="1"/>
    </xf>
    <xf numFmtId="0" fontId="19" fillId="32" borderId="0" xfId="0" applyFont="1" applyFill="1" applyBorder="1" applyAlignment="1">
      <alignment horizontal="right" vertical="center" wrapText="1"/>
    </xf>
    <xf numFmtId="0" fontId="65" fillId="27" borderId="13" xfId="0" applyFont="1" applyFill="1" applyBorder="1" applyAlignment="1">
      <alignment horizontal="center" vertical="center"/>
    </xf>
    <xf numFmtId="0" fontId="55" fillId="31" borderId="41" xfId="0" applyFont="1" applyFill="1" applyBorder="1" applyAlignment="1">
      <alignment horizontal="right" vertical="center"/>
    </xf>
    <xf numFmtId="0" fontId="55" fillId="31" borderId="42" xfId="0" applyFont="1" applyFill="1" applyBorder="1" applyAlignment="1">
      <alignment horizontal="right" vertical="center"/>
    </xf>
    <xf numFmtId="0" fontId="55" fillId="31" borderId="43" xfId="0" applyFont="1" applyFill="1" applyBorder="1" applyAlignment="1">
      <alignment horizontal="right" vertical="center"/>
    </xf>
    <xf numFmtId="0" fontId="55" fillId="30" borderId="42" xfId="0" applyFont="1" applyFill="1" applyBorder="1" applyAlignment="1">
      <alignment vertical="center"/>
    </xf>
    <xf numFmtId="0" fontId="55" fillId="30" borderId="41" xfId="0" applyFont="1" applyFill="1" applyBorder="1" applyAlignment="1">
      <alignment horizontal="right" vertical="center"/>
    </xf>
    <xf numFmtId="0" fontId="55" fillId="30" borderId="42" xfId="0" applyFont="1" applyFill="1" applyBorder="1" applyAlignment="1">
      <alignment horizontal="right" vertical="center"/>
    </xf>
    <xf numFmtId="0" fontId="55" fillId="30" borderId="43" xfId="0" applyFont="1" applyFill="1" applyBorder="1" applyAlignment="1">
      <alignment horizontal="right" vertical="center"/>
    </xf>
    <xf numFmtId="0" fontId="55" fillId="30" borderId="41" xfId="0" applyFont="1" applyFill="1" applyBorder="1"/>
    <xf numFmtId="0" fontId="55" fillId="30" borderId="42" xfId="0" applyFont="1" applyFill="1" applyBorder="1"/>
    <xf numFmtId="0" fontId="55" fillId="30" borderId="43" xfId="0" applyFont="1" applyFill="1" applyBorder="1"/>
    <xf numFmtId="0" fontId="55" fillId="31" borderId="41" xfId="0" applyFont="1" applyFill="1" applyBorder="1"/>
    <xf numFmtId="0" fontId="55" fillId="31" borderId="42" xfId="0" applyFont="1" applyFill="1" applyBorder="1"/>
    <xf numFmtId="0" fontId="55" fillId="31" borderId="43" xfId="0" applyFont="1" applyFill="1" applyBorder="1"/>
    <xf numFmtId="2" fontId="55" fillId="31" borderId="56" xfId="0" applyNumberFormat="1" applyFont="1" applyFill="1" applyBorder="1" applyAlignment="1">
      <alignment horizontal="right" vertical="center"/>
    </xf>
    <xf numFmtId="2" fontId="55" fillId="31" borderId="43" xfId="0" applyNumberFormat="1" applyFont="1" applyFill="1" applyBorder="1" applyAlignment="1">
      <alignment horizontal="right" vertical="center"/>
    </xf>
    <xf numFmtId="2" fontId="55" fillId="30" borderId="56" xfId="0" applyNumberFormat="1" applyFont="1" applyFill="1" applyBorder="1" applyAlignment="1">
      <alignment horizontal="right" vertical="center"/>
    </xf>
    <xf numFmtId="2" fontId="55" fillId="30" borderId="43" xfId="0" applyNumberFormat="1" applyFont="1" applyFill="1" applyBorder="1" applyAlignment="1">
      <alignment horizontal="right" vertical="center"/>
    </xf>
    <xf numFmtId="165" fontId="55" fillId="28" borderId="41" xfId="0" applyNumberFormat="1" applyFont="1" applyFill="1" applyBorder="1" applyAlignment="1">
      <alignment horizontal="right" vertical="center"/>
    </xf>
    <xf numFmtId="165" fontId="55" fillId="28" borderId="42" xfId="0" applyNumberFormat="1" applyFont="1" applyFill="1" applyBorder="1" applyAlignment="1">
      <alignment horizontal="right" vertical="center"/>
    </xf>
    <xf numFmtId="165" fontId="55" fillId="29" borderId="48" xfId="0" applyNumberFormat="1" applyFont="1" applyFill="1" applyBorder="1" applyAlignment="1">
      <alignment horizontal="right" vertical="center"/>
    </xf>
    <xf numFmtId="165" fontId="55" fillId="29" borderId="0" xfId="0" applyNumberFormat="1" applyFont="1" applyFill="1" applyBorder="1" applyAlignment="1">
      <alignment horizontal="right" vertical="center"/>
    </xf>
    <xf numFmtId="0" fontId="65" fillId="27" borderId="62" xfId="0" applyFont="1" applyFill="1" applyBorder="1" applyAlignment="1">
      <alignment horizontal="center" vertical="center"/>
    </xf>
    <xf numFmtId="0" fontId="55" fillId="31" borderId="64" xfId="0" applyFont="1" applyFill="1" applyBorder="1" applyAlignment="1">
      <alignment horizontal="left" vertical="center"/>
    </xf>
    <xf numFmtId="0" fontId="55" fillId="31" borderId="80" xfId="0" applyFont="1" applyFill="1" applyBorder="1" applyAlignment="1">
      <alignment horizontal="left" vertical="center"/>
    </xf>
    <xf numFmtId="0" fontId="55" fillId="31" borderId="65" xfId="0" applyFont="1" applyFill="1" applyBorder="1" applyAlignment="1">
      <alignment horizontal="left" vertical="center"/>
    </xf>
    <xf numFmtId="0" fontId="65" fillId="26" borderId="57" xfId="0" applyFont="1" applyFill="1" applyBorder="1" applyAlignment="1">
      <alignment horizontal="center"/>
    </xf>
    <xf numFmtId="0" fontId="65" fillId="26" borderId="30" xfId="0" applyFont="1" applyFill="1" applyBorder="1" applyAlignment="1">
      <alignment horizontal="center"/>
    </xf>
    <xf numFmtId="0" fontId="65" fillId="26" borderId="36" xfId="0" applyFont="1" applyFill="1" applyBorder="1" applyAlignment="1">
      <alignment horizontal="center"/>
    </xf>
    <xf numFmtId="2" fontId="55" fillId="30" borderId="42" xfId="0" applyNumberFormat="1" applyFont="1" applyFill="1" applyBorder="1" applyAlignment="1">
      <alignment horizontal="right" vertical="center"/>
    </xf>
    <xf numFmtId="2" fontId="55" fillId="31" borderId="42" xfId="0" applyNumberFormat="1" applyFont="1" applyFill="1" applyBorder="1" applyAlignment="1">
      <alignment horizontal="right" vertical="center"/>
    </xf>
    <xf numFmtId="0" fontId="65" fillId="26" borderId="70" xfId="0" applyFont="1" applyFill="1" applyBorder="1" applyAlignment="1">
      <alignment horizontal="center" vertical="center"/>
    </xf>
    <xf numFmtId="0" fontId="65" fillId="26" borderId="62" xfId="0" applyFont="1" applyFill="1" applyBorder="1" applyAlignment="1">
      <alignment horizontal="center" vertical="center"/>
    </xf>
    <xf numFmtId="0" fontId="55" fillId="31" borderId="0" xfId="0" applyFont="1" applyFill="1" applyBorder="1" applyAlignment="1">
      <alignment horizontal="right" vertical="center"/>
    </xf>
    <xf numFmtId="0" fontId="65" fillId="26" borderId="70" xfId="0" applyFont="1" applyFill="1" applyBorder="1" applyAlignment="1">
      <alignment horizontal="center"/>
    </xf>
    <xf numFmtId="0" fontId="65" fillId="26" borderId="62" xfId="0" applyFont="1" applyFill="1" applyBorder="1" applyAlignment="1">
      <alignment horizontal="center"/>
    </xf>
    <xf numFmtId="0" fontId="55" fillId="31" borderId="48" xfId="0" applyFont="1" applyFill="1" applyBorder="1"/>
    <xf numFmtId="0" fontId="55" fillId="31" borderId="0" xfId="0" applyFont="1" applyFill="1" applyBorder="1"/>
    <xf numFmtId="0" fontId="55" fillId="31" borderId="45" xfId="0" applyFont="1" applyFill="1" applyBorder="1"/>
    <xf numFmtId="0" fontId="55" fillId="31" borderId="0" xfId="0" applyFont="1" applyFill="1" applyBorder="1" applyAlignment="1">
      <alignment vertical="center"/>
    </xf>
    <xf numFmtId="0" fontId="55" fillId="31" borderId="45" xfId="0" applyFont="1" applyFill="1" applyBorder="1" applyAlignment="1">
      <alignment vertical="center"/>
    </xf>
    <xf numFmtId="0" fontId="55" fillId="29" borderId="75" xfId="0" applyFont="1" applyFill="1" applyBorder="1" applyAlignment="1">
      <alignment horizontal="left" vertical="center" wrapText="1"/>
    </xf>
    <xf numFmtId="0" fontId="55" fillId="29" borderId="39" xfId="0" applyFont="1" applyFill="1" applyBorder="1" applyAlignment="1">
      <alignment horizontal="left" vertical="center" wrapText="1"/>
    </xf>
    <xf numFmtId="0" fontId="55" fillId="29" borderId="76" xfId="0" applyFont="1" applyFill="1" applyBorder="1" applyAlignment="1">
      <alignment horizontal="left" vertical="center" wrapText="1"/>
    </xf>
    <xf numFmtId="0" fontId="55" fillId="29" borderId="13" xfId="0" applyFont="1" applyFill="1" applyBorder="1" applyAlignment="1">
      <alignment horizontal="left" vertical="center" wrapText="1"/>
    </xf>
    <xf numFmtId="0" fontId="55" fillId="29" borderId="0" xfId="0" applyFont="1" applyFill="1" applyBorder="1" applyAlignment="1">
      <alignment horizontal="left" vertical="center" wrapText="1"/>
    </xf>
    <xf numFmtId="0" fontId="55" fillId="29" borderId="12" xfId="0" applyFont="1" applyFill="1" applyBorder="1" applyAlignment="1">
      <alignment horizontal="left" vertical="center" wrapText="1"/>
    </xf>
    <xf numFmtId="0" fontId="65" fillId="27" borderId="0" xfId="0" applyFont="1" applyFill="1" applyBorder="1" applyAlignment="1">
      <alignment horizontal="left"/>
    </xf>
    <xf numFmtId="0" fontId="65" fillId="27" borderId="12" xfId="0" applyFont="1" applyFill="1" applyBorder="1" applyAlignment="1">
      <alignment horizontal="left"/>
    </xf>
    <xf numFmtId="0" fontId="55" fillId="29" borderId="30" xfId="0" applyFont="1" applyFill="1" applyBorder="1" applyAlignment="1">
      <alignment horizontal="left" vertical="center"/>
    </xf>
    <xf numFmtId="0" fontId="55" fillId="29" borderId="36" xfId="0" applyFont="1" applyFill="1" applyBorder="1" applyAlignment="1">
      <alignment horizontal="left" vertical="center"/>
    </xf>
    <xf numFmtId="0" fontId="55" fillId="29" borderId="64" xfId="0" applyFont="1" applyFill="1" applyBorder="1" applyAlignment="1">
      <alignment horizontal="left" vertical="center"/>
    </xf>
    <xf numFmtId="0" fontId="55" fillId="29" borderId="80" xfId="0" applyFont="1" applyFill="1" applyBorder="1" applyAlignment="1">
      <alignment horizontal="left" vertical="center"/>
    </xf>
    <xf numFmtId="0" fontId="55" fillId="29" borderId="65" xfId="0" applyFont="1" applyFill="1" applyBorder="1" applyAlignment="1">
      <alignment horizontal="left" vertical="center"/>
    </xf>
    <xf numFmtId="0" fontId="55" fillId="28" borderId="30" xfId="0" applyFont="1" applyFill="1" applyBorder="1" applyAlignment="1">
      <alignment horizontal="left" vertical="center"/>
    </xf>
    <xf numFmtId="0" fontId="55" fillId="28" borderId="36" xfId="0" applyFont="1" applyFill="1" applyBorder="1" applyAlignment="1">
      <alignment horizontal="left" vertical="center"/>
    </xf>
    <xf numFmtId="0" fontId="55" fillId="29" borderId="0" xfId="0" applyFont="1" applyFill="1" applyBorder="1" applyAlignment="1">
      <alignment horizontal="right" vertical="center"/>
    </xf>
    <xf numFmtId="0" fontId="55" fillId="29" borderId="0" xfId="0" applyFont="1" applyFill="1" applyBorder="1" applyAlignment="1">
      <alignment horizontal="left" vertical="center"/>
    </xf>
    <xf numFmtId="0" fontId="55" fillId="29" borderId="45" xfId="0" applyFont="1" applyFill="1" applyBorder="1" applyAlignment="1">
      <alignment horizontal="left" vertical="center"/>
    </xf>
    <xf numFmtId="0" fontId="55" fillId="28" borderId="31" xfId="0" applyFont="1" applyFill="1" applyBorder="1" applyAlignment="1">
      <alignment horizontal="right" vertical="center"/>
    </xf>
    <xf numFmtId="0" fontId="55" fillId="28" borderId="30" xfId="0" applyFont="1" applyFill="1" applyBorder="1" applyAlignment="1">
      <alignment horizontal="right" vertical="center"/>
    </xf>
    <xf numFmtId="170" fontId="55" fillId="28" borderId="41" xfId="0" applyNumberFormat="1" applyFont="1" applyFill="1" applyBorder="1" applyAlignment="1">
      <alignment horizontal="right" vertical="center"/>
    </xf>
    <xf numFmtId="170" fontId="55" fillId="28" borderId="42" xfId="0" applyNumberFormat="1" applyFont="1" applyFill="1" applyBorder="1" applyAlignment="1">
      <alignment horizontal="right" vertical="center"/>
    </xf>
    <xf numFmtId="0" fontId="55" fillId="29" borderId="33" xfId="0" applyFont="1" applyFill="1" applyBorder="1" applyAlignment="1">
      <alignment horizontal="left" vertical="center"/>
    </xf>
    <xf numFmtId="0" fontId="55" fillId="29" borderId="38" xfId="0" applyFont="1" applyFill="1" applyBorder="1" applyAlignment="1">
      <alignment horizontal="left" vertical="center"/>
    </xf>
    <xf numFmtId="177" fontId="55" fillId="29" borderId="37" xfId="0" applyNumberFormat="1" applyFont="1" applyFill="1" applyBorder="1" applyAlignment="1">
      <alignment horizontal="right" vertical="center"/>
    </xf>
    <xf numFmtId="177" fontId="55" fillId="29" borderId="33" xfId="0" applyNumberFormat="1" applyFont="1" applyFill="1" applyBorder="1" applyAlignment="1">
      <alignment horizontal="right" vertical="center"/>
    </xf>
    <xf numFmtId="165" fontId="55" fillId="28" borderId="31" xfId="0" applyNumberFormat="1" applyFont="1" applyFill="1" applyBorder="1" applyAlignment="1">
      <alignment horizontal="right" vertical="center"/>
    </xf>
    <xf numFmtId="165" fontId="55" fillId="28" borderId="30" xfId="0" applyNumberFormat="1" applyFont="1" applyFill="1" applyBorder="1" applyAlignment="1">
      <alignment horizontal="right" vertical="center"/>
    </xf>
    <xf numFmtId="0" fontId="55" fillId="28" borderId="56" xfId="0" applyFont="1" applyFill="1" applyBorder="1" applyAlignment="1">
      <alignment horizontal="left" vertical="center"/>
    </xf>
    <xf numFmtId="0" fontId="55" fillId="28" borderId="42" xfId="0" applyFont="1" applyFill="1" applyBorder="1" applyAlignment="1">
      <alignment horizontal="left" vertical="center"/>
    </xf>
    <xf numFmtId="0" fontId="55" fillId="28" borderId="43" xfId="0" applyFont="1" applyFill="1" applyBorder="1" applyAlignment="1">
      <alignment horizontal="left" vertical="center"/>
    </xf>
    <xf numFmtId="0" fontId="55" fillId="29" borderId="32" xfId="0" applyFont="1" applyFill="1" applyBorder="1" applyAlignment="1">
      <alignment horizontal="left" vertical="center"/>
    </xf>
    <xf numFmtId="165" fontId="55" fillId="29" borderId="37" xfId="0" applyNumberFormat="1" applyFont="1" applyFill="1" applyBorder="1" applyAlignment="1">
      <alignment horizontal="right" vertical="center"/>
    </xf>
    <xf numFmtId="165" fontId="55" fillId="29" borderId="33" xfId="0" applyNumberFormat="1" applyFont="1" applyFill="1" applyBorder="1" applyAlignment="1">
      <alignment horizontal="right" vertical="center"/>
    </xf>
    <xf numFmtId="1" fontId="55" fillId="31" borderId="81" xfId="0" applyNumberFormat="1" applyFont="1" applyFill="1" applyBorder="1" applyAlignment="1">
      <alignment horizontal="right" vertical="center"/>
    </xf>
    <xf numFmtId="0" fontId="0" fillId="31" borderId="80" xfId="0" applyFill="1" applyBorder="1"/>
    <xf numFmtId="0" fontId="65" fillId="27" borderId="63" xfId="0" applyFont="1" applyFill="1" applyBorder="1" applyAlignment="1">
      <alignment horizontal="center" vertical="center"/>
    </xf>
    <xf numFmtId="2" fontId="55" fillId="31" borderId="0" xfId="0" applyNumberFormat="1" applyFont="1" applyFill="1" applyBorder="1" applyAlignment="1">
      <alignment horizontal="right" vertical="center"/>
    </xf>
    <xf numFmtId="2" fontId="55" fillId="31" borderId="45" xfId="0" applyNumberFormat="1" applyFont="1" applyFill="1" applyBorder="1" applyAlignment="1">
      <alignment horizontal="right" vertical="center"/>
    </xf>
    <xf numFmtId="1" fontId="55" fillId="30" borderId="41" xfId="0" applyNumberFormat="1" applyFont="1" applyFill="1" applyBorder="1" applyAlignment="1">
      <alignment horizontal="right" vertical="center"/>
    </xf>
    <xf numFmtId="1" fontId="55" fillId="30" borderId="42" xfId="0" applyNumberFormat="1" applyFont="1" applyFill="1" applyBorder="1" applyAlignment="1">
      <alignment horizontal="right" vertical="center"/>
    </xf>
    <xf numFmtId="1" fontId="55" fillId="30" borderId="43" xfId="0" applyNumberFormat="1" applyFont="1" applyFill="1" applyBorder="1" applyAlignment="1">
      <alignment horizontal="right" vertical="center"/>
    </xf>
    <xf numFmtId="0" fontId="55" fillId="30" borderId="31" xfId="0" applyFont="1" applyFill="1" applyBorder="1" applyAlignment="1">
      <alignment horizontal="right"/>
    </xf>
    <xf numFmtId="0" fontId="55" fillId="30" borderId="30" xfId="0" applyFont="1" applyFill="1" applyBorder="1" applyAlignment="1">
      <alignment horizontal="right"/>
    </xf>
    <xf numFmtId="0" fontId="55" fillId="30" borderId="57" xfId="0" applyFont="1" applyFill="1" applyBorder="1" applyAlignment="1">
      <alignment horizontal="left" vertical="center"/>
    </xf>
    <xf numFmtId="0" fontId="55" fillId="30" borderId="30" xfId="0" applyFont="1" applyFill="1" applyBorder="1" applyAlignment="1">
      <alignment horizontal="left" vertical="center"/>
    </xf>
    <xf numFmtId="0" fontId="55" fillId="30" borderId="36" xfId="0" applyFont="1" applyFill="1" applyBorder="1" applyAlignment="1">
      <alignment horizontal="left" vertical="center"/>
    </xf>
    <xf numFmtId="0" fontId="55" fillId="29" borderId="56" xfId="0" applyFont="1" applyFill="1" applyBorder="1" applyAlignment="1">
      <alignment horizontal="left" vertical="center"/>
    </xf>
    <xf numFmtId="0" fontId="55" fillId="29" borderId="42" xfId="0" applyFont="1" applyFill="1" applyBorder="1" applyAlignment="1">
      <alignment horizontal="left" vertical="center"/>
    </xf>
    <xf numFmtId="0" fontId="55" fillId="29" borderId="43" xfId="0" applyFont="1" applyFill="1" applyBorder="1" applyAlignment="1">
      <alignment horizontal="left" vertical="center"/>
    </xf>
    <xf numFmtId="165" fontId="55" fillId="29" borderId="41" xfId="0" applyNumberFormat="1" applyFont="1" applyFill="1" applyBorder="1" applyAlignment="1">
      <alignment horizontal="right" vertical="center"/>
    </xf>
    <xf numFmtId="165" fontId="55" fillId="29" borderId="42" xfId="0" applyNumberFormat="1" applyFont="1" applyFill="1" applyBorder="1" applyAlignment="1">
      <alignment horizontal="right" vertical="center"/>
    </xf>
    <xf numFmtId="0" fontId="55" fillId="29" borderId="81" xfId="0" applyFont="1" applyFill="1" applyBorder="1" applyAlignment="1">
      <alignment horizontal="right" vertical="center"/>
    </xf>
    <xf numFmtId="0" fontId="55" fillId="29" borderId="80" xfId="0" applyFont="1" applyFill="1" applyBorder="1" applyAlignment="1">
      <alignment horizontal="right" vertical="center"/>
    </xf>
    <xf numFmtId="0" fontId="65" fillId="26" borderId="37" xfId="0" applyFont="1" applyFill="1" applyBorder="1" applyAlignment="1">
      <alignment horizontal="center" vertical="center"/>
    </xf>
    <xf numFmtId="0" fontId="65" fillId="26" borderId="33" xfId="0" applyFont="1" applyFill="1" applyBorder="1" applyAlignment="1">
      <alignment horizontal="center" vertical="center"/>
    </xf>
    <xf numFmtId="0" fontId="65" fillId="26" borderId="34" xfId="0" applyFont="1" applyFill="1" applyBorder="1" applyAlignment="1">
      <alignment horizontal="center" vertical="center"/>
    </xf>
    <xf numFmtId="0" fontId="65" fillId="26" borderId="45" xfId="0" applyFont="1" applyFill="1" applyBorder="1" applyAlignment="1">
      <alignment horizontal="center" vertical="center"/>
    </xf>
    <xf numFmtId="0" fontId="65" fillId="26" borderId="46" xfId="0" applyFont="1" applyFill="1" applyBorder="1" applyAlignment="1">
      <alignment horizontal="center" vertical="center"/>
    </xf>
    <xf numFmtId="0" fontId="65" fillId="26" borderId="47" xfId="0" applyFont="1" applyFill="1" applyBorder="1" applyAlignment="1">
      <alignment horizontal="center" vertical="center" wrapText="1"/>
    </xf>
    <xf numFmtId="0" fontId="65" fillId="26" borderId="69" xfId="0" applyFont="1" applyFill="1" applyBorder="1" applyAlignment="1">
      <alignment horizontal="center" vertical="center" wrapText="1"/>
    </xf>
    <xf numFmtId="0" fontId="65" fillId="26" borderId="63" xfId="0" applyFont="1" applyFill="1" applyBorder="1" applyAlignment="1">
      <alignment horizontal="center" vertical="center"/>
    </xf>
    <xf numFmtId="0" fontId="55" fillId="31" borderId="0" xfId="0" applyFont="1" applyFill="1" applyBorder="1" applyAlignment="1">
      <alignment horizontal="left" vertical="center"/>
    </xf>
    <xf numFmtId="0" fontId="65" fillId="26" borderId="0" xfId="0" applyFont="1" applyFill="1" applyBorder="1" applyAlignment="1">
      <alignment horizontal="center" vertical="center"/>
    </xf>
    <xf numFmtId="2" fontId="55" fillId="31" borderId="48" xfId="0" applyNumberFormat="1" applyFont="1" applyFill="1" applyBorder="1" applyAlignment="1">
      <alignment horizontal="right" vertical="center"/>
    </xf>
    <xf numFmtId="2" fontId="0" fillId="31" borderId="0" xfId="0" applyNumberFormat="1" applyFill="1" applyBorder="1"/>
    <xf numFmtId="1" fontId="55" fillId="31" borderId="41" xfId="0" applyNumberFormat="1" applyFont="1" applyFill="1" applyBorder="1" applyAlignment="1">
      <alignment horizontal="right" vertical="center"/>
    </xf>
    <xf numFmtId="1" fontId="55" fillId="31" borderId="42" xfId="0" applyNumberFormat="1" applyFont="1" applyFill="1" applyBorder="1" applyAlignment="1">
      <alignment horizontal="right" vertical="center"/>
    </xf>
    <xf numFmtId="1" fontId="55" fillId="31" borderId="43" xfId="0" applyNumberFormat="1" applyFont="1" applyFill="1" applyBorder="1" applyAlignment="1">
      <alignment horizontal="right" vertical="center"/>
    </xf>
    <xf numFmtId="0" fontId="55" fillId="31" borderId="56" xfId="0" applyFont="1" applyFill="1" applyBorder="1" applyAlignment="1">
      <alignment horizontal="left" vertical="center"/>
    </xf>
    <xf numFmtId="0" fontId="55" fillId="31" borderId="42" xfId="0" applyFont="1" applyFill="1" applyBorder="1" applyAlignment="1">
      <alignment horizontal="left" vertical="center"/>
    </xf>
    <xf numFmtId="0" fontId="55" fillId="31" borderId="43" xfId="0" applyFont="1" applyFill="1" applyBorder="1" applyAlignment="1">
      <alignment horizontal="left" vertical="center"/>
    </xf>
    <xf numFmtId="0" fontId="55" fillId="30" borderId="56" xfId="0" applyFont="1" applyFill="1" applyBorder="1" applyAlignment="1">
      <alignment horizontal="left" vertical="center"/>
    </xf>
    <xf numFmtId="0" fontId="55" fillId="30" borderId="42" xfId="0" applyFont="1" applyFill="1" applyBorder="1" applyAlignment="1">
      <alignment horizontal="left" vertical="center"/>
    </xf>
    <xf numFmtId="0" fontId="55" fillId="30" borderId="43" xfId="0" applyFont="1" applyFill="1" applyBorder="1" applyAlignment="1">
      <alignment horizontal="left" vertical="center"/>
    </xf>
    <xf numFmtId="2" fontId="55" fillId="30" borderId="41" xfId="0" applyNumberFormat="1" applyFont="1" applyFill="1" applyBorder="1" applyAlignment="1">
      <alignment horizontal="right" vertical="center"/>
    </xf>
    <xf numFmtId="0" fontId="56" fillId="22" borderId="17" xfId="0" applyFont="1" applyFill="1" applyBorder="1" applyAlignment="1">
      <alignment horizontal="left" vertical="center"/>
    </xf>
    <xf numFmtId="0" fontId="56" fillId="22" borderId="124" xfId="0" applyFont="1" applyFill="1" applyBorder="1" applyAlignment="1">
      <alignment horizontal="left" vertical="center"/>
    </xf>
    <xf numFmtId="0" fontId="55" fillId="0" borderId="13" xfId="0"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12" xfId="0" applyFont="1" applyFill="1" applyBorder="1" applyAlignment="1">
      <alignment horizontal="left" vertical="top" wrapText="1"/>
    </xf>
    <xf numFmtId="0" fontId="65" fillId="35" borderId="63" xfId="0" applyFont="1" applyFill="1" applyBorder="1" applyAlignment="1">
      <alignment horizontal="left" vertical="center"/>
    </xf>
    <xf numFmtId="0" fontId="65" fillId="35" borderId="62" xfId="0" applyFont="1" applyFill="1" applyBorder="1" applyAlignment="1">
      <alignment horizontal="left" vertical="center"/>
    </xf>
    <xf numFmtId="0" fontId="42" fillId="29" borderId="82" xfId="0" applyFont="1" applyFill="1" applyBorder="1" applyAlignment="1">
      <alignment horizontal="left" vertical="center"/>
    </xf>
    <xf numFmtId="0" fontId="42" fillId="29" borderId="78" xfId="0" applyFont="1" applyFill="1" applyBorder="1" applyAlignment="1">
      <alignment horizontal="left" vertical="center"/>
    </xf>
    <xf numFmtId="0" fontId="65" fillId="24" borderId="13" xfId="0" applyFont="1" applyFill="1" applyBorder="1" applyAlignment="1">
      <alignment horizontal="left"/>
    </xf>
    <xf numFmtId="0" fontId="65" fillId="24" borderId="0" xfId="0" applyFont="1" applyFill="1" applyBorder="1" applyAlignment="1">
      <alignment horizontal="left"/>
    </xf>
    <xf numFmtId="0" fontId="65" fillId="24" borderId="12" xfId="0" applyFont="1" applyFill="1" applyBorder="1" applyAlignment="1">
      <alignment horizontal="left"/>
    </xf>
    <xf numFmtId="0" fontId="56" fillId="22" borderId="0" xfId="0" applyFont="1" applyFill="1" applyAlignment="1">
      <alignment vertical="center"/>
    </xf>
    <xf numFmtId="0" fontId="55" fillId="22" borderId="0" xfId="0" applyFont="1" applyFill="1" applyAlignment="1">
      <alignment vertical="center"/>
    </xf>
    <xf numFmtId="0" fontId="25" fillId="0" borderId="0" xfId="0" applyFont="1" applyAlignment="1">
      <alignment horizontal="center"/>
    </xf>
    <xf numFmtId="0" fontId="55" fillId="0" borderId="24" xfId="0" applyFont="1" applyBorder="1" applyAlignment="1">
      <alignment horizontal="left"/>
    </xf>
    <xf numFmtId="0" fontId="55" fillId="0" borderId="18" xfId="0" applyFont="1" applyBorder="1" applyAlignment="1">
      <alignment horizontal="left"/>
    </xf>
    <xf numFmtId="0" fontId="55" fillId="0" borderId="19" xfId="0" applyFont="1" applyBorder="1" applyAlignment="1">
      <alignment horizontal="left"/>
    </xf>
    <xf numFmtId="0" fontId="56" fillId="0" borderId="24" xfId="0" applyFont="1" applyBorder="1"/>
    <xf numFmtId="0" fontId="56" fillId="0" borderId="18" xfId="0" applyFont="1" applyBorder="1"/>
    <xf numFmtId="0" fontId="56" fillId="0" borderId="19" xfId="0" applyFont="1" applyBorder="1"/>
    <xf numFmtId="0" fontId="55" fillId="0" borderId="122" xfId="0" applyFont="1" applyBorder="1"/>
    <xf numFmtId="0" fontId="55" fillId="0" borderId="124" xfId="0" applyFont="1" applyBorder="1"/>
    <xf numFmtId="0" fontId="55" fillId="0" borderId="123" xfId="0" applyFont="1" applyBorder="1"/>
    <xf numFmtId="0" fontId="56" fillId="0" borderId="22" xfId="0" applyFont="1" applyBorder="1" applyAlignment="1">
      <alignment horizontal="left"/>
    </xf>
    <xf numFmtId="0" fontId="56" fillId="0" borderId="16" xfId="0" applyFont="1" applyBorder="1" applyAlignment="1">
      <alignment horizontal="left"/>
    </xf>
    <xf numFmtId="0" fontId="56" fillId="0" borderId="21" xfId="0" applyFont="1" applyBorder="1" applyAlignment="1">
      <alignment horizontal="left"/>
    </xf>
    <xf numFmtId="0" fontId="56" fillId="23" borderId="0" xfId="0" applyFont="1" applyFill="1" applyBorder="1" applyAlignment="1">
      <alignment horizontal="left"/>
    </xf>
    <xf numFmtId="0" fontId="55" fillId="0" borderId="24" xfId="0" applyNumberFormat="1" applyFont="1" applyBorder="1" applyAlignment="1">
      <alignment horizontal="left" vertical="center" wrapText="1"/>
    </xf>
    <xf numFmtId="0" fontId="55" fillId="0" borderId="18" xfId="0" applyNumberFormat="1" applyFont="1" applyBorder="1" applyAlignment="1">
      <alignment horizontal="left" vertical="center" wrapText="1"/>
    </xf>
    <xf numFmtId="0" fontId="55" fillId="0" borderId="19" xfId="0" applyNumberFormat="1" applyFont="1" applyBorder="1" applyAlignment="1">
      <alignment horizontal="left" vertical="center" wrapText="1"/>
    </xf>
    <xf numFmtId="0" fontId="55" fillId="0" borderId="13" xfId="0" applyNumberFormat="1" applyFont="1" applyBorder="1" applyAlignment="1">
      <alignment horizontal="left" vertical="center" wrapText="1"/>
    </xf>
    <xf numFmtId="0" fontId="55" fillId="0" borderId="0" xfId="0" applyNumberFormat="1" applyFont="1" applyBorder="1" applyAlignment="1">
      <alignment horizontal="left" vertical="center" wrapText="1"/>
    </xf>
    <xf numFmtId="0" fontId="55" fillId="0" borderId="12" xfId="0" applyNumberFormat="1" applyFont="1" applyBorder="1" applyAlignment="1">
      <alignment horizontal="left" vertical="center" wrapText="1"/>
    </xf>
    <xf numFmtId="0" fontId="55" fillId="0" borderId="17" xfId="0" applyNumberFormat="1" applyFont="1" applyBorder="1" applyAlignment="1">
      <alignment horizontal="left" vertical="center" wrapText="1"/>
    </xf>
    <xf numFmtId="0" fontId="55" fillId="0" borderId="23" xfId="0" applyNumberFormat="1" applyFont="1" applyBorder="1" applyAlignment="1">
      <alignment horizontal="left" vertical="center" wrapText="1"/>
    </xf>
    <xf numFmtId="0" fontId="55" fillId="0" borderId="15" xfId="0" applyNumberFormat="1" applyFont="1" applyBorder="1" applyAlignment="1">
      <alignment horizontal="left" vertical="center" wrapText="1"/>
    </xf>
    <xf numFmtId="0" fontId="56" fillId="0" borderId="16" xfId="0" applyFont="1" applyBorder="1" applyAlignment="1">
      <alignment horizontal="left" vertical="center"/>
    </xf>
    <xf numFmtId="0" fontId="56" fillId="0" borderId="21" xfId="0" applyFont="1" applyBorder="1" applyAlignment="1">
      <alignment horizontal="left" vertical="center"/>
    </xf>
    <xf numFmtId="0" fontId="55" fillId="23" borderId="0" xfId="0" applyFont="1" applyFill="1" applyBorder="1" applyAlignment="1">
      <alignment horizontal="left"/>
    </xf>
    <xf numFmtId="0" fontId="55" fillId="23" borderId="12" xfId="0" applyFont="1" applyFill="1" applyBorder="1" applyAlignment="1">
      <alignment horizontal="left"/>
    </xf>
    <xf numFmtId="0" fontId="56" fillId="23" borderId="18" xfId="0" applyFont="1" applyFill="1" applyBorder="1" applyAlignment="1">
      <alignment horizontal="left"/>
    </xf>
    <xf numFmtId="0" fontId="56" fillId="23" borderId="19" xfId="0" applyFont="1" applyFill="1" applyBorder="1" applyAlignment="1">
      <alignment horizontal="left"/>
    </xf>
    <xf numFmtId="0" fontId="56" fillId="23" borderId="18" xfId="0" applyNumberFormat="1" applyFont="1" applyFill="1" applyBorder="1" applyAlignment="1">
      <alignment horizontal="left" vertical="center" wrapText="1"/>
    </xf>
    <xf numFmtId="0" fontId="56" fillId="22" borderId="0" xfId="0" applyFont="1" applyFill="1" applyBorder="1" applyAlignment="1">
      <alignment horizontal="left"/>
    </xf>
    <xf numFmtId="0" fontId="55" fillId="0" borderId="0" xfId="0" applyFont="1" applyBorder="1" applyAlignment="1">
      <alignment horizontal="left" vertical="center"/>
    </xf>
    <xf numFmtId="0" fontId="55" fillId="0" borderId="12" xfId="0" applyFont="1" applyBorder="1" applyAlignment="1">
      <alignment horizontal="left" vertical="center"/>
    </xf>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12"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3" xfId="0" applyFont="1" applyBorder="1" applyAlignment="1">
      <alignment horizontal="left" vertical="center" wrapText="1"/>
    </xf>
    <xf numFmtId="0" fontId="55" fillId="0" borderId="0" xfId="0" applyFont="1" applyBorder="1" applyAlignment="1">
      <alignment horizontal="left" vertical="center" wrapText="1"/>
    </xf>
    <xf numFmtId="0" fontId="55" fillId="0" borderId="12" xfId="0" applyFont="1" applyBorder="1" applyAlignment="1">
      <alignment horizontal="left" vertical="center" wrapText="1"/>
    </xf>
    <xf numFmtId="0" fontId="55" fillId="0" borderId="0" xfId="0" applyFont="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wrapText="1"/>
    </xf>
    <xf numFmtId="0" fontId="42" fillId="0" borderId="13" xfId="0" applyFont="1" applyBorder="1" applyAlignment="1">
      <alignment horizontal="left" vertical="center" wrapText="1"/>
    </xf>
    <xf numFmtId="0" fontId="42" fillId="0" borderId="12" xfId="0" applyFont="1" applyBorder="1" applyAlignment="1">
      <alignment horizontal="left" vertical="center" wrapText="1"/>
    </xf>
    <xf numFmtId="0" fontId="62" fillId="24" borderId="0" xfId="0" applyFont="1" applyFill="1" applyBorder="1" applyAlignment="1">
      <alignment horizontal="right" vertical="center"/>
    </xf>
    <xf numFmtId="0" fontId="42" fillId="0" borderId="0" xfId="0" applyFont="1" applyBorder="1" applyAlignment="1">
      <alignment horizontal="left" vertical="center" wrapText="1"/>
    </xf>
    <xf numFmtId="0" fontId="55" fillId="0" borderId="13" xfId="0" applyFont="1" applyBorder="1" applyAlignment="1">
      <alignment horizontal="left" vertical="center"/>
    </xf>
    <xf numFmtId="49" fontId="55" fillId="23" borderId="13" xfId="0" applyNumberFormat="1" applyFont="1" applyFill="1" applyBorder="1" applyAlignment="1">
      <alignment horizontal="left" vertical="center" wrapText="1"/>
    </xf>
    <xf numFmtId="49" fontId="55" fillId="23" borderId="0" xfId="0" applyNumberFormat="1" applyFont="1" applyFill="1" applyBorder="1" applyAlignment="1">
      <alignment horizontal="left" vertical="center" wrapText="1"/>
    </xf>
    <xf numFmtId="49" fontId="55" fillId="23" borderId="12" xfId="0" applyNumberFormat="1" applyFont="1" applyFill="1" applyBorder="1" applyAlignment="1">
      <alignment horizontal="left" vertical="center" wrapText="1"/>
    </xf>
    <xf numFmtId="0" fontId="42" fillId="0" borderId="13" xfId="0" applyFont="1" applyBorder="1" applyAlignment="1">
      <alignment vertical="top" wrapText="1"/>
    </xf>
    <xf numFmtId="0" fontId="42" fillId="0" borderId="0" xfId="0" applyFont="1" applyAlignment="1">
      <alignment vertical="top" wrapText="1"/>
    </xf>
    <xf numFmtId="0" fontId="42" fillId="0" borderId="12" xfId="0" applyFont="1" applyBorder="1" applyAlignment="1">
      <alignment vertical="top" wrapText="1"/>
    </xf>
    <xf numFmtId="0" fontId="55" fillId="23" borderId="13" xfId="0" applyFont="1" applyFill="1" applyBorder="1" applyAlignment="1">
      <alignment horizontal="left" vertical="center" wrapText="1"/>
    </xf>
    <xf numFmtId="0" fontId="55" fillId="23" borderId="13" xfId="0" applyFont="1" applyFill="1" applyBorder="1" applyAlignment="1">
      <alignment horizontal="left" vertical="center"/>
    </xf>
    <xf numFmtId="0" fontId="21" fillId="22" borderId="24" xfId="0" applyFont="1" applyFill="1" applyBorder="1" applyAlignment="1">
      <alignment horizontal="left" vertical="center"/>
    </xf>
    <xf numFmtId="0" fontId="21" fillId="22" borderId="18" xfId="0" applyFont="1" applyFill="1" applyBorder="1" applyAlignment="1">
      <alignment horizontal="left" vertical="center"/>
    </xf>
    <xf numFmtId="0" fontId="21" fillId="22" borderId="19" xfId="0" applyFont="1" applyFill="1" applyBorder="1" applyAlignment="1">
      <alignment horizontal="left" vertical="center"/>
    </xf>
    <xf numFmtId="0" fontId="62" fillId="24" borderId="0" xfId="0" applyFont="1" applyFill="1" applyBorder="1" applyAlignment="1">
      <alignment vertical="center"/>
    </xf>
    <xf numFmtId="0" fontId="55" fillId="23" borderId="0" xfId="0" applyFont="1" applyFill="1" applyAlignment="1">
      <alignment horizontal="left" vertical="center"/>
    </xf>
  </cellXfs>
  <cellStyles count="49">
    <cellStyle name="20% - Accent3" xfId="48" builtinId="38" hidden="1" customBuiltin="1"/>
    <cellStyle name="60% - Accent2" xfId="47" builtinId="36" hidden="1" customBuiltin="1"/>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4" builtinId="5"/>
    <cellStyle name="Percent 2" xfId="46"/>
    <cellStyle name="Sheet Title" xfId="41"/>
    <cellStyle name="Total" xfId="42" builtinId="25" customBuiltin="1"/>
    <cellStyle name="Warning Text" xfId="43" builtinId="11" customBuiltin="1"/>
  </cellStyles>
  <dxfs count="1151">
    <dxf>
      <font>
        <b/>
        <i val="0"/>
        <color rgb="FFFFFFFF"/>
      </font>
      <fill>
        <patternFill>
          <fgColor indexed="64"/>
          <bgColor rgb="FFFF0000"/>
        </patternFill>
      </fill>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333399"/>
        </patternFill>
      </fill>
    </dxf>
    <dxf>
      <font>
        <color rgb="FFFFFFFF"/>
      </font>
      <fill>
        <patternFill patternType="solid">
          <fgColor indexed="64"/>
          <bgColor rgb="FF3333CC"/>
        </patternFill>
      </fill>
    </dxf>
    <dxf>
      <font>
        <color rgb="FFFFFFFF"/>
      </font>
      <fill>
        <patternFill patternType="solid">
          <fgColor indexed="64"/>
          <bgColor rgb="FF3333FF"/>
        </patternFill>
      </fill>
    </dxf>
    <dxf>
      <font>
        <color rgb="FFFFFFFF"/>
      </font>
      <fill>
        <patternFill patternType="solid">
          <fgColor indexed="64"/>
          <bgColor rgb="FF0000FF"/>
        </patternFill>
      </fill>
    </dxf>
    <dxf>
      <font>
        <color rgb="FFFFFFFF"/>
      </font>
      <fill>
        <patternFill patternType="solid">
          <fgColor indexed="64"/>
          <bgColor rgb="FF0000CC"/>
        </patternFill>
      </fill>
    </dxf>
    <dxf>
      <font>
        <color rgb="FFFFFFFF"/>
      </font>
      <fill>
        <patternFill patternType="solid">
          <fgColor indexed="64"/>
          <bgColor rgb="FF000099"/>
        </patternFill>
      </fill>
    </dxf>
    <dxf>
      <font>
        <color rgb="FFFFFFFF"/>
      </font>
      <fill>
        <patternFill patternType="solid">
          <fgColor indexed="64"/>
          <bgColor rgb="FF003399"/>
        </patternFill>
      </fill>
    </dxf>
    <dxf>
      <font>
        <color rgb="FFFFFFFF"/>
      </font>
      <fill>
        <patternFill patternType="solid">
          <fgColor indexed="64"/>
          <bgColor rgb="FF3366CC"/>
        </patternFill>
      </fill>
    </dxf>
    <dxf>
      <font>
        <color rgb="FFFFFFFF"/>
      </font>
      <fill>
        <patternFill patternType="solid">
          <fgColor indexed="64"/>
          <bgColor rgb="FF336699"/>
        </patternFill>
      </fill>
    </dxf>
    <dxf>
      <font>
        <color rgb="FFFFFFFF"/>
      </font>
      <fill>
        <patternFill patternType="solid">
          <fgColor indexed="64"/>
          <bgColor rgb="FF003366"/>
        </patternFill>
      </fill>
    </dxf>
    <dxf>
      <font>
        <color rgb="FFFFFFFF"/>
      </font>
      <fill>
        <patternFill patternType="solid">
          <fgColor indexed="64"/>
          <bgColor rgb="FF006666"/>
        </patternFill>
      </fill>
    </dxf>
    <dxf>
      <font>
        <color rgb="FFFFFFFF"/>
      </font>
      <fill>
        <patternFill patternType="solid">
          <fgColor indexed="64"/>
          <bgColor rgb="FF008080"/>
        </patternFill>
      </fill>
    </dxf>
    <dxf>
      <font>
        <color rgb="FFFFFFFF"/>
      </font>
      <fill>
        <patternFill patternType="solid">
          <fgColor indexed="64"/>
          <bgColor rgb="FF339966"/>
        </patternFill>
      </fill>
    </dxf>
    <dxf>
      <font>
        <color rgb="FFFFFFFF"/>
      </font>
      <fill>
        <patternFill patternType="solid">
          <fgColor indexed="64"/>
          <bgColor rgb="FF339933"/>
        </patternFill>
      </fill>
    </dxf>
    <dxf>
      <font>
        <color rgb="FFFFFFFF"/>
      </font>
      <fill>
        <patternFill patternType="solid">
          <fgColor indexed="64"/>
          <bgColor rgb="FF006600"/>
        </patternFill>
      </fill>
    </dxf>
    <dxf>
      <font>
        <color rgb="FFFFFFFF"/>
      </font>
      <fill>
        <patternFill patternType="solid">
          <fgColor indexed="64"/>
          <bgColor rgb="FF0033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003300"/>
        </patternFill>
      </fill>
    </dxf>
    <dxf>
      <font>
        <color rgb="FFFFFFFF"/>
      </font>
      <fill>
        <patternFill patternType="solid">
          <fgColor indexed="64"/>
          <bgColor rgb="FF006600"/>
        </patternFill>
      </fill>
    </dxf>
    <dxf>
      <font>
        <color rgb="FFFFFFFF"/>
      </font>
      <fill>
        <patternFill patternType="solid">
          <fgColor indexed="64"/>
          <bgColor rgb="FF339933"/>
        </patternFill>
      </fill>
    </dxf>
    <dxf>
      <font>
        <color rgb="FFFFFFFF"/>
      </font>
      <fill>
        <patternFill patternType="solid">
          <fgColor indexed="64"/>
          <bgColor rgb="FF339966"/>
        </patternFill>
      </fill>
    </dxf>
    <dxf>
      <font>
        <color rgb="FFFFFFFF"/>
      </font>
      <fill>
        <patternFill patternType="solid">
          <fgColor indexed="64"/>
          <bgColor rgb="FF008080"/>
        </patternFill>
      </fill>
    </dxf>
    <dxf>
      <font>
        <color rgb="FFFFFFFF"/>
      </font>
      <fill>
        <patternFill patternType="solid">
          <fgColor indexed="64"/>
          <bgColor rgb="FF006666"/>
        </patternFill>
      </fill>
    </dxf>
    <dxf>
      <font>
        <color rgb="FFFFFFFF"/>
      </font>
      <fill>
        <patternFill patternType="solid">
          <fgColor indexed="64"/>
          <bgColor rgb="FF003366"/>
        </patternFill>
      </fill>
    </dxf>
    <dxf>
      <font>
        <color rgb="FFFFFFFF"/>
      </font>
      <fill>
        <patternFill patternType="solid">
          <fgColor indexed="64"/>
          <bgColor rgb="FF336699"/>
        </patternFill>
      </fill>
    </dxf>
    <dxf>
      <font>
        <color rgb="FFFFFFFF"/>
      </font>
      <fill>
        <patternFill patternType="solid">
          <fgColor indexed="64"/>
          <bgColor rgb="FF3366CC"/>
        </patternFill>
      </fill>
    </dxf>
    <dxf>
      <font>
        <color rgb="FFFFFFFF"/>
      </font>
      <fill>
        <patternFill patternType="solid">
          <fgColor indexed="64"/>
          <bgColor rgb="FF003399"/>
        </patternFill>
      </fill>
    </dxf>
    <dxf>
      <font>
        <color rgb="FFFFFFFF"/>
      </font>
      <fill>
        <patternFill patternType="solid">
          <fgColor indexed="64"/>
          <bgColor rgb="FF000099"/>
        </patternFill>
      </fill>
    </dxf>
    <dxf>
      <font>
        <color rgb="FFFFFFFF"/>
      </font>
      <fill>
        <patternFill patternType="solid">
          <fgColor indexed="64"/>
          <bgColor rgb="FF0000CC"/>
        </patternFill>
      </fill>
    </dxf>
    <dxf>
      <font>
        <color rgb="FFFFFFFF"/>
      </font>
      <fill>
        <patternFill patternType="solid">
          <fgColor indexed="64"/>
          <bgColor rgb="FF0000FF"/>
        </patternFill>
      </fill>
    </dxf>
    <dxf>
      <font>
        <color rgb="FFFFFFFF"/>
      </font>
      <fill>
        <patternFill patternType="solid">
          <fgColor indexed="64"/>
          <bgColor rgb="FF3333FF"/>
        </patternFill>
      </fill>
    </dxf>
    <dxf>
      <font>
        <color rgb="FFFFFFFF"/>
      </font>
      <fill>
        <patternFill patternType="solid">
          <fgColor indexed="64"/>
          <bgColor rgb="FF3333CC"/>
        </patternFill>
      </fill>
    </dxf>
    <dxf>
      <font>
        <color rgb="FFFFFFFF"/>
      </font>
      <fill>
        <patternFill patternType="solid">
          <fgColor indexed="64"/>
          <bgColor rgb="FF333399"/>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right/>
        <top/>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fill>
        <patternFill patternType="none">
          <bgColor auto="1"/>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color auto="1"/>
      </font>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left"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left style="thin">
          <color theme="1"/>
        </left>
        <right style="medium">
          <color indexed="64"/>
        </right>
        <top style="medium">
          <color theme="1"/>
        </top>
        <bottom style="medium">
          <color theme="1"/>
        </bottom>
      </border>
    </dxf>
    <dxf>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1"/>
        </left>
        <right style="thin">
          <color theme="1"/>
        </right>
        <top/>
        <bottom/>
      </border>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rgb="FF0000FF"/>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indexed="65"/>
        </patternFill>
      </fill>
    </dxf>
    <dxf>
      <font>
        <strike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ill>
        <patternFill patternType="none">
          <fgColor indexed="64"/>
          <bgColor auto="1"/>
        </patternFill>
      </fill>
      <alignment horizontal="center" textRotation="0" wrapText="1" indent="0" justifyLastLine="0" shrinkToFit="0" readingOrder="0"/>
    </dxf>
  </dxfs>
  <tableStyles count="0" defaultTableStyle="TableStyleMedium9"/>
  <colors>
    <mruColors>
      <color rgb="FF0000FF"/>
      <color rgb="FFFFFFFF"/>
      <color rgb="FFFFFFCC"/>
      <color rgb="FF080808"/>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2</c:v>
                </c:pt>
                <c:pt idx="1">
                  <c:v>5.719329833984375</c:v>
                </c:pt>
                <c:pt idx="2">
                  <c:v>7.1491622924804687</c:v>
                </c:pt>
                <c:pt idx="3">
                  <c:v>8.5789947509765625</c:v>
                </c:pt>
                <c:pt idx="4">
                  <c:v>10.008827209472656</c:v>
                </c:pt>
                <c:pt idx="5">
                  <c:v>11.43865966796875</c:v>
                </c:pt>
                <c:pt idx="6">
                  <c:v>12.868492126464844</c:v>
                </c:pt>
                <c:pt idx="7">
                  <c:v>14.298324584960937</c:v>
                </c:pt>
                <c:pt idx="8">
                  <c:v>15.728157043457031</c:v>
                </c:pt>
                <c:pt idx="9">
                  <c:v>17.157989501953125</c:v>
                </c:pt>
                <c:pt idx="10">
                  <c:v>18.587821960449219</c:v>
                </c:pt>
                <c:pt idx="11">
                  <c:v>20.017654418945313</c:v>
                </c:pt>
                <c:pt idx="12">
                  <c:v>21.447486877441406</c:v>
                </c:pt>
                <c:pt idx="13">
                  <c:v>22.8773193359375</c:v>
                </c:pt>
                <c:pt idx="14">
                  <c:v>24.307151794433594</c:v>
                </c:pt>
                <c:pt idx="15">
                  <c:v>25.736984252929688</c:v>
                </c:pt>
                <c:pt idx="16">
                  <c:v>27.166816711425781</c:v>
                </c:pt>
                <c:pt idx="17">
                  <c:v>28.596649169921875</c:v>
                </c:pt>
              </c:numCache>
            </c:numRef>
          </c:val>
          <c:smooth val="0"/>
        </c:ser>
        <c:dLbls>
          <c:showLegendKey val="0"/>
          <c:showVal val="0"/>
          <c:showCatName val="0"/>
          <c:showSerName val="0"/>
          <c:showPercent val="0"/>
          <c:showBubbleSize val="0"/>
        </c:dLbls>
        <c:smooth val="0"/>
        <c:axId val="432832352"/>
        <c:axId val="432831568"/>
      </c:lineChart>
      <c:catAx>
        <c:axId val="43283235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831568"/>
        <c:crosses val="autoZero"/>
        <c:auto val="1"/>
        <c:lblAlgn val="ctr"/>
        <c:lblOffset val="100"/>
        <c:noMultiLvlLbl val="0"/>
      </c:catAx>
      <c:valAx>
        <c:axId val="432831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832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32832744"/>
        <c:axId val="432830000"/>
      </c:lineChart>
      <c:catAx>
        <c:axId val="43283274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830000"/>
        <c:crosses val="autoZero"/>
        <c:auto val="1"/>
        <c:lblAlgn val="ctr"/>
        <c:lblOffset val="100"/>
        <c:noMultiLvlLbl val="0"/>
      </c:catAx>
      <c:valAx>
        <c:axId val="432830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832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32831176"/>
        <c:axId val="432829608"/>
      </c:lineChart>
      <c:catAx>
        <c:axId val="43283117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829608"/>
        <c:crosses val="autoZero"/>
        <c:auto val="1"/>
        <c:lblAlgn val="ctr"/>
        <c:lblOffset val="100"/>
        <c:noMultiLvlLbl val="0"/>
      </c:catAx>
      <c:valAx>
        <c:axId val="432829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831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432824904"/>
        <c:axId val="482604776"/>
      </c:lineChart>
      <c:catAx>
        <c:axId val="43282490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04776"/>
        <c:crosses val="autoZero"/>
        <c:auto val="1"/>
        <c:lblAlgn val="ctr"/>
        <c:lblOffset val="100"/>
        <c:noMultiLvlLbl val="0"/>
      </c:catAx>
      <c:valAx>
        <c:axId val="4826047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824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8</xdr:col>
          <xdr:colOff>0</xdr:colOff>
          <xdr:row>6</xdr:row>
          <xdr:rowOff>0</xdr:rowOff>
        </xdr:to>
        <xdr:sp macro="" textlink="">
          <xdr:nvSpPr>
            <xdr:cNvPr id="208323" name="DAC-Mode" hidden="1">
              <a:extLst>
                <a:ext uri="{63B3BB69-23CF-44E3-9099-C40C66FF867C}">
                  <a14:compatExt spid="_x0000_s20832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47625</xdr:rowOff>
        </xdr:to>
        <xdr:sp macro="" textlink="">
          <xdr:nvSpPr>
            <xdr:cNvPr id="208324" name="SecSiteYes" hidden="1">
              <a:extLst>
                <a:ext uri="{63B3BB69-23CF-44E3-9099-C40C66FF867C}">
                  <a14:compatExt spid="_x0000_s208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47625</xdr:rowOff>
        </xdr:to>
        <xdr:sp macro="" textlink="">
          <xdr:nvSpPr>
            <xdr:cNvPr id="208325" name="SecSiteNo" hidden="1">
              <a:extLst>
                <a:ext uri="{63B3BB69-23CF-44E3-9099-C40C66FF867C}">
                  <a14:compatExt spid="_x0000_s208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16</xdr:col>
          <xdr:colOff>0</xdr:colOff>
          <xdr:row>6</xdr:row>
          <xdr:rowOff>0</xdr:rowOff>
        </xdr:to>
        <xdr:sp macro="" textlink="">
          <xdr:nvSpPr>
            <xdr:cNvPr id="208326" name="FSW-Site" descr="Witness Site" hidden="1">
              <a:extLst>
                <a:ext uri="{63B3BB69-23CF-44E3-9099-C40C66FF867C}">
                  <a14:compatExt spid="_x0000_s2083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0</xdr:colOff>
          <xdr:row>4</xdr:row>
          <xdr:rowOff>47625</xdr:rowOff>
        </xdr:to>
        <xdr:sp macro="" textlink="">
          <xdr:nvSpPr>
            <xdr:cNvPr id="208327" name="FSWprimary" hidden="1">
              <a:extLst>
                <a:ext uri="{63B3BB69-23CF-44E3-9099-C40C66FF867C}">
                  <a14:compatExt spid="_x0000_s208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0</xdr:colOff>
          <xdr:row>5</xdr:row>
          <xdr:rowOff>47625</xdr:rowOff>
        </xdr:to>
        <xdr:sp macro="" textlink="">
          <xdr:nvSpPr>
            <xdr:cNvPr id="208328" name="FSWsecondary" hidden="1">
              <a:extLst>
                <a:ext uri="{63B3BB69-23CF-44E3-9099-C40C66FF867C}">
                  <a14:compatExt spid="_x0000_s208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0</xdr:colOff>
          <xdr:row>4</xdr:row>
          <xdr:rowOff>47625</xdr:rowOff>
        </xdr:to>
        <xdr:sp macro="" textlink="">
          <xdr:nvSpPr>
            <xdr:cNvPr id="208329" name="FSWthird" hidden="1">
              <a:extLst>
                <a:ext uri="{63B3BB69-23CF-44E3-9099-C40C66FF867C}">
                  <a14:compatExt spid="_x0000_s208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Calculate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Copy</a:t>
              </a:r>
            </a:p>
            <a:p>
              <a:pPr algn="ctr" rtl="0">
                <a:defRPr sz="1000"/>
              </a:pPr>
              <a:r>
                <a:rPr lang="en-US" sz="1000" b="0" i="0" u="none" strike="noStrike" baseline="0">
                  <a:solidFill>
                    <a:srgbClr val="000000"/>
                  </a:solidFill>
                  <a:latin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17</xdr:row>
          <xdr:rowOff>0</xdr:rowOff>
        </xdr:to>
        <xdr:sp macro="" textlink="">
          <xdr:nvSpPr>
            <xdr:cNvPr id="294615" name="Server 1" hidden="1">
              <a:extLst>
                <a:ext uri="{63B3BB69-23CF-44E3-9099-C40C66FF867C}">
                  <a14:compatExt spid="_x0000_s294615"/>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0</xdr:colOff>
          <xdr:row>17</xdr:row>
          <xdr:rowOff>0</xdr:rowOff>
        </xdr:to>
        <xdr:sp macro="" textlink="">
          <xdr:nvSpPr>
            <xdr:cNvPr id="294616" name="Server 2" hidden="1">
              <a:extLst>
                <a:ext uri="{63B3BB69-23CF-44E3-9099-C40C66FF867C}">
                  <a14:compatExt spid="_x0000_s294616"/>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11</xdr:row>
          <xdr:rowOff>0</xdr:rowOff>
        </xdr:from>
        <xdr:to>
          <xdr:col>7</xdr:col>
          <xdr:colOff>0</xdr:colOff>
          <xdr:row>17</xdr:row>
          <xdr:rowOff>0</xdr:rowOff>
        </xdr:to>
        <xdr:sp macro="" textlink="">
          <xdr:nvSpPr>
            <xdr:cNvPr id="294617" name="Server 3" hidden="1">
              <a:extLst>
                <a:ext uri="{63B3BB69-23CF-44E3-9099-C40C66FF867C}">
                  <a14:compatExt spid="_x0000_s294617"/>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8</xdr:col>
          <xdr:colOff>0</xdr:colOff>
          <xdr:row>17</xdr:row>
          <xdr:rowOff>0</xdr:rowOff>
        </xdr:to>
        <xdr:sp macro="" textlink="">
          <xdr:nvSpPr>
            <xdr:cNvPr id="294618" name="Server 4" hidden="1">
              <a:extLst>
                <a:ext uri="{63B3BB69-23CF-44E3-9099-C40C66FF867C}">
                  <a14:compatExt spid="_x0000_s294618"/>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8</xdr:col>
          <xdr:colOff>0</xdr:colOff>
          <xdr:row>11</xdr:row>
          <xdr:rowOff>0</xdr:rowOff>
        </xdr:to>
        <xdr:sp macro="" textlink="">
          <xdr:nvSpPr>
            <xdr:cNvPr id="294619" name="WAN Link 1" hidden="1">
              <a:extLst>
                <a:ext uri="{63B3BB69-23CF-44E3-9099-C40C66FF867C}">
                  <a14:compatExt spid="_x0000_s2946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11</xdr:row>
          <xdr:rowOff>0</xdr:rowOff>
        </xdr:from>
        <xdr:to>
          <xdr:col>22</xdr:col>
          <xdr:colOff>0</xdr:colOff>
          <xdr:row>17</xdr:row>
          <xdr:rowOff>0</xdr:rowOff>
        </xdr:to>
        <xdr:sp macro="" textlink="">
          <xdr:nvSpPr>
            <xdr:cNvPr id="294620" name="Server 5" hidden="1">
              <a:extLst>
                <a:ext uri="{63B3BB69-23CF-44E3-9099-C40C66FF867C}">
                  <a14:compatExt spid="_x0000_s294620"/>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11</xdr:row>
          <xdr:rowOff>0</xdr:rowOff>
        </xdr:from>
        <xdr:to>
          <xdr:col>23</xdr:col>
          <xdr:colOff>0</xdr:colOff>
          <xdr:row>17</xdr:row>
          <xdr:rowOff>0</xdr:rowOff>
        </xdr:to>
        <xdr:sp macro="" textlink="">
          <xdr:nvSpPr>
            <xdr:cNvPr id="294621" name="Server 6" hidden="1">
              <a:extLst>
                <a:ext uri="{63B3BB69-23CF-44E3-9099-C40C66FF867C}">
                  <a14:compatExt spid="_x0000_s294621"/>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11</xdr:row>
          <xdr:rowOff>0</xdr:rowOff>
        </xdr:from>
        <xdr:to>
          <xdr:col>24</xdr:col>
          <xdr:colOff>0</xdr:colOff>
          <xdr:row>17</xdr:row>
          <xdr:rowOff>0</xdr:rowOff>
        </xdr:to>
        <xdr:sp macro="" textlink="">
          <xdr:nvSpPr>
            <xdr:cNvPr id="294622" name="Server 7" hidden="1">
              <a:extLst>
                <a:ext uri="{63B3BB69-23CF-44E3-9099-C40C66FF867C}">
                  <a14:compatExt spid="_x0000_s294622"/>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11</xdr:row>
          <xdr:rowOff>0</xdr:rowOff>
        </xdr:from>
        <xdr:to>
          <xdr:col>25</xdr:col>
          <xdr:colOff>0</xdr:colOff>
          <xdr:row>17</xdr:row>
          <xdr:rowOff>0</xdr:rowOff>
        </xdr:to>
        <xdr:sp macro="" textlink="">
          <xdr:nvSpPr>
            <xdr:cNvPr id="294623" name="Server 8" hidden="1">
              <a:extLst>
                <a:ext uri="{63B3BB69-23CF-44E3-9099-C40C66FF867C}">
                  <a14:compatExt spid="_x0000_s294623"/>
                </a:ext>
              </a:extLst>
            </xdr:cNvPr>
            <xdr:cNvSpPr/>
          </xdr:nvSpPr>
          <xdr:spPr bwMode="auto">
            <a:xfrm>
              <a:off x="0" y="0"/>
              <a:ext cx="0" cy="0"/>
            </a:xfrm>
            <a:prstGeom prst="rect">
              <a:avLst/>
            </a:prstGeom>
            <a:noFill/>
            <a:ln w="9525">
              <a:miter lim="800000"/>
              <a:headEnd/>
              <a:tailEnd/>
            </a:ln>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9</xdr:row>
          <xdr:rowOff>0</xdr:rowOff>
        </xdr:from>
        <xdr:to>
          <xdr:col>25</xdr:col>
          <xdr:colOff>0</xdr:colOff>
          <xdr:row>11</xdr:row>
          <xdr:rowOff>0</xdr:rowOff>
        </xdr:to>
        <xdr:sp macro="" textlink="">
          <xdr:nvSpPr>
            <xdr:cNvPr id="294624" name="WAN Link 2" hidden="1">
              <a:extLst>
                <a:ext uri="{63B3BB69-23CF-44E3-9099-C40C66FF867C}">
                  <a14:compatExt spid="_x0000_s2946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2" name="Table2" displayName="Table2" ref="B21:C27" totalsRowShown="0" headerRowDxfId="1150" dataDxfId="1149">
  <tableColumns count="2">
    <tableColumn id="1" name="Exchange Environment Configuration" dataDxfId="1148"/>
    <tableColumn id="2" name="Value" dataDxfId="1147"/>
  </tableColumns>
  <tableStyleInfo name="TableStyleMedium15" showFirstColumn="0" showLastColumn="0" showRowStripes="1" showColumnStripes="0"/>
</table>
</file>

<file path=xl/tables/table2.xml><?xml version="1.0" encoding="utf-8"?>
<table xmlns="http://schemas.openxmlformats.org/spreadsheetml/2006/main" id="3" name="Table3" displayName="Table3" ref="B35:C41" totalsRowShown="0" headerRowDxfId="1146">
  <tableColumns count="2">
    <tableColumn id="1" name="Exchange Data Configuration" dataDxfId="1145"/>
    <tableColumn id="2" name="Value"/>
  </tableColumns>
  <tableStyleInfo name="TableStyleMedium15" showFirstColumn="0" showLastColumn="0" showRowStripes="1" showColumnStripes="0"/>
</table>
</file>

<file path=xl/tables/table3.xml><?xml version="1.0" encoding="utf-8"?>
<table xmlns="http://schemas.openxmlformats.org/spreadsheetml/2006/main" id="4" name="Table4" displayName="Table4" ref="E35:F40" totalsRowShown="0" headerRowDxfId="1144">
  <tableColumns count="2">
    <tableColumn id="1" name="Database Configuration" dataDxfId="1143"/>
    <tableColumn id="2" name="Value"/>
  </tableColumns>
  <tableStyleInfo name="TableStyleMedium15" showFirstColumn="0" showLastColumn="0" showRowStripes="1" showColumnStripes="0"/>
</table>
</file>

<file path=xl/tables/table4.xml><?xml version="1.0" encoding="utf-8"?>
<table xmlns="http://schemas.openxmlformats.org/spreadsheetml/2006/main" id="5" name="Table5" displayName="Table5" ref="B43:C45" totalsRowShown="0" headerRowDxfId="1142">
  <tableColumns count="2">
    <tableColumn id="1" name="Exchange I/O Configuration" dataDxfId="1141"/>
    <tableColumn id="2" name="Value"/>
  </tableColumns>
  <tableStyleInfo name="TableStyleMedium15" showFirstColumn="0" showLastColumn="0" showRowStripes="1" showColumnStripes="0"/>
</table>
</file>

<file path=xl/tables/table5.xml><?xml version="1.0" encoding="utf-8"?>
<table xmlns="http://schemas.openxmlformats.org/spreadsheetml/2006/main" id="6" name="Table6" displayName="Table6" ref="E29:F32" totalsRowShown="0" headerRowDxfId="1140">
  <tableColumns count="2">
    <tableColumn id="1" name="Lagged Database Copy Configuration" dataDxfId="1139"/>
    <tableColumn id="2" name="Value"/>
  </tableColumns>
  <tableStyleInfo name="TableStyleMedium15" showFirstColumn="0" showLastColumn="0" showRowStripes="1" showColumnStripes="0"/>
</table>
</file>

<file path=xl/tables/table6.xml><?xml version="1.0" encoding="utf-8"?>
<table xmlns="http://schemas.openxmlformats.org/spreadsheetml/2006/main" id="7" name="Table7" displayName="Table7" ref="B73:C90" totalsRowShown="0" headerRowDxfId="1138">
  <tableColumns count="2">
    <tableColumn id="1" name="Tier-2 User Mailbox Configuration" dataDxfId="1137"/>
    <tableColumn id="2" name="Value"/>
  </tableColumns>
  <tableStyleInfo name="TableStyleMedium15" showFirstColumn="0" showLastColumn="0" showRowStripes="1" showColumnStripes="0"/>
</table>
</file>

<file path=xl/tables/table7.xml><?xml version="1.0" encoding="utf-8"?>
<table xmlns="http://schemas.openxmlformats.org/spreadsheetml/2006/main" id="8" name="Table8" displayName="Table8" ref="E54:F71" totalsRowShown="0" headerRowDxfId="1136">
  <tableColumns count="2">
    <tableColumn id="1" name="Tier-3 User Mailbox Configuration" dataDxfId="1135"/>
    <tableColumn id="2" name="Value"/>
  </tableColumns>
  <tableStyleInfo name="TableStyleMedium15" showFirstColumn="0" showLastColumn="0" showRowStripes="1" showColumnStripes="0"/>
</table>
</file>

<file path=xl/tables/table8.xml><?xml version="1.0" encoding="utf-8"?>
<table xmlns="http://schemas.openxmlformats.org/spreadsheetml/2006/main" id="10" name="Table10" displayName="Table10" ref="B54:C71" totalsRowShown="0" headerRowDxfId="1134">
  <tableColumns count="2">
    <tableColumn id="1" name="Tier-1 User Mailbox Configuration" dataDxfId="1133"/>
    <tableColumn id="2" name="Value"/>
  </tableColumns>
  <tableStyleInfo name="TableStyleMedium15" showFirstColumn="0" showLastColumn="0" showRowStripes="1" showColumnStripes="0"/>
</table>
</file>

<file path=xl/tables/table9.xml><?xml version="1.0" encoding="utf-8"?>
<table xmlns="http://schemas.openxmlformats.org/spreadsheetml/2006/main" id="11" name="Table11" displayName="Table11" ref="B96:C100" totalsRowShown="0" headerRowDxfId="1132">
  <tableColumns count="2">
    <tableColumn id="1" name="Backup Configuration" dataDxfId="1131"/>
    <tableColumn id="2" name="Value"/>
  </tableColumns>
  <tableStyleInfo name="TableStyleMedium15" showFirstColumn="0" showLastColumn="0" showRowStripes="1" showColumnStripes="0"/>
</table>
</file>

<file path=xl/tables/table10.xml><?xml version="1.0" encoding="utf-8"?>
<table xmlns="http://schemas.openxmlformats.org/spreadsheetml/2006/main" id="12" name="Table12" displayName="Table12" ref="B144:C169" totalsRowCount="1">
  <tableColumns count="2">
    <tableColumn id="1" name="Hours in the Day" totalsRowLabel="Total" dataDxfId="1130" totalsRowDxfId="1129"/>
    <tableColumn id="2" name="Logs Generated / Hour Percentage" totalsRowFunction="custom" dataDxfId="1128" totalsRowDxfId="1127"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id="13" name="Table13" displayName="Table13" ref="E143:F145" totalsRowShown="0" headerRowDxfId="1126">
  <tableColumns count="2">
    <tableColumn id="1" name="Network Configuration" dataDxfId="1125"/>
    <tableColumn id="2" name="Value"/>
  </tableColumns>
  <tableStyleInfo name="TableStyleMedium15" showFirstColumn="0" showLastColumn="0" showRowStripes="1" showColumnStripes="0"/>
</table>
</file>

<file path=xl/tables/table12.xml><?xml version="1.0" encoding="utf-8"?>
<table xmlns="http://schemas.openxmlformats.org/spreadsheetml/2006/main" id="9" name="Table510" displayName="Table510" ref="B29:C33" totalsRowShown="0" headerRowDxfId="1124">
  <tableColumns count="2">
    <tableColumn id="1" name="Mailbox Database Copy Configuration" dataDxfId="1123"/>
    <tableColumn id="2" name="Value" dataDxfId="1122"/>
  </tableColumns>
  <tableStyleInfo name="TableStyleMedium15" showFirstColumn="0" showLastColumn="0" showRowStripes="1" showColumnStripes="0"/>
</table>
</file>

<file path=xl/tables/table13.xml><?xml version="1.0" encoding="utf-8"?>
<table xmlns="http://schemas.openxmlformats.org/spreadsheetml/2006/main" id="52" name="Table52" displayName="Table52" ref="B115:D118" headerRowCount="0" totalsRowShown="0" headerRowDxfId="1121" dataDxfId="1120">
  <tableColumns count="3">
    <tableColumn id="1" name="Primary Datacenter Server Disk Configuration" headerRowDxfId="1119"/>
    <tableColumn id="2" name="Disk Capacity" headerRowDxfId="1118" dataDxfId="1117"/>
    <tableColumn id="3" name="Disk Type" headerRowDxfId="1116" dataDxfId="1115"/>
  </tableColumns>
  <tableStyleInfo name="TableStyleMedium15" showFirstColumn="0" showLastColumn="0" showRowStripes="1" showColumnStripes="0"/>
</table>
</file>

<file path=xl/tables/table14.xml><?xml version="1.0" encoding="utf-8"?>
<table xmlns="http://schemas.openxmlformats.org/spreadsheetml/2006/main" id="45" name="Table45" displayName="Table45" ref="B106:C112" totalsRowShown="0" headerRowDxfId="1114" dataDxfId="1113">
  <tableColumns count="2">
    <tableColumn id="1" name="Storage Options" dataDxfId="1112"/>
    <tableColumn id="2" name="Value" dataDxfId="1111"/>
  </tableColumns>
  <tableStyleInfo name="TableStyleMedium15" showFirstColumn="0" showLastColumn="0" showRowStripes="1" showColumnStripes="0"/>
</table>
</file>

<file path=xl/tables/table15.xml><?xml version="1.0" encoding="utf-8"?>
<table xmlns="http://schemas.openxmlformats.org/spreadsheetml/2006/main" id="47" name="Table47" displayName="Table47" ref="B130:D133" totalsRowShown="0" headerRowDxfId="1110" dataDxfId="1109" tableBorderDxfId="1108">
  <tableColumns count="3">
    <tableColumn id="1" name="Server Configuration" dataDxfId="1107"/>
    <tableColumn id="2" name="Processor Cores / Server" dataDxfId="1106"/>
    <tableColumn id="5" name="SPECint2006 Rate Value" dataDxfId="1105"/>
  </tableColumns>
  <tableStyleInfo name="TableStyleMedium15" showFirstColumn="0" showLastColumn="0" showRowStripes="1" showColumnStripes="0"/>
</table>
</file>

<file path=xl/tables/table16.xml><?xml version="1.0" encoding="utf-8"?>
<table xmlns="http://schemas.openxmlformats.org/spreadsheetml/2006/main" id="79" name="Table880" displayName="Table880" ref="E73:F90" totalsRowShown="0" headerRowDxfId="1104">
  <tableColumns count="2">
    <tableColumn id="1" name="Tier-4 User Mailbox Configuration" dataDxfId="1103"/>
    <tableColumn id="2" name="Value"/>
  </tableColumns>
  <tableStyleInfo name="TableStyleMedium15" showFirstColumn="0" showLastColumn="0" showRowStripes="1" showColumnStripes="0"/>
</table>
</file>

<file path=xl/tables/table17.xml><?xml version="1.0" encoding="utf-8"?>
<table xmlns="http://schemas.openxmlformats.org/spreadsheetml/2006/main" id="87" name="Table87" displayName="Table87" ref="E21:F26" totalsRowShown="0" headerRowDxfId="1102">
  <tableColumns count="2">
    <tableColumn id="1" name="Site Resilience Configuration" dataDxfId="1101"/>
    <tableColumn id="2" name="Value" dataDxfId="1100"/>
  </tableColumns>
  <tableStyleInfo name="TableStyleMedium15" showFirstColumn="0" showLastColumn="0" showRowStripes="1" showColumnStripes="0"/>
</table>
</file>

<file path=xl/tables/table18.xml><?xml version="1.0" encoding="utf-8"?>
<table xmlns="http://schemas.openxmlformats.org/spreadsheetml/2006/main" id="91" name="Table91" displayName="Table91" ref="B121:D124" headerRowCount="0" totalsRowShown="0" headerRowDxfId="1099" dataDxfId="1098" tableBorderDxfId="1097">
  <tableColumns count="3">
    <tableColumn id="1" name="Secondary Datacenter Server Disk Configuration" headerRowDxfId="1096" dataDxfId="1095"/>
    <tableColumn id="2" name="Disk Capacity" headerRowDxfId="1094" dataDxfId="1093"/>
    <tableColumn id="3" name="Disk Type" headerRowDxfId="1092" dataDxfId="1091"/>
  </tableColumns>
  <tableStyleInfo name="TableStyleMedium15" showFirstColumn="0" showLastColumn="0" showRowStripes="1" showColumnStripes="0"/>
</table>
</file>

<file path=xl/tables/table19.xml><?xml version="1.0" encoding="utf-8"?>
<table xmlns="http://schemas.openxmlformats.org/spreadsheetml/2006/main" id="97" name="Table97" displayName="Table97" ref="B135:C136" totalsRowShown="0" tableBorderDxfId="1090">
  <tableColumns count="2">
    <tableColumn id="1" name="Processor Configuration" dataDxfId="1089"/>
    <tableColumn id="2" name="Value" dataDxfId="1088" dataCellStyle="Percent"/>
  </tableColumns>
  <tableStyleInfo name="TableStyleMedium15" showFirstColumn="0" showLastColumn="0" showRowStripes="1" showColumnStripes="0"/>
</table>
</file>

<file path=xl/tables/table20.xml><?xml version="1.0" encoding="utf-8"?>
<table xmlns="http://schemas.openxmlformats.org/spreadsheetml/2006/main" id="99" name="tblServerNames" displayName="tblServerNames" ref="B174:C190" totalsRowShown="0" headerRowDxfId="1087" dataDxfId="1086">
  <tableColumns count="2">
    <tableColumn id="1" name="Server" dataDxfId="1085">
      <calculatedColumnFormula>GetFailureDomain(1)</calculatedColumnFormula>
    </tableColumn>
    <tableColumn id="2" name="Name" dataDxfId="1084"/>
  </tableColumns>
  <tableStyleInfo name="TableStyleMedium15" showFirstColumn="0" showLastColumn="0" showRowStripes="1" showColumnStripes="0"/>
</table>
</file>

<file path=xl/tables/table21.xml><?xml version="1.0" encoding="utf-8"?>
<table xmlns="http://schemas.openxmlformats.org/spreadsheetml/2006/main" id="102" name="Table102" displayName="Table102" ref="B192:C195" totalsRowShown="0" headerRowDxfId="1083" dataDxfId="1081" headerRowBorderDxfId="1082" tableBorderDxfId="1080">
  <tableColumns count="2">
    <tableColumn id="1" name="Failure Domains" dataDxfId="1079"/>
    <tableColumn id="2" name="Value" dataDxfId="1078"/>
  </tableColumns>
  <tableStyleInfo name="TableStyleMedium1" showFirstColumn="0" showLastColumn="0" showRowStripes="1" showColumnStripes="0"/>
</table>
</file>

<file path=xl/tables/table22.xml><?xml version="1.0" encoding="utf-8"?>
<table xmlns="http://schemas.openxmlformats.org/spreadsheetml/2006/main" id="107" name="Table107" displayName="Table107" ref="E43:F45" totalsRowShown="0" headerRowDxfId="1077">
  <tableColumns count="2">
    <tableColumn id="1" name="Transport Configuration" dataDxfId="1076"/>
    <tableColumn id="2" name="Value" dataDxfId="1075" dataCellStyle="Percent"/>
  </tableColumns>
  <tableStyleInfo name="TableStyleMedium15" showFirstColumn="0" showLastColumn="0" showRowStripes="1" showColumnStripes="0"/>
</table>
</file>

<file path=xl/tables/table23.xml><?xml version="1.0" encoding="utf-8"?>
<table xmlns="http://schemas.openxmlformats.org/spreadsheetml/2006/main" id="106" name="Table106" displayName="Table106" ref="B51:C52" totalsRowShown="0" headerRowDxfId="1074" dataDxfId="1073" tableBorderDxfId="1072">
  <tableColumns count="2">
    <tableColumn id="1" name="User Mailbox Configuration Settings" dataDxfId="1071"/>
    <tableColumn id="2" name="Value" dataDxfId="1070"/>
  </tableColumns>
  <tableStyleInfo name="TableStyleMedium15" showFirstColumn="0" showLastColumn="0" showRowStripes="1" showColumnStripes="0"/>
</table>
</file>

<file path=xl/tables/table24.xml><?xml version="1.0" encoding="utf-8"?>
<table xmlns="http://schemas.openxmlformats.org/spreadsheetml/2006/main" id="14" name="Table14" displayName="Table14" ref="B9:C33" totalsRowShown="0" headerRowDxfId="1069" dataDxfId="1068">
  <tableColumns count="2">
    <tableColumn id="1" name="Tier-1 User Mailbox Calculations" dataDxfId="1067"/>
    <tableColumn id="2" name="Value" dataDxfId="1066"/>
  </tableColumns>
  <tableStyleInfo name="TableStyleMedium9" showFirstColumn="0" showLastColumn="0" showRowStripes="1" showColumnStripes="0"/>
</table>
</file>

<file path=xl/tables/table25.xml><?xml version="1.0" encoding="utf-8"?>
<table xmlns="http://schemas.openxmlformats.org/spreadsheetml/2006/main" id="16" name="Table16" displayName="Table16" ref="B35:C59" totalsRowShown="0" headerRowDxfId="1065" dataDxfId="1064">
  <tableColumns count="2">
    <tableColumn id="1" name="Tier-3 User Mailbox Calculations" dataDxfId="1063"/>
    <tableColumn id="2" name="Value" dataDxfId="1062"/>
  </tableColumns>
  <tableStyleInfo name="TableStyleMedium9" showFirstColumn="0" showLastColumn="0" showRowStripes="1" showColumnStripes="0"/>
</table>
</file>

<file path=xl/tables/table26.xml><?xml version="1.0" encoding="utf-8"?>
<table xmlns="http://schemas.openxmlformats.org/spreadsheetml/2006/main" id="17" name="Table17" displayName="Table17" ref="H9:I33" totalsRowShown="0" headerRowDxfId="1061" dataDxfId="1060">
  <tableColumns count="2">
    <tableColumn id="1" name="Tier-2 User Mailbox Calculations" dataDxfId="1059"/>
    <tableColumn id="2" name="Value" dataDxfId="1058"/>
  </tableColumns>
  <tableStyleInfo name="TableStyleMedium9" showFirstColumn="0" showLastColumn="0" showRowStripes="1" showColumnStripes="0"/>
</table>
</file>

<file path=xl/tables/table27.xml><?xml version="1.0" encoding="utf-8"?>
<table xmlns="http://schemas.openxmlformats.org/spreadsheetml/2006/main" id="18" name="Table18" displayName="Table18" ref="H69:I78" totalsRowShown="0" headerRowDxfId="1057" dataDxfId="1056">
  <tableColumns count="2">
    <tableColumn id="1" name="I/O Calculations" dataDxfId="1055"/>
    <tableColumn id="2" name="Value" dataDxfId="1054"/>
  </tableColumns>
  <tableStyleInfo name="TableStyleMedium9" showFirstColumn="0" showLastColumn="0" showRowStripes="1" showColumnStripes="0"/>
</table>
</file>

<file path=xl/tables/table28.xml><?xml version="1.0" encoding="utf-8"?>
<table xmlns="http://schemas.openxmlformats.org/spreadsheetml/2006/main" id="19" name="Table19" displayName="Table19" ref="B61:C82" totalsRowShown="0" headerRowDxfId="1053" dataDxfId="1052">
  <tableColumns count="2">
    <tableColumn id="1" name="Database Calculations" dataDxfId="1051"/>
    <tableColumn id="2" name="Value" dataDxfId="1050"/>
  </tableColumns>
  <tableStyleInfo name="TableStyleMedium9" showFirstColumn="0" showLastColumn="0" showRowStripes="1" showColumnStripes="0"/>
</table>
</file>

<file path=xl/tables/table29.xml><?xml version="1.0" encoding="utf-8"?>
<table xmlns="http://schemas.openxmlformats.org/spreadsheetml/2006/main" id="21" name="Table21" displayName="Table21" ref="B144:C154" totalsRowShown="0" headerRowDxfId="1049" dataDxfId="1048">
  <tableColumns count="2">
    <tableColumn id="1" name="Transaction Log Calculations" dataDxfId="1047"/>
    <tableColumn id="2" name="Value" dataDxfId="1046"/>
  </tableColumns>
  <tableStyleInfo name="TableStyleMedium9" showFirstColumn="0" showLastColumn="0" showRowStripes="1" showColumnStripes="0"/>
</table>
</file>

<file path=xl/tables/table30.xml><?xml version="1.0" encoding="utf-8"?>
<table xmlns="http://schemas.openxmlformats.org/spreadsheetml/2006/main" id="22" name="Table22" displayName="Table22" ref="H144:I150" totalsRowShown="0" headerRowDxfId="1045" dataDxfId="1044">
  <tableColumns count="2">
    <tableColumn id="1" name="Disk Capacity Calculations" dataDxfId="1043"/>
    <tableColumn id="2" name="Value" dataDxfId="1042">
      <calculatedColumnFormula>(LogDiskSpaceReqBackup+LogDiskSpaceReqMove)</calculatedColumnFormula>
    </tableColumn>
  </tableColumns>
  <tableStyleInfo name="TableStyleMedium9" showFirstColumn="0" showLastColumn="0" showRowStripes="1" showColumnStripes="0"/>
</table>
</file>

<file path=xl/tables/table31.xml><?xml version="1.0" encoding="utf-8"?>
<table xmlns="http://schemas.openxmlformats.org/spreadsheetml/2006/main" id="23" name="Table23" displayName="Table23" ref="H94:I102" totalsRowShown="0" headerRowDxfId="1041" dataDxfId="1040">
  <tableColumns count="2">
    <tableColumn id="1" name="Lag Calculations" dataDxfId="1039"/>
    <tableColumn id="2" name="Value" dataDxfId="1038">
      <calculatedColumnFormula>IF(numLagDBCopies&lt;&gt;0,MIN(TruncationLagHours/(60*60*24),14),0)</calculatedColumnFormula>
    </tableColumn>
  </tableColumns>
  <tableStyleInfo name="TableStyleMedium9" showFirstColumn="0" showLastColumn="0" showRowStripes="1" showColumnStripes="0"/>
</table>
</file>

<file path=xl/tables/table32.xml><?xml version="1.0" encoding="utf-8"?>
<table xmlns="http://schemas.openxmlformats.org/spreadsheetml/2006/main" id="24" name="Table24" displayName="Table24" ref="B209:F214" headerRowCount="0" headerRowDxfId="1037" dataDxfId="1036">
  <tableColumns count="5">
    <tableColumn id="1" name="Environment Configuration" totalsRowLabel="Total" headerRowDxfId="1035" dataDxfId="1034" totalsRowDxfId="1033"/>
    <tableColumn id="2" name=" / Primary Datacenter" headerRowDxfId="1032" dataDxfId="1031" totalsRowDxfId="1030"/>
    <tableColumn id="3" name="/ Secondary Datacenter" headerRowDxfId="1029" dataDxfId="1028" totalsRowDxfId="1027"/>
    <tableColumn id="4" name="/ DAG" totalsRowFunction="sum" headerRowDxfId="1026" dataDxfId="1025" totalsRowDxfId="1024"/>
    <tableColumn id="5" name=" / Environment" headerRowDxfId="1023" dataDxfId="1022" totalsRowDxfId="1021"/>
  </tableColumns>
  <tableStyleInfo name="TableStyleMedium11" showFirstColumn="0" showLastColumn="0" showRowStripes="1" showColumnStripes="0"/>
</table>
</file>

<file path=xl/tables/table33.xml><?xml version="1.0" encoding="utf-8"?>
<table xmlns="http://schemas.openxmlformats.org/spreadsheetml/2006/main" id="25" name="Table25" displayName="Table25" ref="B216:F222" totalsRowShown="0" headerRowDxfId="1020" dataDxfId="1019">
  <tableColumns count="5">
    <tableColumn id="1" name="User Mailbox Configuration" dataDxfId="1018"/>
    <tableColumn id="2" name="Tier-1" dataDxfId="1017"/>
    <tableColumn id="3" name="Tier-2" dataDxfId="1016"/>
    <tableColumn id="4" name="Tier-3" dataDxfId="1015"/>
    <tableColumn id="5" name="Tier-4" dataDxfId="1014"/>
  </tableColumns>
  <tableStyleInfo name="TableStyleMedium11" showFirstColumn="0" showLastColumn="0" showRowStripes="1" showColumnStripes="0"/>
</table>
</file>

<file path=xl/tables/table34.xml><?xml version="1.0" encoding="utf-8"?>
<table xmlns="http://schemas.openxmlformats.org/spreadsheetml/2006/main" id="26" name="Table26" displayName="Table26" ref="B229:C232" totalsRowShown="0" headerRowDxfId="1013" dataDxfId="1012">
  <tableColumns count="2">
    <tableColumn id="1" name="Database Configuration" dataDxfId="1011"/>
    <tableColumn id="2" name=" " dataDxfId="1010"/>
  </tableColumns>
  <tableStyleInfo name="TableStyleMedium11" showFirstColumn="0" showLastColumn="0" showRowStripes="1" showColumnStripes="0"/>
</table>
</file>

<file path=xl/tables/table35.xml><?xml version="1.0" encoding="utf-8"?>
<table xmlns="http://schemas.openxmlformats.org/spreadsheetml/2006/main" id="28" name="Table28" displayName="Table28" ref="B255:F261" totalsRowShown="0" headerRowDxfId="1009" dataDxfId="1008">
  <tableColumns count="5">
    <tableColumn id="1" name="Disk Space Requirements" dataDxfId="1007"/>
    <tableColumn id="2" name="/ Database" dataDxfId="1006"/>
    <tableColumn id="3" name=" / Server" dataDxfId="1005"/>
    <tableColumn id="4" name="/ DAG" dataDxfId="1004"/>
    <tableColumn id="5" name="/ Environment" dataDxfId="1003"/>
  </tableColumns>
  <tableStyleInfo name="TableStyleMedium11" showFirstColumn="0" showLastColumn="0" showRowStripes="1" showColumnStripes="0"/>
</table>
</file>

<file path=xl/tables/table36.xml><?xml version="1.0" encoding="utf-8"?>
<table xmlns="http://schemas.openxmlformats.org/spreadsheetml/2006/main" id="1" name="Table232" displayName="Table232" ref="B124:C128" totalsRowShown="0" headerRowDxfId="1002" dataDxfId="1001">
  <tableColumns count="2">
    <tableColumn id="1" name="Second Datacenter Activation (DR) Calculations" dataDxfId="1000"/>
    <tableColumn id="2" name="Value" dataDxfId="999">
      <calculatedColumnFormula>IF(numLagDBCopies&lt;&gt;0,MIN(TruncationLagHours/(60*60*24),7),0)</calculatedColumnFormula>
    </tableColumn>
  </tableColumns>
  <tableStyleInfo name="TableStyleMedium9" showFirstColumn="0" showLastColumn="0" showRowStripes="1" showColumnStripes="0"/>
</table>
</file>

<file path=xl/tables/table37.xml><?xml version="1.0" encoding="utf-8"?>
<table xmlns="http://schemas.openxmlformats.org/spreadsheetml/2006/main" id="33" name="Table33" displayName="Table33" ref="B130:C142" totalsRowShown="0" headerRowDxfId="998" dataDxfId="997">
  <tableColumns count="2">
    <tableColumn id="1" name="Memory Calculations (Primary Datacenter)" dataDxfId="996"/>
    <tableColumn id="2" name="Value" dataDxfId="995"/>
  </tableColumns>
  <tableStyleInfo name="TableStyleMedium9" showFirstColumn="0" showLastColumn="0" showRowStripes="1" showColumnStripes="0"/>
</table>
</file>

<file path=xl/tables/table38.xml><?xml version="1.0" encoding="utf-8"?>
<table xmlns="http://schemas.openxmlformats.org/spreadsheetml/2006/main" id="35" name="Table35" displayName="Table35" ref="B94:C111" totalsRowShown="0" headerRowDxfId="994" dataDxfId="992" headerRowBorderDxfId="993" tableBorderDxfId="991">
  <tableColumns count="2">
    <tableColumn id="1" name="Server Calculations" dataDxfId="990"/>
    <tableColumn id="2" name="Value" dataDxfId="989"/>
  </tableColumns>
  <tableStyleInfo name="TableStyleMedium9" showFirstColumn="0" showLastColumn="0" showRowStripes="1" showColumnStripes="0"/>
</table>
</file>

<file path=xl/tables/table39.xml><?xml version="1.0" encoding="utf-8"?>
<table xmlns="http://schemas.openxmlformats.org/spreadsheetml/2006/main" id="37" name="Table37" displayName="Table37" ref="B250:F253" totalsRowShown="0" dataDxfId="987" headerRowBorderDxfId="988" tableBorderDxfId="986">
  <tableColumns count="5">
    <tableColumn id="1" name="Transaction Log Requirements" dataDxfId="985"/>
    <tableColumn id="2" name="/ Database" dataDxfId="984"/>
    <tableColumn id="3" name="/ Server" dataDxfId="983"/>
    <tableColumn id="4" name="/ DAG" dataDxfId="982"/>
    <tableColumn id="5" name="/ Environment" dataDxfId="981"/>
  </tableColumns>
  <tableStyleInfo name="TableStyleMedium11" showFirstColumn="0" showLastColumn="0" showRowStripes="1" showColumnStripes="0"/>
</table>
</file>

<file path=xl/tables/table40.xml><?xml version="1.0" encoding="utf-8"?>
<table xmlns="http://schemas.openxmlformats.org/spreadsheetml/2006/main" id="20" name="Table2421" displayName="Table2421" ref="B234:E235" totalsRowShown="0" headerRowDxfId="980" dataDxfId="979">
  <tableColumns count="4">
    <tableColumn id="1" name="Database Copy Configuration" dataDxfId="978"/>
    <tableColumn id="2" name=" / Server" dataDxfId="977">
      <calculatedColumnFormula>IF(ValidationCheck=FALSE,IF(HAOption="Yes",TotNumDBCopiesServer,RecNumDBs),"--")</calculatedColumnFormula>
    </tableColumn>
    <tableColumn id="3" name="/ DAG" dataDxfId="976">
      <calculatedColumnFormula>IF(AND(HAOption="Yes",ValidationCheck=FALSE),(TotNumDBCopiesDC1+TotNumLagDBCopiesDC1+TotNumLagDBCopiesDC2+TotNumDBCopiesDC2),"--")</calculatedColumnFormula>
    </tableColumn>
    <tableColumn id="4" name="/ Environment" dataDxfId="975">
      <calculatedColumnFormula>IF(ValidationCheck=FALSE,IF(HAOption="Yes",Table2421[[#This Row],[/ DAG]]*calcNumDAGs,Table2421[] Table2421[ / Server] *numMBXServers),"--")</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id="41" name="Table2442" displayName="Table2442" ref="B240:E246" headerRowCount="0" headerRowDxfId="974" dataDxfId="973">
  <tableColumns count="4">
    <tableColumn id="1" name="Server Configuration" totalsRowLabel="Total" headerRowDxfId="972" dataDxfId="971" totalsRowDxfId="970"/>
    <tableColumn id="2" name=" / Primary Datacenter Server" headerRowDxfId="969" dataDxfId="968" totalsRowDxfId="967">
      <calculatedColumnFormula>ServerRAMConfig</calculatedColumnFormula>
    </tableColumn>
    <tableColumn id="3" name="/ Secondary Datacenter Server" headerRowDxfId="966" dataDxfId="965" totalsRowDxfId="964">
      <calculatedColumnFormula>IF(calcNumPMBXServersDC2&lt;&gt;0,calcMBXServerACPUSDC+calcMBXServerPCPUSDC,"--")</calculatedColumnFormula>
    </tableColumn>
    <tableColumn id="4" name="/ Lagged Copy Server" totalsRowFunction="sum" headerRowDxfId="963" dataDxfId="962" totalsRowDxfId="961">
      <calculatedColumnFormula>IF(calcNumLagMBXServers&lt;&gt;0,calcLaggedServerCPU,"--")</calculatedColumnFormula>
    </tableColumn>
  </tableColumns>
  <tableStyleInfo name="TableStyleMedium11" showFirstColumn="0" showLastColumn="0" showRowStripes="1" showColumnStripes="0"/>
</table>
</file>

<file path=xl/tables/table42.xml><?xml version="1.0" encoding="utf-8"?>
<table xmlns="http://schemas.openxmlformats.org/spreadsheetml/2006/main" id="42" name="Table3343" displayName="Table3343" ref="H130:I140" totalsRowShown="0" headerRowDxfId="960" dataDxfId="959">
  <tableColumns count="2">
    <tableColumn id="1" name="Memory Calculations (Secondary Datacenter)" dataDxfId="958"/>
    <tableColumn id="2" name="Value" dataDxfId="957"/>
  </tableColumns>
  <tableStyleInfo name="TableStyleMedium9" showFirstColumn="0" showLastColumn="0" showRowStripes="1" showColumnStripes="0"/>
</table>
</file>

<file path=xl/tables/table43.xml><?xml version="1.0" encoding="utf-8"?>
<table xmlns="http://schemas.openxmlformats.org/spreadsheetml/2006/main" id="46" name="Table46" displayName="Table46" ref="H61:I67" totalsRowShown="0" headerRowDxfId="956" dataDxfId="955">
  <tableColumns count="2">
    <tableColumn id="1" name="Database Copy Instance Configuration" dataDxfId="954"/>
    <tableColumn id="2" name="Value" dataDxfId="953"/>
  </tableColumns>
  <tableStyleInfo name="TableStyleMedium9" showFirstColumn="0" showLastColumn="0" showRowStripes="1" showColumnStripes="0"/>
</table>
</file>

<file path=xl/tables/table44.xml><?xml version="1.0" encoding="utf-8"?>
<table xmlns="http://schemas.openxmlformats.org/spreadsheetml/2006/main" id="48" name="Table48" displayName="Table48" ref="B156:C170" totalsRowShown="0" headerRowDxfId="952">
  <tableColumns count="2">
    <tableColumn id="1" name="Processor Megacycle Calculations" dataDxfId="951"/>
    <tableColumn id="2" name="Value" dataDxfId="950"/>
  </tableColumns>
  <tableStyleInfo name="TableStyleMedium9" showFirstColumn="0" showLastColumn="0" showRowStripes="1" showColumnStripes="0"/>
</table>
</file>

<file path=xl/tables/table45.xml><?xml version="1.0" encoding="utf-8"?>
<table xmlns="http://schemas.openxmlformats.org/spreadsheetml/2006/main" id="69" name="Table69" displayName="Table69" ref="H124:I127" totalsRowShown="0" headerRowDxfId="949" dataDxfId="947" headerRowBorderDxfId="948" tableBorderDxfId="946">
  <tableColumns count="2">
    <tableColumn id="1" name="Storage Architecture" dataDxfId="945"/>
    <tableColumn id="2" name="Value" dataDxfId="944">
      <calculatedColumnFormula>IF(AND(VolArchitecture="1 LUN / DB",NumDBCopies&gt;=3),"JBOD","RAID")</calculatedColumnFormula>
    </tableColumn>
  </tableColumns>
  <tableStyleInfo name="TableStyleMedium9" showFirstColumn="0" showLastColumn="0" showRowStripes="1" showColumnStripes="0"/>
</table>
</file>

<file path=xl/tables/table46.xml><?xml version="1.0" encoding="utf-8"?>
<table xmlns="http://schemas.openxmlformats.org/spreadsheetml/2006/main" id="32" name="Table2433" displayName="Table2433" ref="B225:E227" headerRowCount="0" headerRowDxfId="943" dataDxfId="942">
  <tableColumns count="4">
    <tableColumn id="1" name="Database Copy Instance Configuration" totalsRowLabel="Total" headerRowDxfId="941" dataDxfId="940" totalsRowDxfId="939"/>
    <tableColumn id="2" name=" / Primary Datacenter" headerRowDxfId="938" dataDxfId="937" totalsRowDxfId="936"/>
    <tableColumn id="3" name="/ Secondary Datacenter" headerRowDxfId="935" dataDxfId="934" totalsRowDxfId="933"/>
    <tableColumn id="4" name="Total" totalsRowFunction="sum" headerRowDxfId="932" dataDxfId="931" totalsRowDxfId="930"/>
  </tableColumns>
  <tableStyleInfo name="TableStyleMedium11" showFirstColumn="0" showLastColumn="0" showRowStripes="1" showColumnStripes="0"/>
</table>
</file>

<file path=xl/tables/table47.xml><?xml version="1.0" encoding="utf-8"?>
<table xmlns="http://schemas.openxmlformats.org/spreadsheetml/2006/main" id="73" name="Table73" displayName="Table73" ref="H156:I159" totalsRowShown="0" headerRowDxfId="929" dataDxfId="928" tableBorderDxfId="927">
  <tableColumns count="2">
    <tableColumn id="1" name="CPU Utilization" dataDxfId="926"/>
    <tableColumn id="2" name="Value" dataDxfId="925"/>
  </tableColumns>
  <tableStyleInfo name="TableStyleMedium9" showFirstColumn="0" showLastColumn="0" showRowStripes="1" showColumnStripes="0"/>
</table>
</file>

<file path=xl/tables/table48.xml><?xml version="1.0" encoding="utf-8"?>
<table xmlns="http://schemas.openxmlformats.org/spreadsheetml/2006/main" id="74" name="Table74" displayName="Table74" ref="B172:C181" totalsRowShown="0" headerRowDxfId="924">
  <tableColumns count="2">
    <tableColumn id="1" name="Processor Core Ratio Calculations" dataDxfId="923"/>
    <tableColumn id="2" name="Value" dataDxfId="922"/>
  </tableColumns>
  <tableStyleInfo name="TableStyleMedium9" showFirstColumn="0" showLastColumn="0" showRowStripes="1" showColumnStripes="0"/>
</table>
</file>

<file path=xl/tables/table49.xml><?xml version="1.0" encoding="utf-8"?>
<table xmlns="http://schemas.openxmlformats.org/spreadsheetml/2006/main" id="76" name="Table76" displayName="Table76" ref="B263:F267" totalsRowShown="0" headerRowDxfId="921" dataDxfId="920" tableBorderDxfId="919">
  <tableColumns count="5">
    <tableColumn id="1" name="Host IO and Throughput Requirements" dataDxfId="918"/>
    <tableColumn id="2" name="/ Database" dataDxfId="917"/>
    <tableColumn id="3" name=" / Server" dataDxfId="916"/>
    <tableColumn id="4" name="/ DAG" dataDxfId="915"/>
    <tableColumn id="5" name="/ Environment" dataDxfId="914"/>
  </tableColumns>
  <tableStyleInfo name="TableStyleMedium11" showFirstColumn="0" showLastColumn="0" showRowStripes="1" showColumnStripes="0"/>
</table>
</file>

<file path=xl/tables/table50.xml><?xml version="1.0" encoding="utf-8"?>
<table xmlns="http://schemas.openxmlformats.org/spreadsheetml/2006/main" id="77" name="Table77" displayName="Table77" ref="B202:D202" headerRowCount="0" totalsRowShown="0" headerRowDxfId="913" dataDxfId="912" tableBorderDxfId="911">
  <tableColumns count="3">
    <tableColumn id="1" name="Processor Core Ratio Requirements" headerRowDxfId="910" dataDxfId="909"/>
    <tableColumn id="2" name="/ Primary Datacenter" headerRowDxfId="908" dataDxfId="907">
      <calculatedColumnFormula>IF(ValidationCheck=FALSE,calcRecGCCoresPDC,"--")</calculatedColumnFormula>
    </tableColumn>
    <tableColumn id="3" name="/ Secondary Datacenter" headerRowDxfId="906" dataDxfId="905">
      <calculatedColumnFormula>IF(ValidationCheck=FALSE,calcRecGCCoresSDC,"--")</calculatedColumnFormula>
    </tableColumn>
  </tableColumns>
  <tableStyleInfo name="TableStyleMedium11" showFirstColumn="0" showLastColumn="0" showRowStripes="1" showColumnStripes="0"/>
</table>
</file>

<file path=xl/tables/table51.xml><?xml version="1.0" encoding="utf-8"?>
<table xmlns="http://schemas.openxmlformats.org/spreadsheetml/2006/main" id="80" name="Table1681" displayName="Table1681" ref="H35:I59" totalsRowShown="0" headerRowDxfId="904" dataDxfId="903">
  <tableColumns count="2">
    <tableColumn id="1" name="Tier-4 User Mailbox Calculations" dataDxfId="902"/>
    <tableColumn id="2" name="Value" dataDxfId="901"/>
  </tableColumns>
  <tableStyleInfo name="TableStyleMedium9" showFirstColumn="0" showLastColumn="0" showRowStripes="1" showColumnStripes="0"/>
</table>
</file>

<file path=xl/tables/table52.xml><?xml version="1.0" encoding="utf-8"?>
<table xmlns="http://schemas.openxmlformats.org/spreadsheetml/2006/main" id="83" name="Table83" displayName="Table83" ref="H172:I179" totalsRowShown="0" headerRowDxfId="900" dataDxfId="899" tableBorderDxfId="898">
  <tableColumns count="2">
    <tableColumn id="1" name="Log Stream Calculations" dataDxfId="897"/>
    <tableColumn id="2" name="Value" dataDxfId="896"/>
  </tableColumns>
  <tableStyleInfo name="TableStyleMedium9" showFirstColumn="0" showLastColumn="0" showRowStripes="1" showColumnStripes="0"/>
</table>
</file>

<file path=xl/tables/table53.xml><?xml version="1.0" encoding="utf-8"?>
<table xmlns="http://schemas.openxmlformats.org/spreadsheetml/2006/main" id="85" name="Table85" displayName="Table85" ref="H113:I117" totalsRowShown="0" headerRowDxfId="895">
  <tableColumns count="2">
    <tableColumn id="1" name="Total Number of Database Copies" dataDxfId="894"/>
    <tableColumn id="2" name="Value" dataDxfId="893"/>
  </tableColumns>
  <tableStyleInfo name="TableStyleMedium9" showFirstColumn="0" showLastColumn="0" showRowStripes="1" showColumnStripes="0"/>
</table>
</file>

<file path=xl/tables/table54.xml><?xml version="1.0" encoding="utf-8"?>
<table xmlns="http://schemas.openxmlformats.org/spreadsheetml/2006/main" id="86" name="Table86" displayName="Table86" ref="H84:I90" totalsRowShown="0" headerRowDxfId="892" dataDxfId="891" tableBorderDxfId="890">
  <tableColumns count="2">
    <tableColumn id="1" name="Server Calculations" dataDxfId="889"/>
    <tableColumn id="2" name="Value" dataDxfId="888"/>
  </tableColumns>
  <tableStyleInfo name="TableStyleMedium9" showFirstColumn="0" showLastColumn="0" showRowStripes="1" showColumnStripes="0"/>
</table>
</file>

<file path=xl/tables/table55.xml><?xml version="1.0" encoding="utf-8"?>
<table xmlns="http://schemas.openxmlformats.org/spreadsheetml/2006/main" id="88" name="Table88" displayName="Table88" ref="B84:C92" totalsRowShown="0" headerRowDxfId="887" dataDxfId="886">
  <tableColumns count="2">
    <tableColumn id="1" name="Database Copy Calculations" dataDxfId="885"/>
    <tableColumn id="2" name="Value" dataDxfId="884"/>
  </tableColumns>
  <tableStyleInfo name="TableStyleMedium9" showFirstColumn="0" showLastColumn="0" showRowStripes="1" showColumnStripes="0"/>
</table>
</file>

<file path=xl/tables/table56.xml><?xml version="1.0" encoding="utf-8"?>
<table xmlns="http://schemas.openxmlformats.org/spreadsheetml/2006/main" id="89" name="Table89" displayName="Table89" ref="B113:D122" totalsRowShown="0" headerRowDxfId="883" tableBorderDxfId="882">
  <tableColumns count="3">
    <tableColumn id="1" name="Active Database Distribution Calculations" dataDxfId="881"/>
    <tableColumn id="2" name="Datacenter 1" dataDxfId="880"/>
    <tableColumn id="3" name="Datacenter 2" dataDxfId="879">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7.xml><?xml version="1.0" encoding="utf-8"?>
<table xmlns="http://schemas.openxmlformats.org/spreadsheetml/2006/main" id="90" name="Table90" displayName="Table90" ref="H162:I170" totalsRowShown="0" headerRowDxfId="878">
  <tableColumns count="2">
    <tableColumn id="1" name="Validation Checks" dataDxfId="877"/>
    <tableColumn id="2" name="Value" dataDxfId="876">
      <calculatedColumnFormula>IF(HAOption="Yes",OR(IF(calcNumAMBXServersDC1+calcNumPMBXServersDC1+calcNumLagMBXServers+calcNumPMBXServersDC2+calcNumAMBXServersDC2&gt;16,TRUE,FALSE),IF(numDBCopiesSDC&gt;NumDBCopies-2,TRUE,FALSE)),FALSE)</calculatedColumnFormula>
    </tableColumn>
  </tableColumns>
  <tableStyleInfo name="TableStyleMedium9" showFirstColumn="0" showLastColumn="0" showRowStripes="1" showColumnStripes="0"/>
</table>
</file>

<file path=xl/tables/table58.xml><?xml version="1.0" encoding="utf-8"?>
<table xmlns="http://schemas.openxmlformats.org/spreadsheetml/2006/main" id="101" name="Table77102" displayName="Table77102" ref="B205:D206" headerRowCount="0" totalsRowShown="0" headerRowDxfId="875" dataDxfId="874" tableBorderDxfId="873">
  <tableColumns count="3">
    <tableColumn id="1" name="Processor Core Ratio Requirements" headerRowDxfId="872" dataDxfId="871"/>
    <tableColumn id="2" name="/ Primary Datacenter" headerRowDxfId="870" dataDxfId="869">
      <calculatedColumnFormula>IF(AND(ValidationCheck=FALSE,MultiRoleEnabled="No"),ROUNDUP(calcReqCASCoresPDCServer,0),"--")</calculatedColumnFormula>
    </tableColumn>
    <tableColumn id="3" name="/ Secondary Datacenter" headerRowDxfId="868" dataDxfId="867">
      <calculatedColumnFormula>IF(AND(ValidationCheck=FALSE,MultiRoleEnabled="No",SiteResilienceEnabled="Yes"),ROUNDUP(calcReqCASCoresSDCServer,0),"--")</calculatedColumnFormula>
    </tableColumn>
  </tableColumns>
  <tableStyleInfo name="TableStyleMedium11" showFirstColumn="0" showLastColumn="0" showRowStripes="1" showColumnStripes="0"/>
</table>
</file>

<file path=xl/tables/table59.xml><?xml version="1.0" encoding="utf-8"?>
<table xmlns="http://schemas.openxmlformats.org/spreadsheetml/2006/main" id="103" name="Table103" displayName="Table103" ref="H181:I189" totalsRowShown="0" headerRowDxfId="866" tableBorderDxfId="865">
  <autoFilter ref="H181:I189">
    <filterColumn colId="0" hiddenButton="1"/>
    <filterColumn colId="1" hiddenButton="1"/>
  </autoFilter>
  <tableColumns count="2">
    <tableColumn id="1" name="JBOD Validation Checks" dataDxfId="864"/>
    <tableColumn id="2" name="Value" dataDxfId="863"/>
  </tableColumns>
  <tableStyleInfo name="TableStyleMedium9" showFirstColumn="0" showLastColumn="0" showRowStripes="1" showColumnStripes="0"/>
</table>
</file>

<file path=xl/tables/table60.xml><?xml version="1.0" encoding="utf-8"?>
<table xmlns="http://schemas.openxmlformats.org/spreadsheetml/2006/main" id="105" name="Table105" displayName="Table105" ref="B183:C191" totalsRowShown="0" headerRowDxfId="862" tableBorderDxfId="861">
  <tableColumns count="2">
    <tableColumn id="1" name="Transport Calculations" dataDxfId="860"/>
    <tableColumn id="2" name="Value" dataDxfId="859">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1.xml><?xml version="1.0" encoding="utf-8"?>
<table xmlns="http://schemas.openxmlformats.org/spreadsheetml/2006/main" id="104" name="Table104" displayName="Table104" ref="B193:C197" totalsRowShown="0" headerRowDxfId="858">
  <autoFilter ref="B193:C197">
    <filterColumn colId="0" hiddenButton="1"/>
    <filterColumn colId="1" hiddenButton="1"/>
  </autoFilter>
  <tableColumns count="2">
    <tableColumn id="1" name="CAS Calculations" dataDxfId="857"/>
    <tableColumn id="2" name="Value" dataDxfId="856"/>
  </tableColumns>
  <tableStyleInfo name="TableStyleMedium9" showFirstColumn="0" showLastColumn="0" showRowStripes="1" showColumnStripes="0"/>
</table>
</file>

<file path=xl/tables/table62.xml><?xml version="1.0" encoding="utf-8"?>
<table xmlns="http://schemas.openxmlformats.org/spreadsheetml/2006/main" id="82" name="Table82" displayName="Table82" ref="B9:D12" totalsRowShown="0" headerRowDxfId="855" dataDxfId="854">
  <tableColumns count="3">
    <tableColumn id="1" name="DAG Member Layout" dataDxfId="853"/>
    <tableColumn id="2" name="Primary Datacenter" dataDxfId="852"/>
    <tableColumn id="3" name="Secondary Datacenter" dataDxfId="851"/>
  </tableColumns>
  <tableStyleInfo name="TableStyleMedium11" showFirstColumn="0" showLastColumn="0" showRowStripes="1" showColumnStripes="0"/>
</table>
</file>

<file path=xl/tables/table63.xml><?xml version="1.0" encoding="utf-8"?>
<table xmlns="http://schemas.openxmlformats.org/spreadsheetml/2006/main" id="39" name="Table242140" displayName="Table242140" ref="B14:G17" totalsRowShown="0" headerRowDxfId="850" dataDxfId="849">
  <tableColumns count="6">
    <tableColumn id="1" name="Active Database Configuration / DAG" dataDxfId="848"/>
    <tableColumn id="2" name=" / Primary Datacenter Server" dataDxfId="847"/>
    <tableColumn id="3" name="/ Secondary Datacenter Server" dataDxfId="846"/>
    <tableColumn id="4" name="Active Mailboxes / PDC Server" dataDxfId="845"/>
    <tableColumn id="7" name="/ Primary Datacenter" dataDxfId="844">
      <calculatedColumnFormula>RecNumDBs</calculatedColumnFormula>
    </tableColumn>
    <tableColumn id="8" name="/ Secondary Datacenter" dataDxfId="843"/>
  </tableColumns>
  <tableStyleInfo name="TableStyleMedium11" showFirstColumn="0" showLastColumn="0" showRowStripes="1" showColumnStripes="0"/>
</table>
</file>

<file path=xl/tables/table64.xml><?xml version="1.0" encoding="utf-8"?>
<table xmlns="http://schemas.openxmlformats.org/spreadsheetml/2006/main" id="78" name="Table24214079" displayName="Table24214079" ref="B19:D22" totalsRowShown="0" headerRowDxfId="842" dataDxfId="841">
  <tableColumns count="3">
    <tableColumn id="1" name="Secondary Datacenter Database Activation Configuration / DAG" dataDxfId="840"/>
    <tableColumn id="2" name=" / Secondary Datacenter Server" dataDxfId="839"/>
    <tableColumn id="3" name="Active Mailboxes / Server" dataDxfId="838"/>
  </tableColumns>
  <tableStyleInfo name="TableStyleMedium11" showFirstColumn="0" showLastColumn="0" showRowStripes="1" showColumnStripes="0"/>
</table>
</file>

<file path=xl/tables/table65.xml><?xml version="1.0" encoding="utf-8"?>
<table xmlns="http://schemas.openxmlformats.org/spreadsheetml/2006/main" id="92" name="Table8293" displayName="Table8293" ref="B27:D29" headerRowCount="0" totalsRowShown="0" headerRowDxfId="837" dataDxfId="836">
  <tableColumns count="3">
    <tableColumn id="1" name="DAG-A Member Layout" headerRowDxfId="835" dataDxfId="834"/>
    <tableColumn id="2" name="Datacenter 1_x000a_(Primary Datacenter)" headerRowDxfId="833" dataDxfId="832"/>
    <tableColumn id="3" name="Datacenter 2_x000a_(Secondary Datacenter)" headerRowDxfId="831" dataDxfId="830"/>
  </tableColumns>
  <tableStyleInfo name="TableStyleMedium11" showFirstColumn="0" showLastColumn="0" showRowStripes="1" showColumnStripes="0"/>
</table>
</file>

<file path=xl/tables/table66.xml><?xml version="1.0" encoding="utf-8"?>
<table xmlns="http://schemas.openxmlformats.org/spreadsheetml/2006/main" id="93" name="Table24214094" displayName="Table24214094" ref="B32:G34" headerRowCount="0" totalsRowShown="0" headerRowDxfId="829" dataDxfId="828">
  <tableColumns count="6">
    <tableColumn id="1" name="DAG-A_x000a_Active Database Configuration / DAG" headerRowDxfId="827" dataDxfId="826"/>
    <tableColumn id="2" name=" / Datacenter 1 Active Server" headerRowDxfId="825" dataDxfId="824"/>
    <tableColumn id="3" name="/ Datacenter 2 DR Server" headerRowDxfId="823" dataDxfId="822"/>
    <tableColumn id="4" name="Active Mailboxes / DC1 Server" headerRowDxfId="821" dataDxfId="820"/>
    <tableColumn id="7" name="/ Datacenter 1" headerRowDxfId="819" dataDxfId="818">
      <calculatedColumnFormula>RecNumDBs</calculatedColumnFormula>
    </tableColumn>
    <tableColumn id="8" name="/ Datacenter 2" headerRowDxfId="817" dataDxfId="816"/>
  </tableColumns>
  <tableStyleInfo name="TableStyleMedium11" showFirstColumn="0" showLastColumn="0" showRowStripes="1" showColumnStripes="0"/>
</table>
</file>

<file path=xl/tables/table67.xml><?xml version="1.0" encoding="utf-8"?>
<table xmlns="http://schemas.openxmlformats.org/spreadsheetml/2006/main" id="94" name="Table2421407995" displayName="Table2421407995" ref="B52:F54" headerRowCount="0" totalsRowShown="0" headerRowDxfId="815" dataDxfId="814">
  <tableColumns count="5">
    <tableColumn id="1" name="DAG-B Active Database Copy Activation (DC2 Site Failure) / DAG" headerRowDxfId="813" dataDxfId="812"/>
    <tableColumn id="2" name="/ Datacenter 1 DR Server" headerRowDxfId="811" dataDxfId="810"/>
    <tableColumn id="3" name="Active Mailboxes / DR Server" headerRowDxfId="809" dataDxfId="808"/>
    <tableColumn id="4" name="/ Datacenter 1" headerRowDxfId="807" dataDxfId="806">
      <calculatedColumnFormula>IF(AND(HAOption="Yes",SiteResilienceEnabled="Yes",SRModel&lt;&gt;"Active/Passive"),IF(Table2421407995[[#This Row],[/ Datacenter 1 DR Server]]&lt;&gt;"--",RecNumDBs,"--"),"--")</calculatedColumnFormula>
    </tableColumn>
    <tableColumn id="5" name="Total Active Mailboxes in DC1" headerRowDxfId="805" dataDxfId="804">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68.xml><?xml version="1.0" encoding="utf-8"?>
<table xmlns="http://schemas.openxmlformats.org/spreadsheetml/2006/main" id="95" name="Table2421409496" displayName="Table2421409496" ref="B47:G49" headerRowCount="0" totalsRowShown="0" headerRowDxfId="803" dataDxfId="802">
  <tableColumns count="6">
    <tableColumn id="1" name="DAG-B_x000a_Active Database Configuration / DAG" headerRowDxfId="801" dataDxfId="800"/>
    <tableColumn id="2" name=" / Datacenter 2 Active Server" headerRowDxfId="799" dataDxfId="798"/>
    <tableColumn id="3" name="/ Datacenter 1 DR Server" headerRowDxfId="797" dataDxfId="796"/>
    <tableColumn id="4" name="Active Mailboxes / DC2 Server" headerRowDxfId="795" dataDxfId="794"/>
    <tableColumn id="7" name="/ Datacenter 2" headerRowDxfId="793" dataDxfId="792">
      <calculatedColumnFormula>RecNumDBs</calculatedColumnFormula>
    </tableColumn>
    <tableColumn id="8" name="/ Datacenter 1" headerRowDxfId="791" dataDxfId="790"/>
  </tableColumns>
  <tableStyleInfo name="TableStyleMedium11" showFirstColumn="0" showLastColumn="0" showRowStripes="1" showColumnStripes="0"/>
</table>
</file>

<file path=xl/tables/table69.xml><?xml version="1.0" encoding="utf-8"?>
<table xmlns="http://schemas.openxmlformats.org/spreadsheetml/2006/main" id="96" name="Table242140799597" displayName="Table242140799597" ref="B37:F39" headerRowCount="0" totalsRowShown="0" headerRowDxfId="789" dataDxfId="788">
  <tableColumns count="5">
    <tableColumn id="1" name="DAG-A Active Database Copy Activation (DC1 Site Failure) / DAG" headerRowDxfId="787" dataDxfId="786"/>
    <tableColumn id="2" name="/ Datacenter 2 DR Server" headerRowDxfId="785" dataDxfId="784"/>
    <tableColumn id="3" name="Active Mailboxes / DR Server" headerRowDxfId="783" dataDxfId="782"/>
    <tableColumn id="4" name="/ Datacenter 2" headerRowDxfId="781" dataDxfId="780">
      <calculatedColumnFormula>IF(AND(HAOption="Yes",SiteResilienceEnabled="Yes",SRModel&lt;&gt;"Active/Passive"),IF(Table242140799597[[#This Row],[/ Datacenter 2 DR Server]]&lt;&gt;"--",RecNumDBs,"--"),"--")</calculatedColumnFormula>
    </tableColumn>
    <tableColumn id="5" name="Total Active Mailboxes in DC2" headerRowDxfId="779" dataDxfId="778">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70.xml><?xml version="1.0" encoding="utf-8"?>
<table xmlns="http://schemas.openxmlformats.org/spreadsheetml/2006/main" id="84" name="Table829385" displayName="Table829385" ref="B42:D44" headerRowCount="0" totalsRowShown="0" headerRowDxfId="777" dataDxfId="776">
  <tableColumns count="3">
    <tableColumn id="1" name="0" headerRowDxfId="775" dataDxfId="774"/>
    <tableColumn id="2" name="Datacenter 2_x000a_(Primary Datacenter)" headerRowDxfId="773" dataDxfId="772"/>
    <tableColumn id="3" name="Datacenter 1_x000a_(Secondary Datacenter)" headerRowDxfId="771" dataDxfId="770"/>
  </tableColumns>
  <tableStyleInfo name="TableStyleMedium11" showFirstColumn="0" showLastColumn="0" showRowStripes="1" showColumnStripes="0"/>
</table>
</file>

<file path=xl/tables/table71.xml><?xml version="1.0" encoding="utf-8"?>
<table xmlns="http://schemas.openxmlformats.org/spreadsheetml/2006/main" id="30" name="Table30" displayName="Table30" ref="B5:D105" totalsRowShown="0" headerRowDxfId="769" dataDxfId="768">
  <tableColumns count="3">
    <tableColumn id="1" name="DB Number" dataDxfId="767"/>
    <tableColumn id="2" name="DB Grouping" dataDxfId="766">
      <calculatedColumnFormula>IF(B123="--","",ROUNDUP(Table30[[#This Row],[DB Number]]/NumDBPerVol,0))</calculatedColumnFormula>
    </tableColumn>
    <tableColumn id="3" name="DB Group #" dataDxfId="765"/>
  </tableColumns>
  <tableStyleInfo name="TableStyleMedium9" showFirstColumn="0" showLastColumn="0" showRowStripes="1" showColumnStripes="0"/>
</table>
</file>

<file path=xl/tables/table72.xml><?xml version="1.0" encoding="utf-8"?>
<table xmlns="http://schemas.openxmlformats.org/spreadsheetml/2006/main" id="34" name="Table34" displayName="Table34" ref="H5:I10" totalsRowShown="0" headerRowDxfId="764">
  <tableColumns count="2">
    <tableColumn id="1" name="Volume Configuration" dataDxfId="763"/>
    <tableColumn id="2" name="Value"/>
  </tableColumns>
  <tableStyleInfo name="TableStyleMedium9" showFirstColumn="0" showLastColumn="0" showRowStripes="1" showColumnStripes="0"/>
</table>
</file>

<file path=xl/tables/table73.xml><?xml version="1.0" encoding="utf-8"?>
<table xmlns="http://schemas.openxmlformats.org/spreadsheetml/2006/main" id="36" name="Table36" displayName="Table36" ref="B109:C110" totalsRowShown="0" headerRowDxfId="762" dataDxfId="761">
  <tableColumns count="2">
    <tableColumn id="1" name="Volume Design" dataDxfId="760"/>
    <tableColumn id="2" name=" " dataDxfId="759">
      <calculatedColumnFormula>IF(VolDesign="1/7","2 Volumes / Backup Set",IF(AND(HAOption="Yes",calcTotNumHACopies+calcTotNumLagCopies&gt;=2,DBLogIsolation="No",BackupMethod&lt;&gt;"Hardware VSS Backup/Restore"),IF(calcMultipleDBVolume="Yes","Multiple DBs / Volume","1 Volume / DB"),"2 Volumes / DB"))</calculatedColumnFormula>
    </tableColumn>
  </tableColumns>
  <tableStyleInfo name="TableStyleMedium11" showFirstColumn="0" showLastColumn="0" showRowStripes="1" showColumnStripes="0"/>
</table>
</file>

<file path=xl/tables/table74.xml><?xml version="1.0" encoding="utf-8"?>
<table xmlns="http://schemas.openxmlformats.org/spreadsheetml/2006/main" id="38" name="Table38" displayName="Table38" ref="B123:F225" headerRowCount="0" totalsRowShown="0" headerRowDxfId="758" dataDxfId="757">
  <tableColumns count="5">
    <tableColumn id="1" name="0" headerRowDxfId="756"/>
    <tableColumn id="2" name="Max Mailboxes / DB" headerRowDxfId="755" dataDxfId="754" totalsRowDxfId="753"/>
    <tableColumn id="3" name="DB Size" headerRowDxfId="752" dataDxfId="751" totalsRowDxfId="750"/>
    <tableColumn id="4" name="DB Size + Overhead" headerRowDxfId="749" dataDxfId="748" totalsRowDxfId="747"/>
    <tableColumn id="5" name="Log Size + Overhead" headerRowDxfId="746" dataDxfId="745" totalsRowDxfId="744"/>
  </tableColumns>
  <tableStyleInfo name="TableStyleMedium11" showFirstColumn="0" showLastColumn="0" showRowStripes="1" showColumnStripes="0"/>
</table>
</file>

<file path=xl/tables/table75.xml><?xml version="1.0" encoding="utf-8"?>
<table xmlns="http://schemas.openxmlformats.org/spreadsheetml/2006/main" id="40" name="Table40" displayName="Table40" ref="I109:J110" totalsRowShown="0" headerRowDxfId="743">
  <tableColumns count="2">
    <tableColumn id="1" name="Restore Volume Design" dataDxfId="742"/>
    <tableColumn id="2" name=" " dataDxfId="741">
      <calculatedColumnFormula>IF(RestoreVolSize=0,"--",RestoreVolSize)</calculatedColumnFormula>
    </tableColumn>
  </tableColumns>
  <tableStyleInfo name="TableStyleMedium11" showFirstColumn="0" showLastColumn="0" showRowStripes="1" showColumnStripes="0"/>
</table>
</file>

<file path=xl/tables/table76.xml><?xml version="1.0" encoding="utf-8"?>
<table xmlns="http://schemas.openxmlformats.org/spreadsheetml/2006/main" id="43" name="Table43" displayName="Table43" ref="B14:I114" totalsRowShown="0" headerRowDxfId="740" dataDxfId="739">
  <tableColumns count="8">
    <tableColumn id="1" name="Database" dataDxfId="738"/>
    <tableColumn id="2" name="Monday" dataDxfId="737"/>
    <tableColumn id="3" name="Tuesday" dataDxfId="736">
      <calculatedColumnFormula>IF($B15="--","--",IF(BackupFreq="Daily Full","Full",IF(AND($C14="Full",ROW(D15)&lt;&gt;ROW($C14)),"Full",IF(BackupFreq="Weekly Full / Daily Incremental","Incremental","Differential"))))</calculatedColumnFormula>
    </tableColumn>
    <tableColumn id="4" name="Wednesday" dataDxfId="735">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name="Thursday" dataDxfId="734">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name="Friday" dataDxfId="733">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name="Saturday" dataDxfId="732">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name="Sunday" dataDxfId="731">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77.xml><?xml version="1.0" encoding="utf-8"?>
<table xmlns="http://schemas.openxmlformats.org/spreadsheetml/2006/main" id="121" name="Table121" displayName="Table121" ref="C30:D32" totalsRowShown="0" headerRowDxfId="730">
  <tableColumns count="2">
    <tableColumn id="1" name="Tier-1 Mailbox Space Modeling" dataDxfId="729"/>
    <tableColumn id="2" name="Value"/>
  </tableColumns>
  <tableStyleInfo name="TableStyleMedium11" showFirstColumn="0" showLastColumn="0" showRowStripes="1" showColumnStripes="0"/>
</table>
</file>

<file path=xl/tables/table78.xml><?xml version="1.0" encoding="utf-8"?>
<table xmlns="http://schemas.openxmlformats.org/spreadsheetml/2006/main" id="122" name="Table121123" displayName="Table121123" ref="C59:D61" totalsRowShown="0" headerRowDxfId="728">
  <tableColumns count="2">
    <tableColumn id="1" name="Tier-2 Mailbox Space Modeling" dataDxfId="727"/>
    <tableColumn id="2" name="Value"/>
  </tableColumns>
  <tableStyleInfo name="TableStyleMedium11" showFirstColumn="0" showLastColumn="0" showRowStripes="1" showColumnStripes="0"/>
</table>
</file>

<file path=xl/tables/table79.xml><?xml version="1.0" encoding="utf-8"?>
<table xmlns="http://schemas.openxmlformats.org/spreadsheetml/2006/main" id="123" name="Table121123124" displayName="Table121123124" ref="C88:D90" totalsRowShown="0" headerRowDxfId="726">
  <tableColumns count="2">
    <tableColumn id="1" name="Tier-3 Mailbox Space Modeling" dataDxfId="725"/>
    <tableColumn id="2" name="Value"/>
  </tableColumns>
  <tableStyleInfo name="TableStyleMedium11" showFirstColumn="0" showLastColumn="0" showRowStripes="1" showColumnStripes="0"/>
</table>
</file>

<file path=xl/tables/table80.xml><?xml version="1.0" encoding="utf-8"?>
<table xmlns="http://schemas.openxmlformats.org/spreadsheetml/2006/main" id="124" name="Table121123124125" displayName="Table121123124125" ref="C117:D119" totalsRowShown="0" headerRowDxfId="724">
  <tableColumns count="2">
    <tableColumn id="1" name="Tier-4 Mailbox Space Modeling" dataDxfId="723"/>
    <tableColumn id="2" name="Value"/>
  </tableColumns>
  <tableStyleInfo name="TableStyleMedium11" showFirstColumn="0" showLastColumn="0" showRowStripes="1" showColumnStripes="0"/>
</table>
</file>

<file path=xl/tables/table81.xml><?xml version="1.0" encoding="utf-8"?>
<table xmlns="http://schemas.openxmlformats.org/spreadsheetml/2006/main" id="110" name="Table110" displayName="Table110" ref="B5:C10" totalsRowShown="0" headerRowDxfId="722" dataDxfId="721" tableBorderDxfId="720">
  <tableColumns count="2">
    <tableColumn id="1" name="Tier 1 Mailbox Modeling Calculations" dataDxfId="719"/>
    <tableColumn id="2" name="Value" dataDxfId="718"/>
  </tableColumns>
  <tableStyleInfo name="TableStyleMedium9" showFirstColumn="0" showLastColumn="0" showRowStripes="1" showColumnStripes="0"/>
</table>
</file>

<file path=xl/tables/table82.xml><?xml version="1.0" encoding="utf-8"?>
<table xmlns="http://schemas.openxmlformats.org/spreadsheetml/2006/main" id="111" name="Table111" displayName="Table111" ref="B13:T15" headerRowCount="0" totalsRowShown="0" headerRowDxfId="717" dataDxfId="716">
  <tableColumns count="19">
    <tableColumn id="1" name="Tier-1 Mailbox Modeling Graph Data" headerRowDxfId="715" dataDxfId="714"/>
    <tableColumn id="19" name="Column1" headerRowDxfId="713" dataDxfId="712"/>
    <tableColumn id="2" name="12" headerRowDxfId="711" dataDxfId="710"/>
    <tableColumn id="3" name="15" headerRowDxfId="709" dataDxfId="708"/>
    <tableColumn id="4" name="18" headerRowDxfId="707" dataDxfId="706"/>
    <tableColumn id="5" name="21" headerRowDxfId="705" dataDxfId="704"/>
    <tableColumn id="6" name="24" headerRowDxfId="703" dataDxfId="702"/>
    <tableColumn id="7" name="27" headerRowDxfId="701" dataDxfId="700"/>
    <tableColumn id="8" name="30" headerRowDxfId="699" dataDxfId="698"/>
    <tableColumn id="9" name="33" headerRowDxfId="697" dataDxfId="696"/>
    <tableColumn id="10" name="36" headerRowDxfId="695" dataDxfId="694"/>
    <tableColumn id="11" name="39" headerRowDxfId="693" dataDxfId="692"/>
    <tableColumn id="12" name="42" headerRowDxfId="691" dataDxfId="690"/>
    <tableColumn id="13" name="45" headerRowDxfId="689" dataDxfId="688"/>
    <tableColumn id="14" name="48" headerRowDxfId="687" dataDxfId="686"/>
    <tableColumn id="15" name="51" headerRowDxfId="685" dataDxfId="684"/>
    <tableColumn id="16" name="54" headerRowDxfId="683" dataDxfId="682"/>
    <tableColumn id="17" name="57" headerRowDxfId="681" dataDxfId="680"/>
    <tableColumn id="18" name="60" headerRowDxfId="679" dataDxfId="678"/>
  </tableColumns>
  <tableStyleInfo name="TableStyleMedium9" showFirstColumn="0" showLastColumn="0" showRowStripes="1" showColumnStripes="0"/>
</table>
</file>

<file path=xl/tables/table83.xml><?xml version="1.0" encoding="utf-8"?>
<table xmlns="http://schemas.openxmlformats.org/spreadsheetml/2006/main" id="112" name="Table112" displayName="Table112" ref="B17:C19" totalsRowShown="0" headerRowDxfId="677">
  <tableColumns count="2">
    <tableColumn id="1" name="Tier-1 Mailbox Modeling Graph Data" dataDxfId="676"/>
    <tableColumn id="2" name="Maximum Mailbox Size" dataDxfId="675"/>
  </tableColumns>
  <tableStyleInfo name="TableStyleMedium9" showFirstColumn="0" showLastColumn="0" showRowStripes="1" showColumnStripes="0"/>
</table>
</file>

<file path=xl/tables/table84.xml><?xml version="1.0" encoding="utf-8"?>
<table xmlns="http://schemas.openxmlformats.org/spreadsheetml/2006/main" id="113" name="Table110114" displayName="Table110114" ref="B21:C26" totalsRowShown="0" headerRowDxfId="674" dataDxfId="673" tableBorderDxfId="672">
  <tableColumns count="2">
    <tableColumn id="1" name="Tier-2 Mailbox Modeling Calculations" dataDxfId="671"/>
    <tableColumn id="2" name="Value" dataDxfId="670"/>
  </tableColumns>
  <tableStyleInfo name="TableStyleMedium9" showFirstColumn="0" showLastColumn="0" showRowStripes="1" showColumnStripes="0"/>
</table>
</file>

<file path=xl/tables/table85.xml><?xml version="1.0" encoding="utf-8"?>
<table xmlns="http://schemas.openxmlformats.org/spreadsheetml/2006/main" id="108" name="Table111109" displayName="Table111109" ref="B29:T31" headerRowCount="0" totalsRowShown="0" headerRowDxfId="669" dataDxfId="668">
  <tableColumns count="19">
    <tableColumn id="1" name="Tier-1 Mailbox Modeling Graph Data" headerRowDxfId="667" dataDxfId="666"/>
    <tableColumn id="2" name="12" headerRowDxfId="665" dataDxfId="664"/>
    <tableColumn id="3" name="15" headerRowDxfId="663" dataDxfId="662"/>
    <tableColumn id="4" name="18" headerRowDxfId="661" dataDxfId="660"/>
    <tableColumn id="5" name="21" headerRowDxfId="659" dataDxfId="658"/>
    <tableColumn id="6" name="24" headerRowDxfId="657" dataDxfId="656"/>
    <tableColumn id="7" name="27" headerRowDxfId="655" dataDxfId="654"/>
    <tableColumn id="8" name="30" headerRowDxfId="653" dataDxfId="652"/>
    <tableColumn id="9" name="33" headerRowDxfId="651" dataDxfId="650"/>
    <tableColumn id="10" name="36" headerRowDxfId="649" dataDxfId="648"/>
    <tableColumn id="11" name="39" headerRowDxfId="647" dataDxfId="646"/>
    <tableColumn id="12" name="42" headerRowDxfId="645" dataDxfId="644"/>
    <tableColumn id="13" name="45" headerRowDxfId="643" dataDxfId="642"/>
    <tableColumn id="14" name="48" headerRowDxfId="641" dataDxfId="640"/>
    <tableColumn id="15" name="51" headerRowDxfId="639" dataDxfId="638"/>
    <tableColumn id="16" name="54" headerRowDxfId="637" dataDxfId="636"/>
    <tableColumn id="17" name="57" headerRowDxfId="635" dataDxfId="634"/>
    <tableColumn id="18" name="60" headerRowDxfId="633" dataDxfId="632"/>
    <tableColumn id="19" name="Column1" headerRowDxfId="631" dataDxfId="630"/>
  </tableColumns>
  <tableStyleInfo name="TableStyleMedium9" showFirstColumn="0" showLastColumn="0" showRowStripes="1" showColumnStripes="0"/>
</table>
</file>

<file path=xl/tables/table86.xml><?xml version="1.0" encoding="utf-8"?>
<table xmlns="http://schemas.openxmlformats.org/spreadsheetml/2006/main" id="109" name="Table112110" displayName="Table112110" ref="B33:C35" totalsRowShown="0" headerRowDxfId="629">
  <tableColumns count="2">
    <tableColumn id="1" name="Tier-2 Mailbox Modeling Graph Data" dataDxfId="628"/>
    <tableColumn id="2" name="Maximum Mailbox Size" dataDxfId="627"/>
  </tableColumns>
  <tableStyleInfo name="TableStyleMedium9" showFirstColumn="0" showLastColumn="0" showRowStripes="1" showColumnStripes="0"/>
</table>
</file>

<file path=xl/tables/table87.xml><?xml version="1.0" encoding="utf-8"?>
<table xmlns="http://schemas.openxmlformats.org/spreadsheetml/2006/main" id="114" name="Table110114115" displayName="Table110114115" ref="B37:C42" totalsRowShown="0" headerRowDxfId="626" dataDxfId="625" tableBorderDxfId="624">
  <tableColumns count="2">
    <tableColumn id="1" name="Tier-3 Mailbox Modeling Calculations" dataDxfId="623"/>
    <tableColumn id="2" name="Value" dataDxfId="622"/>
  </tableColumns>
  <tableStyleInfo name="TableStyleMedium9" showFirstColumn="0" showLastColumn="0" showRowStripes="1" showColumnStripes="0"/>
</table>
</file>

<file path=xl/tables/table88.xml><?xml version="1.0" encoding="utf-8"?>
<table xmlns="http://schemas.openxmlformats.org/spreadsheetml/2006/main" id="115" name="Table111109116" displayName="Table111109116" ref="B45:T47" headerRowCount="0" totalsRowShown="0" headerRowDxfId="621" dataDxfId="620">
  <tableColumns count="19">
    <tableColumn id="1" name="Tier-1 Mailbox Modeling Graph Data" headerRowDxfId="619" dataDxfId="618"/>
    <tableColumn id="2" name="12" headerRowDxfId="617" dataDxfId="616"/>
    <tableColumn id="3" name="15" headerRowDxfId="615" dataDxfId="614"/>
    <tableColumn id="4" name="18" headerRowDxfId="613" dataDxfId="612"/>
    <tableColumn id="5" name="21" headerRowDxfId="611" dataDxfId="610"/>
    <tableColumn id="6" name="24" headerRowDxfId="609" dataDxfId="608"/>
    <tableColumn id="7" name="27" headerRowDxfId="607" dataDxfId="606"/>
    <tableColumn id="8" name="30" headerRowDxfId="605" dataDxfId="604"/>
    <tableColumn id="9" name="33" headerRowDxfId="603" dataDxfId="602"/>
    <tableColumn id="10" name="36" headerRowDxfId="601" dataDxfId="600"/>
    <tableColumn id="11" name="39" headerRowDxfId="599" dataDxfId="598"/>
    <tableColumn id="12" name="42" headerRowDxfId="597" dataDxfId="596"/>
    <tableColumn id="13" name="45" headerRowDxfId="595" dataDxfId="594"/>
    <tableColumn id="14" name="48" headerRowDxfId="593" dataDxfId="592"/>
    <tableColumn id="15" name="51" headerRowDxfId="591" dataDxfId="590"/>
    <tableColumn id="16" name="54" headerRowDxfId="589" dataDxfId="588"/>
    <tableColumn id="17" name="57" headerRowDxfId="587" dataDxfId="586"/>
    <tableColumn id="18" name="60" headerRowDxfId="585" dataDxfId="584"/>
    <tableColumn id="19" name="Column1" headerRowDxfId="583" dataDxfId="582"/>
  </tableColumns>
  <tableStyleInfo name="TableStyleMedium9" showFirstColumn="0" showLastColumn="0" showRowStripes="1" showColumnStripes="0"/>
</table>
</file>

<file path=xl/tables/table89.xml><?xml version="1.0" encoding="utf-8"?>
<table xmlns="http://schemas.openxmlformats.org/spreadsheetml/2006/main" id="116" name="Table112110117" displayName="Table112110117" ref="B49:C51" totalsRowShown="0" headerRowDxfId="581">
  <tableColumns count="2">
    <tableColumn id="1" name="Tier-3 Mailbox Modeling Graph Data" dataDxfId="580"/>
    <tableColumn id="2" name="Maximum Mailbox Size" dataDxfId="579"/>
  </tableColumns>
  <tableStyleInfo name="TableStyleMedium9" showFirstColumn="0" showLastColumn="0" showRowStripes="1" showColumnStripes="0"/>
</table>
</file>

<file path=xl/tables/table90.xml><?xml version="1.0" encoding="utf-8"?>
<table xmlns="http://schemas.openxmlformats.org/spreadsheetml/2006/main" id="117" name="Table110114115118" displayName="Table110114115118" ref="B53:C58" totalsRowShown="0" headerRowDxfId="578" dataDxfId="577" tableBorderDxfId="576">
  <tableColumns count="2">
    <tableColumn id="1" name="Tier-3 Mailbox Modeling Calculations" dataDxfId="575"/>
    <tableColumn id="2" name="Value" dataDxfId="574"/>
  </tableColumns>
  <tableStyleInfo name="TableStyleMedium9" showFirstColumn="0" showLastColumn="0" showRowStripes="1" showColumnStripes="0"/>
</table>
</file>

<file path=xl/tables/table91.xml><?xml version="1.0" encoding="utf-8"?>
<table xmlns="http://schemas.openxmlformats.org/spreadsheetml/2006/main" id="118" name="Table111109116119" displayName="Table111109116119" ref="B61:T63" headerRowCount="0" totalsRowShown="0" headerRowDxfId="573" dataDxfId="572">
  <tableColumns count="19">
    <tableColumn id="1" name="Tier-1 Mailbox Modeling Graph Data" headerRowDxfId="571" dataDxfId="570"/>
    <tableColumn id="2" name="12" headerRowDxfId="569" dataDxfId="568"/>
    <tableColumn id="3" name="15" headerRowDxfId="567" dataDxfId="566"/>
    <tableColumn id="4" name="18" headerRowDxfId="565" dataDxfId="564"/>
    <tableColumn id="5" name="21" headerRowDxfId="563" dataDxfId="562"/>
    <tableColumn id="6" name="24" headerRowDxfId="561" dataDxfId="560"/>
    <tableColumn id="7" name="27" headerRowDxfId="559" dataDxfId="558"/>
    <tableColumn id="8" name="30" headerRowDxfId="557" dataDxfId="556"/>
    <tableColumn id="9" name="33" headerRowDxfId="555" dataDxfId="554"/>
    <tableColumn id="10" name="36" headerRowDxfId="553" dataDxfId="552"/>
    <tableColumn id="11" name="39" headerRowDxfId="551" dataDxfId="550"/>
    <tableColumn id="12" name="42" headerRowDxfId="549" dataDxfId="548"/>
    <tableColumn id="13" name="45" headerRowDxfId="547" dataDxfId="546"/>
    <tableColumn id="14" name="48" headerRowDxfId="545" dataDxfId="544"/>
    <tableColumn id="15" name="51" headerRowDxfId="543" dataDxfId="542"/>
    <tableColumn id="16" name="54" headerRowDxfId="541" dataDxfId="540"/>
    <tableColumn id="17" name="57" headerRowDxfId="539" dataDxfId="538"/>
    <tableColumn id="18" name="60" headerRowDxfId="537" dataDxfId="536"/>
    <tableColumn id="19" name="Column1" headerRowDxfId="535" dataDxfId="534"/>
  </tableColumns>
  <tableStyleInfo name="TableStyleMedium9" showFirstColumn="0" showLastColumn="0" showRowStripes="1" showColumnStripes="0"/>
</table>
</file>

<file path=xl/tables/table92.xml><?xml version="1.0" encoding="utf-8"?>
<table xmlns="http://schemas.openxmlformats.org/spreadsheetml/2006/main" id="119" name="Table112110117120" displayName="Table112110117120" ref="B65:C67" totalsRowShown="0" headerRowDxfId="533">
  <tableColumns count="2">
    <tableColumn id="1" name="Tier-3 Mailbox Modeling Graph Data" dataDxfId="532"/>
    <tableColumn id="2" name="Maximum Mailbox Size" dataDxfId="531"/>
  </tableColumns>
  <tableStyleInfo name="TableStyleMedium9" showFirstColumn="0" showLastColumn="0" showRowStripes="1" showColumnStripes="0"/>
</table>
</file>

<file path=xl/tables/table93.xml><?xml version="1.0" encoding="utf-8"?>
<table xmlns="http://schemas.openxmlformats.org/spreadsheetml/2006/main" id="49" name="Table49" displayName="Table49" ref="B16:C19" totalsRowShown="0" headerRowDxfId="530">
  <tableColumns count="2">
    <tableColumn id="1" name="Database/Log RAID Parity Configuration"/>
    <tableColumn id="2" name="Value"/>
  </tableColumns>
  <tableStyleInfo name="TableStyleMedium15" showFirstColumn="0" showLastColumn="0" showRowStripes="1" showColumnStripes="0"/>
</table>
</file>

<file path=xl/tables/table94.xml><?xml version="1.0" encoding="utf-8"?>
<table xmlns="http://schemas.openxmlformats.org/spreadsheetml/2006/main" id="50" name="Table50" displayName="Table50" ref="B21:C24" totalsRowShown="0" headerRowDxfId="529">
  <tableColumns count="2">
    <tableColumn id="1" name="Database/Log RAID Rebuild Overhead" dataDxfId="528"/>
    <tableColumn id="2" name="Value"/>
  </tableColumns>
  <tableStyleInfo name="TableStyleMedium15" showFirstColumn="0" showLastColumn="0" showRowStripes="1" showColumnStripes="0"/>
</table>
</file>

<file path=xl/tables/table95.xml><?xml version="1.0" encoding="utf-8"?>
<table xmlns="http://schemas.openxmlformats.org/spreadsheetml/2006/main" id="51" name="Table51" displayName="Table51" ref="B26:C28" totalsRowShown="0" headerRowDxfId="527">
  <tableColumns count="2">
    <tableColumn id="1" name="Database RAID Configuration"/>
    <tableColumn id="2" name="Value"/>
  </tableColumns>
  <tableStyleInfo name="TableStyleMedium15" showFirstColumn="0" showLastColumn="0" showRowStripes="1" showColumnStripes="0"/>
</table>
</file>

<file path=xl/tables/table96.xml><?xml version="1.0" encoding="utf-8"?>
<table xmlns="http://schemas.openxmlformats.org/spreadsheetml/2006/main" id="55" name="Table55" displayName="Table55" ref="B32:C42" totalsRowShown="0">
  <tableColumns count="2">
    <tableColumn id="1" name="Storage Controller I/O Calculations" dataDxfId="526"/>
    <tableColumn id="2" name=" " dataDxfId="525"/>
  </tableColumns>
  <tableStyleInfo name="TableStyleMedium9" showFirstColumn="0" showLastColumn="0" showRowStripes="1" showColumnStripes="0"/>
</table>
</file>

<file path=xl/tables/table97.xml><?xml version="1.0" encoding="utf-8"?>
<table xmlns="http://schemas.openxmlformats.org/spreadsheetml/2006/main" id="56" name="Table56" displayName="Table56" ref="B44:E49" totalsRowShown="0" headerRowDxfId="524">
  <tableColumns count="4">
    <tableColumn id="1" name="Database Disk Configuration" dataDxfId="523"/>
    <tableColumn id="2" name="Configuration 1"/>
    <tableColumn id="3" name="Configuration 2"/>
    <tableColumn id="4" name="Configuration 3"/>
  </tableColumns>
  <tableStyleInfo name="TableStyleMedium9" showFirstColumn="0" showLastColumn="0" showRowStripes="1" showColumnStripes="0"/>
</table>
</file>

<file path=xl/tables/table98.xml><?xml version="1.0" encoding="utf-8"?>
<table xmlns="http://schemas.openxmlformats.org/spreadsheetml/2006/main" id="57" name="Table57" displayName="Table57" ref="B71:E79" totalsRowShown="0" headerRowDxfId="522" dataDxfId="521">
  <tableColumns count="4">
    <tableColumn id="1" name="Database Disk Calculations" dataDxfId="520"/>
    <tableColumn id="2" name="Configuration 1" dataDxfId="519"/>
    <tableColumn id="3" name="Configuration 2" dataDxfId="518"/>
    <tableColumn id="4" name="Configuration 3" dataDxfId="517"/>
  </tableColumns>
  <tableStyleInfo name="TableStyleMedium9" showFirstColumn="0" showLastColumn="0" showRowStripes="1" showColumnStripes="0"/>
</table>
</file>

<file path=xl/tables/table99.xml><?xml version="1.0" encoding="utf-8"?>
<table xmlns="http://schemas.openxmlformats.org/spreadsheetml/2006/main" id="58" name="Table58" displayName="Table58" ref="B51:E55" totalsRowShown="0" headerRowDxfId="516">
  <tableColumns count="4">
    <tableColumn id="1" name="Log Disk Configuration" dataDxfId="515"/>
    <tableColumn id="2" name="Configuration 1"/>
    <tableColumn id="3" name="Configuration 2"/>
    <tableColumn id="4" name="Configuration 3"/>
  </tableColumns>
  <tableStyleInfo name="TableStyleMedium9" showFirstColumn="0" showLastColumn="0" showRowStripes="1" showColumnStripes="0"/>
</table>
</file>

<file path=xl/tables/table100.xml><?xml version="1.0" encoding="utf-8"?>
<table xmlns="http://schemas.openxmlformats.org/spreadsheetml/2006/main" id="59" name="Table59" displayName="Table59" ref="B81:E85" totalsRowShown="0" headerRowDxfId="514" dataDxfId="513">
  <tableColumns count="4">
    <tableColumn id="1" name="Log Disk Calculations" dataDxfId="512"/>
    <tableColumn id="2" name="Configuration 1" dataDxfId="511"/>
    <tableColumn id="3" name="Configuration 2" dataDxfId="510"/>
    <tableColumn id="4" name="Configuration 3" dataDxfId="509"/>
  </tableColumns>
  <tableStyleInfo name="TableStyleMedium9" showFirstColumn="0" showLastColumn="0" showRowStripes="1" showColumnStripes="0"/>
</table>
</file>

<file path=xl/tables/table101.xml><?xml version="1.0" encoding="utf-8"?>
<table xmlns="http://schemas.openxmlformats.org/spreadsheetml/2006/main" id="60" name="Table60" displayName="Table60" ref="B57:E61" totalsRowShown="0" headerRowDxfId="508">
  <tableColumns count="4">
    <tableColumn id="1" name="Restore Volume Disk Configuration" dataDxfId="507"/>
    <tableColumn id="2" name="Configuration 1"/>
    <tableColumn id="3" name="Configuration 2"/>
    <tableColumn id="4" name="Configuration 3"/>
  </tableColumns>
  <tableStyleInfo name="TableStyleMedium9" showFirstColumn="0" showLastColumn="0" showRowStripes="1" showColumnStripes="0"/>
</table>
</file>

<file path=xl/tables/table102.xml><?xml version="1.0" encoding="utf-8"?>
<table xmlns="http://schemas.openxmlformats.org/spreadsheetml/2006/main" id="61" name="Table61" displayName="Table61" ref="B87:E91" totalsRowShown="0" headerRowDxfId="506" dataDxfId="505">
  <tableColumns count="4">
    <tableColumn id="1" name="Restore Volume Disk Capacity Calculations" dataDxfId="504"/>
    <tableColumn id="2" name="Configuration 1" dataDxfId="503"/>
    <tableColumn id="3" name="Configuration 2" dataDxfId="502"/>
    <tableColumn id="4" name="Configuration 3" dataDxfId="501"/>
  </tableColumns>
  <tableStyleInfo name="TableStyleMedium9" showFirstColumn="0" showLastColumn="0" showRowStripes="1" showColumnStripes="0"/>
</table>
</file>

<file path=xl/tables/table103.xml><?xml version="1.0" encoding="utf-8"?>
<table xmlns="http://schemas.openxmlformats.org/spreadsheetml/2006/main" id="62" name="Table62" displayName="Table62" ref="B93:E101" totalsRowShown="0" headerRowDxfId="500" dataDxfId="499">
  <tableColumns count="4">
    <tableColumn id="1" name="DB RAID Configurations" dataDxfId="498"/>
    <tableColumn id="2" name="Configuration 1" dataDxfId="497"/>
    <tableColumn id="3" name="Configuration 2" dataDxfId="496"/>
    <tableColumn id="4" name="Configuration 3" dataDxfId="495"/>
  </tableColumns>
  <tableStyleInfo name="TableStyleMedium9" showFirstColumn="0" showLastColumn="0" showRowStripes="1" showColumnStripes="0"/>
</table>
</file>

<file path=xl/tables/table104.xml><?xml version="1.0" encoding="utf-8"?>
<table xmlns="http://schemas.openxmlformats.org/spreadsheetml/2006/main" id="63" name="Table63" displayName="Table63" ref="B103:E107" totalsRowShown="0" headerRowDxfId="494" dataDxfId="493">
  <tableColumns count="4">
    <tableColumn id="1" name="Log RAID Configurations" dataDxfId="492"/>
    <tableColumn id="2" name="Configuration 1" dataDxfId="491"/>
    <tableColumn id="3" name="Configuration 2" dataDxfId="490"/>
    <tableColumn id="4" name="Configuration 3" dataDxfId="489"/>
  </tableColumns>
  <tableStyleInfo name="TableStyleMedium9" showFirstColumn="0" showLastColumn="0" showRowStripes="1" showColumnStripes="0"/>
</table>
</file>

<file path=xl/tables/table105.xml><?xml version="1.0" encoding="utf-8"?>
<table xmlns="http://schemas.openxmlformats.org/spreadsheetml/2006/main" id="64" name="Table64" displayName="Table64" ref="B109:D112" totalsRowShown="0" headerRowDxfId="488" dataDxfId="487">
  <tableColumns count="3">
    <tableColumn id="1" name="DB Disks" dataDxfId="486"/>
    <tableColumn id="2" name="DB RAID Type" dataDxfId="485"/>
    <tableColumn id="3" name="DB Disk Configuration" dataDxfId="484"/>
  </tableColumns>
  <tableStyleInfo name="TableStyleMedium9" showFirstColumn="0" showLastColumn="0" showRowStripes="1" showColumnStripes="0"/>
</table>
</file>

<file path=xl/tables/table106.xml><?xml version="1.0" encoding="utf-8"?>
<table xmlns="http://schemas.openxmlformats.org/spreadsheetml/2006/main" id="65" name="Table65" displayName="Table65" ref="B114:D118" totalsRowShown="0" headerRowDxfId="483" dataDxfId="482">
  <tableColumns count="3">
    <tableColumn id="1" name="Log Disks" dataDxfId="481"/>
    <tableColumn id="2" name="Log RAID Type" dataDxfId="480"/>
    <tableColumn id="3" name="Log Disk Configuration" dataDxfId="479"/>
  </tableColumns>
  <tableStyleInfo name="TableStyleMedium9" showFirstColumn="0" showLastColumn="0" showRowStripes="1" showColumnStripes="0"/>
</table>
</file>

<file path=xl/tables/table107.xml><?xml version="1.0" encoding="utf-8"?>
<table xmlns="http://schemas.openxmlformats.org/spreadsheetml/2006/main" id="66" name="Table66" displayName="Table66" ref="B120:D124" totalsRowShown="0" headerRowDxfId="478" dataDxfId="477">
  <tableColumns count="3">
    <tableColumn id="1" name="Restore Volume Disks" dataDxfId="476"/>
    <tableColumn id="2" name="Restore Volume RAID Type" dataDxfId="475"/>
    <tableColumn id="3" name="Restore Volume Disk Config" dataDxfId="474"/>
  </tableColumns>
  <tableStyleInfo name="TableStyleMedium9" showFirstColumn="0" showLastColumn="0" showRowStripes="1" showColumnStripes="0"/>
</table>
</file>

<file path=xl/tables/table108.xml><?xml version="1.0" encoding="utf-8"?>
<table xmlns="http://schemas.openxmlformats.org/spreadsheetml/2006/main" id="70" name="tblRAIDStgConfig" displayName="tblRAIDStgConfig" ref="B194:F194" headerRowCount="0" totalsRowShown="0">
  <tableColumns count="5">
    <tableColumn id="1" name="RAID Storage Configuration" headerRowDxfId="473" dataDxfId="472"/>
    <tableColumn id="2" name="/ PDC Server" headerRowDxfId="471">
      <calculatedColumnFormula>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calculatedColumnFormula>
    </tableColumn>
    <tableColumn id="3" name="/ SDC Server" headerRowDxfId="470" dataDxfId="469">
      <calculatedColumnFormula>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calculatedColumnFormula>
    </tableColumn>
    <tableColumn id="4" name=" / Primary Datacenter DAG" headerRowDxfId="468" dataDxfId="467"/>
    <tableColumn id="5" name="/ Secondary Datacenter DAG" headerRowDxfId="466" dataDxfId="465"/>
  </tableColumns>
  <tableStyleInfo name="TableStyleMedium11" showFirstColumn="0" showLastColumn="0" showRowStripes="1" showColumnStripes="0"/>
</table>
</file>

<file path=xl/tables/table109.xml><?xml version="1.0" encoding="utf-8"?>
<table xmlns="http://schemas.openxmlformats.org/spreadsheetml/2006/main" id="27" name="Table6928" displayName="Table6928" ref="B180:E182" totalsRowShown="0" headerRowDxfId="464">
  <tableColumns count="4">
    <tableColumn id="1" name="JBOD Storage Architecture / PDC Server" dataDxfId="463"/>
    <tableColumn id="2" name="Database+Log"/>
    <tableColumn id="3" name="Restore Volume" dataDxfId="462"/>
    <tableColumn id="4" name="Auto-Reseed Volume" dataDxfId="461">
      <calculatedColumnFormula>RecJBODDiskTypePDC</calculatedColumnFormula>
    </tableColumn>
  </tableColumns>
  <tableStyleInfo name="TableStyleMedium11" showFirstColumn="0" showLastColumn="0" showRowStripes="1" showColumnStripes="0"/>
</table>
</file>

<file path=xl/tables/table110.xml><?xml version="1.0" encoding="utf-8"?>
<table xmlns="http://schemas.openxmlformats.org/spreadsheetml/2006/main" id="29" name="tblJBODStgConfig" displayName="tblJBODStgConfig" ref="B197:F197" headerRowCount="0" totalsRowShown="0">
  <tableColumns count="5">
    <tableColumn id="1" name="JBOD Storage Configuration" headerRowDxfId="460" dataDxfId="459"/>
    <tableColumn id="2" name="/ PDC Server" headerRowDxfId="458">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name="/ SDC Server" headerRowDxfId="457" dataDxfId="456">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name=" / Primary Datacenter DAG" headerRowDxfId="455" dataDxfId="454"/>
    <tableColumn id="5" name="/ Secondary Datacenter DAG" headerRowDxfId="453" dataDxfId="452"/>
  </tableColumns>
  <tableStyleInfo name="TableStyleMedium11" showFirstColumn="0" showLastColumn="0" showRowStripes="1" showColumnStripes="0"/>
</table>
</file>

<file path=xl/tables/table111.xml><?xml version="1.0" encoding="utf-8"?>
<table xmlns="http://schemas.openxmlformats.org/spreadsheetml/2006/main" id="31" name="Table31" displayName="Table31" ref="B142:E146" totalsRowShown="0" headerRowDxfId="451" dataDxfId="450" tableBorderDxfId="449">
  <tableColumns count="4">
    <tableColumn id="1" name="JBOD Calculations" dataDxfId="448"/>
    <tableColumn id="2" name="Configuration 1" dataDxfId="447"/>
    <tableColumn id="3" name="Configuration 2" dataDxfId="446"/>
    <tableColumn id="4" name="Configuration 3" dataDxfId="445"/>
  </tableColumns>
  <tableStyleInfo name="TableStyleMedium9" showFirstColumn="0" showLastColumn="0" showRowStripes="1" showColumnStripes="0"/>
</table>
</file>

<file path=xl/tables/table112.xml><?xml version="1.0" encoding="utf-8"?>
<table xmlns="http://schemas.openxmlformats.org/spreadsheetml/2006/main" id="15" name="Table6816" displayName="Table6816" ref="B153:E155" totalsRowShown="0" headerRowDxfId="444" dataDxfId="443">
  <tableColumns count="4">
    <tableColumn id="1" name="JBOD Storage Architecture / Server" dataDxfId="442"/>
    <tableColumn id="2" name="Configuration 1" dataDxfId="441"/>
    <tableColumn id="3" name="Configuration 2" dataDxfId="440"/>
    <tableColumn id="4" name="Configuration 3" dataDxfId="439"/>
  </tableColumns>
  <tableStyleInfo name="TableStyleMedium9" showFirstColumn="0" showLastColumn="0" showRowStripes="1" showColumnStripes="0"/>
</table>
</file>

<file path=xl/tables/table113.xml><?xml version="1.0" encoding="utf-8"?>
<table xmlns="http://schemas.openxmlformats.org/spreadsheetml/2006/main" id="68" name="Table68" displayName="Table68" ref="B132:E138" totalsRowShown="0" headerRowDxfId="438" dataDxfId="437">
  <tableColumns count="4">
    <tableColumn id="1" name="RAID Storage Architecture / Server" dataDxfId="436"/>
    <tableColumn id="2" name="Configuration 1" dataDxfId="435"/>
    <tableColumn id="3" name="Configuration 2" dataDxfId="434"/>
    <tableColumn id="4" name="Configuration 3" dataDxfId="433"/>
  </tableColumns>
  <tableStyleInfo name="TableStyleMedium9" showFirstColumn="0" showLastColumn="0" showRowStripes="1" showColumnStripes="0"/>
</table>
</file>

<file path=xl/tables/table114.xml><?xml version="1.0" encoding="utf-8"?>
<table xmlns="http://schemas.openxmlformats.org/spreadsheetml/2006/main" id="71" name="tblRAIDStorageArch" displayName="tblRAIDStorageArch" ref="B160:E160" headerRowCount="0" totalsRowShown="0" headerRowDxfId="432" dataDxfId="431">
  <tableColumns count="4">
    <tableColumn id="1" name="RAID Storage Architecture" headerRowDxfId="430" dataDxfId="429"/>
    <tableColumn id="2" name="Primary Datacenter Servers" headerRowDxfId="428" dataDxfId="427">
      <calculatedColumnFormula>IF(ValidationCheck=FALSE,IF(OR(PreferredStorageArch="RAID",tblJBODStorageArch[Primary Datacenter Servers]="No"),"Yes","No"),"--")</calculatedColumnFormula>
    </tableColumn>
    <tableColumn id="3" name="Secondary Datacenter Servers" headerRowDxfId="426" dataDxfId="425">
      <calculatedColumnFormula>IF(PreferredStorageArchSDC="--","--",IF(OR(PreferredStorageArchSDC="RAID",tblJBODStorageArch[Secondary Datacenter Servers]="No"),"Yes","No"))</calculatedColumnFormula>
    </tableColumn>
    <tableColumn id="4" name="Lagged Copy Servers" headerRowDxfId="424" dataDxfId="423">
      <calculatedColumnFormula>IF(LaggedCopySvrPrefStorageArch="--","--",IF(OR(LaggedCopySvrPrefStorageArch="RAID",tblJBODStorageArch[Lagged Copy Servers]="No"),"Yes","No"))</calculatedColumnFormula>
    </tableColumn>
  </tableColumns>
  <tableStyleInfo name="TableStyleMedium11" showFirstColumn="0" showLastColumn="0" showRowStripes="1" showColumnStripes="0"/>
</table>
</file>

<file path=xl/tables/table115.xml><?xml version="1.0" encoding="utf-8"?>
<table xmlns="http://schemas.openxmlformats.org/spreadsheetml/2006/main" id="72" name="tblJBODStorageArch" displayName="tblJBODStorageArch" ref="B178:E178" headerRowCount="0" totalsRowShown="0" headerRowDxfId="422" dataDxfId="421">
  <tableColumns count="4">
    <tableColumn id="1" name="JBOD Storage Architecture" headerRowDxfId="420" dataDxfId="419"/>
    <tableColumn id="2" name="Primary Datacenter Servers" headerRowDxfId="418" dataDxfId="417"/>
    <tableColumn id="3" name="Secondary Datacenter Servers" headerRowDxfId="416" dataDxfId="415">
      <calculatedColumnFormula>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calculatedColumnFormula>
    </tableColumn>
    <tableColumn id="4" name="Lagged Copy Servers" headerRowDxfId="414" dataDxfId="413"/>
  </tableColumns>
  <tableStyleInfo name="TableStyleMedium11" showFirstColumn="0" showLastColumn="0" showRowStripes="1" showColumnStripes="0"/>
</table>
</file>

<file path=xl/tables/table116.xml><?xml version="1.0" encoding="utf-8"?>
<table xmlns="http://schemas.openxmlformats.org/spreadsheetml/2006/main" id="67" name="Table67" displayName="Table67" ref="B126:I127" totalsRowShown="0" headerRowDxfId="412" dataDxfId="411">
  <tableColumns count="8">
    <tableColumn id="1" name="Total Number of Disks" dataDxfId="410"/>
    <tableColumn id="2" name="DB Disks" dataDxfId="409"/>
    <tableColumn id="3" name="Log Disks" dataDxfId="408"/>
    <tableColumn id="4" name="Restore Volume Disks" dataDxfId="407"/>
    <tableColumn id="5" name="DB Disk Capacity / Type" dataDxfId="406"/>
    <tableColumn id="6" name="Log Disk Capacity / Type" dataDxfId="405"/>
    <tableColumn id="7" name="RS Disk Capacity / Type" dataDxfId="404"/>
    <tableColumn id="8" name="Configuration" dataDxfId="403"/>
  </tableColumns>
  <tableStyleInfo name="TableStyleMedium9" showFirstColumn="0" showLastColumn="0" showRowStripes="1" showColumnStripes="0"/>
</table>
</file>

<file path=xl/tables/table117.xml><?xml version="1.0" encoding="utf-8"?>
<table xmlns="http://schemas.openxmlformats.org/spreadsheetml/2006/main" id="44" name="Table44" displayName="Table44" ref="B199:D202" totalsRowCount="1" headerRowDxfId="402" tableBorderDxfId="401">
  <tableColumns count="3">
    <tableColumn id="1" name="Disk Requirements" totalsRowLabel="Total" dataDxfId="400" totalsRowDxfId="399"/>
    <tableColumn id="2" name="/ DAG" totalsRowFunction="custom" dataDxfId="398" totalsRowDxfId="397">
      <totalsRowFormula>SUBTOTAL(9,Table44[/ DAG])</totalsRowFormula>
    </tableColumn>
    <tableColumn id="3" name="/ Environment" totalsRowFunction="custom" dataDxfId="396" totalsRowDxfId="395">
      <totalsRowFormula>SUBTOTAL(9,Table44[/ Environment])</totalsRowFormula>
    </tableColumn>
  </tableColumns>
  <tableStyleInfo name="TableStyleMedium11" showFirstColumn="0" showLastColumn="0" showRowStripes="1" showColumnStripes="0"/>
</table>
</file>

<file path=xl/tables/table118.xml><?xml version="1.0" encoding="utf-8"?>
<table xmlns="http://schemas.openxmlformats.org/spreadsheetml/2006/main" id="75" name="Table4976" displayName="Table4976" ref="E16:F20" totalsRowShown="0" headerRowDxfId="394">
  <tableColumns count="2">
    <tableColumn id="1" name="Restore Volume RAID Configuration"/>
    <tableColumn id="2" name="Value"/>
  </tableColumns>
  <tableStyleInfo name="TableStyleMedium15" showFirstColumn="0" showLastColumn="0" showRowStripes="1" showColumnStripes="0"/>
</table>
</file>

<file path=xl/tables/table119.xml><?xml version="1.0" encoding="utf-8"?>
<table xmlns="http://schemas.openxmlformats.org/spreadsheetml/2006/main" id="81" name="Table81" displayName="Table81" ref="B190:C191" totalsRowShown="0" headerRowDxfId="393" dataDxfId="392" tableBorderDxfId="391">
  <tableColumns count="2">
    <tableColumn id="1" name="Storage Architecture" dataDxfId="390"/>
    <tableColumn id="2" name="Value" dataDxfId="389"/>
  </tableColumns>
  <tableStyleInfo name="TableStyleMedium15" showFirstColumn="0" showLastColumn="0" showRowStripes="1" showColumnStripes="0"/>
</table>
</file>

<file path=xl/tables/table120.xml><?xml version="1.0" encoding="utf-8"?>
<table xmlns="http://schemas.openxmlformats.org/spreadsheetml/2006/main" id="98" name="Table692899" displayName="Table692899" ref="B184:E186" totalsRowShown="0" headerRowDxfId="388">
  <tableColumns count="4">
    <tableColumn id="1" name="JBOD Storage Architecture / SDC Server" dataDxfId="387"/>
    <tableColumn id="2" name="Database+Log"/>
    <tableColumn id="3" name="Restore Volume" dataDxfId="386"/>
    <tableColumn id="4" name="Auto Reseed Volume" dataDxfId="385"/>
  </tableColumns>
  <tableStyleInfo name="TableStyleMedium11" showFirstColumn="0" showLastColumn="0" showRowStripes="1" showColumnStripes="0"/>
</table>
</file>

<file path=xl/tables/table121.xml><?xml version="1.0" encoding="utf-8"?>
<table xmlns="http://schemas.openxmlformats.org/spreadsheetml/2006/main" id="100" name="Table67101" displayName="Table67101" ref="B129:I130" totalsRowShown="0" headerRowDxfId="384" dataDxfId="383">
  <tableColumns count="8">
    <tableColumn id="1" name="Total Number of Disks" dataDxfId="382"/>
    <tableColumn id="2" name="DB Disks" dataDxfId="381"/>
    <tableColumn id="3" name="Log Disks" dataDxfId="380"/>
    <tableColumn id="4" name="Restore Volume Disks" dataDxfId="379"/>
    <tableColumn id="5" name="DB Disk Capacity / Type" dataDxfId="378"/>
    <tableColumn id="6" name="Log Disk Capacity / Type" dataDxfId="377"/>
    <tableColumn id="7" name="RS Disk Capacity / Type" dataDxfId="376"/>
    <tableColumn id="8" name="Configuration" dataDxfId="375"/>
  </tableColumns>
  <tableStyleInfo name="TableStyleMedium9" showFirstColumn="0" showLastColumn="0" showRowStripes="1" showColumnStripes="0"/>
</table>
</file>

<file path=xl/tables/table122.xml><?xml version="1.0" encoding="utf-8"?>
<table xmlns="http://schemas.openxmlformats.org/spreadsheetml/2006/main" id="53" name="Table53" displayName="Table53" ref="B2:E4" totalsRowShown="0" headerRowDxfId="374" dataDxfId="373">
  <tableColumns count="4">
    <tableColumn id="1" name="Configuration 2"/>
    <tableColumn id="2" name="Database Disk Type" dataDxfId="372"/>
    <tableColumn id="3" name="Log Disk Type" dataDxfId="371"/>
    <tableColumn id="4" name="Restore LUN Disk Type" dataDxfId="370"/>
  </tableColumns>
  <tableStyleInfo name="TableStyleMedium15" showFirstColumn="0" showLastColumn="0" showRowStripes="1" showColumnStripes="0"/>
</table>
</file>

<file path=xl/tables/table123.xml><?xml version="1.0" encoding="utf-8"?>
<table xmlns="http://schemas.openxmlformats.org/spreadsheetml/2006/main" id="54" name="Table54" displayName="Table54" ref="B6:E8" totalsRowShown="0" headerRowDxfId="369" dataDxfId="368">
  <tableColumns count="4">
    <tableColumn id="1" name="Configuration 3"/>
    <tableColumn id="2" name="Database Disk Type" dataDxfId="367"/>
    <tableColumn id="3" name="Log Disk Type" dataDxfId="366"/>
    <tableColumn id="4" name="Restore LUN Disk Type" dataDxfId="365"/>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comments" Target="../comments1.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2.bin"/><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3" Type="http://schemas.openxmlformats.org/officeDocument/2006/relationships/table" Target="../tables/table24.xml"/><Relationship Id="rId21" Type="http://schemas.openxmlformats.org/officeDocument/2006/relationships/table" Target="../tables/table42.xml"/><Relationship Id="rId34" Type="http://schemas.openxmlformats.org/officeDocument/2006/relationships/table" Target="../tables/table55.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vmlDrawing" Target="../drawings/vmlDrawing2.v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41"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table" Target="../tables/table61.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67.xml"/><Relationship Id="rId3" Type="http://schemas.openxmlformats.org/officeDocument/2006/relationships/table" Target="../tables/table62.xml"/><Relationship Id="rId7" Type="http://schemas.openxmlformats.org/officeDocument/2006/relationships/table" Target="../tables/table66.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65.xml"/><Relationship Id="rId11" Type="http://schemas.openxmlformats.org/officeDocument/2006/relationships/table" Target="../tables/table70.xml"/><Relationship Id="rId5" Type="http://schemas.openxmlformats.org/officeDocument/2006/relationships/table" Target="../tables/table64.xml"/><Relationship Id="rId10" Type="http://schemas.openxmlformats.org/officeDocument/2006/relationships/table" Target="../tables/table69.xml"/><Relationship Id="rId4" Type="http://schemas.openxmlformats.org/officeDocument/2006/relationships/table" Target="../tables/table63.xml"/><Relationship Id="rId9" Type="http://schemas.openxmlformats.org/officeDocument/2006/relationships/table" Target="../tables/table6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4.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71.xml"/><Relationship Id="rId7" Type="http://schemas.openxmlformats.org/officeDocument/2006/relationships/table" Target="../tables/table7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74.xml"/><Relationship Id="rId5" Type="http://schemas.openxmlformats.org/officeDocument/2006/relationships/table" Target="../tables/table73.xml"/><Relationship Id="rId4" Type="http://schemas.openxmlformats.org/officeDocument/2006/relationships/table" Target="../tables/table7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80.x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88.xml"/><Relationship Id="rId3" Type="http://schemas.openxmlformats.org/officeDocument/2006/relationships/table" Target="../tables/table83.xml"/><Relationship Id="rId7" Type="http://schemas.openxmlformats.org/officeDocument/2006/relationships/table" Target="../tables/table87.xml"/><Relationship Id="rId12" Type="http://schemas.openxmlformats.org/officeDocument/2006/relationships/table" Target="../tables/table92.xml"/><Relationship Id="rId2" Type="http://schemas.openxmlformats.org/officeDocument/2006/relationships/table" Target="../tables/table82.xml"/><Relationship Id="rId1" Type="http://schemas.openxmlformats.org/officeDocument/2006/relationships/table" Target="../tables/table81.xml"/><Relationship Id="rId6" Type="http://schemas.openxmlformats.org/officeDocument/2006/relationships/table" Target="../tables/table86.xml"/><Relationship Id="rId11" Type="http://schemas.openxmlformats.org/officeDocument/2006/relationships/table" Target="../tables/table91.xml"/><Relationship Id="rId5" Type="http://schemas.openxmlformats.org/officeDocument/2006/relationships/table" Target="../tables/table85.xml"/><Relationship Id="rId10" Type="http://schemas.openxmlformats.org/officeDocument/2006/relationships/table" Target="../tables/table90.xml"/><Relationship Id="rId4" Type="http://schemas.openxmlformats.org/officeDocument/2006/relationships/table" Target="../tables/table84.xml"/><Relationship Id="rId9" Type="http://schemas.openxmlformats.org/officeDocument/2006/relationships/table" Target="../tables/table8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98.xml"/><Relationship Id="rId13" Type="http://schemas.openxmlformats.org/officeDocument/2006/relationships/table" Target="../tables/table103.xml"/><Relationship Id="rId18" Type="http://schemas.openxmlformats.org/officeDocument/2006/relationships/table" Target="../tables/table108.xml"/><Relationship Id="rId26" Type="http://schemas.openxmlformats.org/officeDocument/2006/relationships/table" Target="../tables/table116.xml"/><Relationship Id="rId3" Type="http://schemas.openxmlformats.org/officeDocument/2006/relationships/table" Target="../tables/table93.xml"/><Relationship Id="rId21" Type="http://schemas.openxmlformats.org/officeDocument/2006/relationships/table" Target="../tables/table111.xml"/><Relationship Id="rId7" Type="http://schemas.openxmlformats.org/officeDocument/2006/relationships/table" Target="../tables/table97.xml"/><Relationship Id="rId12" Type="http://schemas.openxmlformats.org/officeDocument/2006/relationships/table" Target="../tables/table102.xml"/><Relationship Id="rId17" Type="http://schemas.openxmlformats.org/officeDocument/2006/relationships/table" Target="../tables/table107.xml"/><Relationship Id="rId25" Type="http://schemas.openxmlformats.org/officeDocument/2006/relationships/table" Target="../tables/table115.xml"/><Relationship Id="rId2" Type="http://schemas.openxmlformats.org/officeDocument/2006/relationships/vmlDrawing" Target="../drawings/vmlDrawing9.vml"/><Relationship Id="rId16" Type="http://schemas.openxmlformats.org/officeDocument/2006/relationships/table" Target="../tables/table106.xml"/><Relationship Id="rId20" Type="http://schemas.openxmlformats.org/officeDocument/2006/relationships/table" Target="../tables/table110.xml"/><Relationship Id="rId29" Type="http://schemas.openxmlformats.org/officeDocument/2006/relationships/table" Target="../tables/table119.xml"/><Relationship Id="rId1" Type="http://schemas.openxmlformats.org/officeDocument/2006/relationships/printerSettings" Target="../printerSettings/printerSettings10.bin"/><Relationship Id="rId6" Type="http://schemas.openxmlformats.org/officeDocument/2006/relationships/table" Target="../tables/table96.xml"/><Relationship Id="rId11" Type="http://schemas.openxmlformats.org/officeDocument/2006/relationships/table" Target="../tables/table101.xml"/><Relationship Id="rId24" Type="http://schemas.openxmlformats.org/officeDocument/2006/relationships/table" Target="../tables/table114.xml"/><Relationship Id="rId32" Type="http://schemas.openxmlformats.org/officeDocument/2006/relationships/comments" Target="../comments9.xml"/><Relationship Id="rId5" Type="http://schemas.openxmlformats.org/officeDocument/2006/relationships/table" Target="../tables/table95.xml"/><Relationship Id="rId15" Type="http://schemas.openxmlformats.org/officeDocument/2006/relationships/table" Target="../tables/table105.xml"/><Relationship Id="rId23" Type="http://schemas.openxmlformats.org/officeDocument/2006/relationships/table" Target="../tables/table113.xml"/><Relationship Id="rId28" Type="http://schemas.openxmlformats.org/officeDocument/2006/relationships/table" Target="../tables/table118.xml"/><Relationship Id="rId10" Type="http://schemas.openxmlformats.org/officeDocument/2006/relationships/table" Target="../tables/table100.xml"/><Relationship Id="rId19" Type="http://schemas.openxmlformats.org/officeDocument/2006/relationships/table" Target="../tables/table109.xml"/><Relationship Id="rId31" Type="http://schemas.openxmlformats.org/officeDocument/2006/relationships/table" Target="../tables/table121.xml"/><Relationship Id="rId4" Type="http://schemas.openxmlformats.org/officeDocument/2006/relationships/table" Target="../tables/table94.xml"/><Relationship Id="rId9" Type="http://schemas.openxmlformats.org/officeDocument/2006/relationships/table" Target="../tables/table99.xml"/><Relationship Id="rId14" Type="http://schemas.openxmlformats.org/officeDocument/2006/relationships/table" Target="../tables/table104.xml"/><Relationship Id="rId22" Type="http://schemas.openxmlformats.org/officeDocument/2006/relationships/table" Target="../tables/table112.xml"/><Relationship Id="rId27" Type="http://schemas.openxmlformats.org/officeDocument/2006/relationships/table" Target="../tables/table117.xml"/><Relationship Id="rId30" Type="http://schemas.openxmlformats.org/officeDocument/2006/relationships/table" Target="../tables/table12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2.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table" Target="../tables/table12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4"/>
  <sheetViews>
    <sheetView showGridLines="0" showRowColHeaders="0" workbookViewId="0">
      <selection activeCell="B6" sqref="B6"/>
    </sheetView>
  </sheetViews>
  <sheetFormatPr defaultRowHeight="12.75" x14ac:dyDescent="0.2"/>
  <cols>
    <col min="1" max="1" width="3.42578125" customWidth="1"/>
  </cols>
  <sheetData>
    <row r="1" spans="1:13" ht="13.5" thickBot="1" x14ac:dyDescent="0.25">
      <c r="A1" s="1"/>
      <c r="B1" s="274"/>
      <c r="C1" s="274"/>
      <c r="D1" s="274"/>
      <c r="E1" s="274"/>
      <c r="F1" s="274"/>
      <c r="G1" s="274"/>
      <c r="H1" s="274"/>
      <c r="I1" s="274"/>
      <c r="J1" s="274"/>
      <c r="K1" s="274"/>
      <c r="L1" s="274"/>
      <c r="M1" s="274"/>
    </row>
    <row r="2" spans="1:13" ht="21.75" thickBot="1" x14ac:dyDescent="0.4">
      <c r="B2" s="1089" t="s">
        <v>323</v>
      </c>
      <c r="C2" s="1090"/>
      <c r="D2" s="1090"/>
      <c r="E2" s="1090"/>
      <c r="F2" s="1090"/>
      <c r="G2" s="1090"/>
      <c r="H2" s="1090"/>
      <c r="I2" s="1090"/>
      <c r="J2" s="1090"/>
      <c r="K2" s="1090"/>
      <c r="L2" s="1090"/>
      <c r="M2" s="1091"/>
    </row>
    <row r="3" spans="1:13" x14ac:dyDescent="0.2">
      <c r="B3" s="271"/>
      <c r="C3" s="1"/>
      <c r="D3" s="1"/>
      <c r="E3" s="1"/>
      <c r="F3" s="1"/>
      <c r="G3" s="1"/>
      <c r="H3" s="1"/>
      <c r="I3" s="1"/>
      <c r="J3" s="1"/>
      <c r="K3" s="1"/>
      <c r="L3" s="1"/>
      <c r="M3" s="272"/>
    </row>
    <row r="4" spans="1:13" x14ac:dyDescent="0.2">
      <c r="B4" s="275"/>
      <c r="C4" s="1"/>
      <c r="D4" s="1"/>
      <c r="E4" s="1"/>
      <c r="F4" s="1"/>
      <c r="G4" s="1"/>
      <c r="H4" s="1"/>
      <c r="I4" s="1"/>
      <c r="J4" s="1"/>
      <c r="K4" s="1"/>
      <c r="L4" s="1"/>
      <c r="M4" s="272"/>
    </row>
    <row r="5" spans="1:13" x14ac:dyDescent="0.2">
      <c r="B5" s="275"/>
      <c r="C5" s="1"/>
      <c r="D5" s="1"/>
      <c r="E5" s="1"/>
      <c r="F5" s="1"/>
      <c r="G5" s="1"/>
      <c r="H5" s="1"/>
      <c r="I5" s="1"/>
      <c r="J5" s="1"/>
      <c r="K5" s="1"/>
      <c r="L5" s="1"/>
      <c r="M5" s="272"/>
    </row>
    <row r="6" spans="1:13" x14ac:dyDescent="0.2">
      <c r="B6" s="275" t="s">
        <v>318</v>
      </c>
      <c r="C6" s="1"/>
      <c r="D6" s="1"/>
      <c r="E6" s="1"/>
      <c r="F6" s="1"/>
      <c r="G6" s="1"/>
      <c r="H6" s="1"/>
      <c r="I6" s="1"/>
      <c r="J6" s="1"/>
      <c r="K6" s="1"/>
      <c r="L6" s="1"/>
      <c r="M6" s="272"/>
    </row>
    <row r="7" spans="1:13" x14ac:dyDescent="0.2">
      <c r="B7" s="275"/>
      <c r="C7" s="1"/>
      <c r="D7" s="1"/>
      <c r="E7" s="1"/>
      <c r="F7" s="1"/>
      <c r="G7" s="1"/>
      <c r="H7" s="1"/>
      <c r="I7" s="1"/>
      <c r="J7" s="1"/>
      <c r="K7" s="1"/>
      <c r="L7" s="1"/>
      <c r="M7" s="272"/>
    </row>
    <row r="8" spans="1:13" x14ac:dyDescent="0.2">
      <c r="B8" s="275"/>
      <c r="C8" s="1"/>
      <c r="D8" s="1"/>
      <c r="E8" s="1"/>
      <c r="F8" s="1"/>
      <c r="G8" s="1"/>
      <c r="H8" s="1"/>
      <c r="I8" s="1"/>
      <c r="J8" s="1"/>
      <c r="K8" s="1"/>
      <c r="L8" s="1"/>
      <c r="M8" s="272"/>
    </row>
    <row r="9" spans="1:13" x14ac:dyDescent="0.2">
      <c r="B9" s="275"/>
      <c r="C9" s="1"/>
      <c r="D9" s="1"/>
      <c r="E9" s="1"/>
      <c r="F9" s="1"/>
      <c r="G9" s="1"/>
      <c r="H9" s="1"/>
      <c r="I9" s="1"/>
      <c r="J9" s="1"/>
      <c r="K9" s="1"/>
      <c r="L9" s="1"/>
      <c r="M9" s="272"/>
    </row>
    <row r="10" spans="1:13" x14ac:dyDescent="0.2">
      <c r="B10" s="275"/>
      <c r="C10" s="1"/>
      <c r="D10" s="1"/>
      <c r="E10" s="1"/>
      <c r="F10" s="1"/>
      <c r="G10" s="1"/>
      <c r="H10" s="1"/>
      <c r="I10" s="1"/>
      <c r="J10" s="1"/>
      <c r="K10" s="1"/>
      <c r="L10" s="1"/>
      <c r="M10" s="272"/>
    </row>
    <row r="11" spans="1:13" x14ac:dyDescent="0.2">
      <c r="B11" s="275"/>
      <c r="C11" s="1"/>
      <c r="D11" s="1"/>
      <c r="E11" s="1"/>
      <c r="F11" s="1"/>
      <c r="G11" s="1"/>
      <c r="H11" s="1"/>
      <c r="I11" s="1"/>
      <c r="J11" s="1"/>
      <c r="K11" s="1"/>
      <c r="L11" s="1"/>
      <c r="M11" s="272"/>
    </row>
    <row r="12" spans="1:13" x14ac:dyDescent="0.2">
      <c r="B12" s="275"/>
      <c r="C12" s="1"/>
      <c r="D12" s="1"/>
      <c r="E12" s="1"/>
      <c r="F12" s="1"/>
      <c r="G12" s="1"/>
      <c r="H12" s="1"/>
      <c r="I12" s="1"/>
      <c r="J12" s="1"/>
      <c r="K12" s="1"/>
      <c r="L12" s="1"/>
      <c r="M12" s="272"/>
    </row>
    <row r="13" spans="1:13" x14ac:dyDescent="0.2">
      <c r="B13" s="275"/>
      <c r="C13" s="1"/>
      <c r="D13" s="1"/>
      <c r="E13" s="1"/>
      <c r="F13" s="1"/>
      <c r="G13" s="1"/>
      <c r="H13" s="1"/>
      <c r="I13" s="1"/>
      <c r="J13" s="1"/>
      <c r="K13" s="1"/>
      <c r="L13" s="1"/>
      <c r="M13" s="272"/>
    </row>
    <row r="14" spans="1:13" x14ac:dyDescent="0.2">
      <c r="B14" s="275"/>
      <c r="C14" s="1"/>
      <c r="D14" s="1"/>
      <c r="E14" s="1"/>
      <c r="F14" s="1"/>
      <c r="G14" s="1"/>
      <c r="H14" s="1"/>
      <c r="I14" s="1"/>
      <c r="J14" s="1"/>
      <c r="K14" s="1"/>
      <c r="L14" s="1"/>
      <c r="M14" s="272"/>
    </row>
    <row r="15" spans="1:13" x14ac:dyDescent="0.2">
      <c r="B15" s="271"/>
      <c r="C15" s="1"/>
      <c r="D15" s="1"/>
      <c r="E15" s="1"/>
      <c r="F15" s="1"/>
      <c r="G15" s="1"/>
      <c r="H15" s="1"/>
      <c r="I15" s="1"/>
      <c r="J15" s="1"/>
      <c r="K15" s="1"/>
      <c r="L15" s="1"/>
      <c r="M15" s="272"/>
    </row>
    <row r="16" spans="1:13" x14ac:dyDescent="0.2">
      <c r="B16" s="271"/>
      <c r="C16" s="1"/>
      <c r="D16" s="1"/>
      <c r="E16" s="1"/>
      <c r="F16" s="1"/>
      <c r="G16" s="1"/>
      <c r="H16" s="1"/>
      <c r="I16" s="1"/>
      <c r="J16" s="1"/>
      <c r="K16" s="1"/>
      <c r="L16" s="1"/>
      <c r="M16" s="272"/>
    </row>
    <row r="17" spans="2:13" x14ac:dyDescent="0.2">
      <c r="B17" s="271"/>
      <c r="C17" s="1"/>
      <c r="D17" s="1"/>
      <c r="E17" s="1"/>
      <c r="F17" s="1"/>
      <c r="G17" s="1"/>
      <c r="H17" s="1"/>
      <c r="I17" s="1"/>
      <c r="J17" s="1"/>
      <c r="K17" s="1"/>
      <c r="L17" s="1"/>
      <c r="M17" s="272"/>
    </row>
    <row r="18" spans="2:13" x14ac:dyDescent="0.2">
      <c r="B18" s="271"/>
      <c r="C18" s="1"/>
      <c r="D18" s="1"/>
      <c r="E18" s="1"/>
      <c r="F18" s="1"/>
      <c r="G18" s="1"/>
      <c r="H18" s="1"/>
      <c r="I18" s="1"/>
      <c r="J18" s="1"/>
      <c r="K18" s="1"/>
      <c r="L18" s="1"/>
      <c r="M18" s="272"/>
    </row>
    <row r="19" spans="2:13" x14ac:dyDescent="0.2">
      <c r="B19" s="271"/>
      <c r="C19" s="1"/>
      <c r="D19" s="1"/>
      <c r="E19" s="1"/>
      <c r="F19" s="1"/>
      <c r="G19" s="1"/>
      <c r="H19" s="1"/>
      <c r="I19" s="1"/>
      <c r="J19" s="1"/>
      <c r="K19" s="1"/>
      <c r="L19" s="1"/>
      <c r="M19" s="272"/>
    </row>
    <row r="20" spans="2:13" x14ac:dyDescent="0.2">
      <c r="B20" s="271"/>
      <c r="C20" s="1"/>
      <c r="D20" s="1"/>
      <c r="E20" s="1"/>
      <c r="F20" s="1"/>
      <c r="G20" s="1"/>
      <c r="H20" s="1"/>
      <c r="I20" s="1"/>
      <c r="J20" s="1"/>
      <c r="K20" s="1"/>
      <c r="L20" s="1"/>
      <c r="M20" s="272"/>
    </row>
    <row r="21" spans="2:13" x14ac:dyDescent="0.2">
      <c r="B21" s="271"/>
      <c r="C21" s="1"/>
      <c r="D21" s="1"/>
      <c r="E21" s="1"/>
      <c r="F21" s="1"/>
      <c r="G21" s="1"/>
      <c r="H21" s="1"/>
      <c r="I21" s="1"/>
      <c r="J21" s="1"/>
      <c r="K21" s="1"/>
      <c r="L21" s="1"/>
      <c r="M21" s="272"/>
    </row>
    <row r="22" spans="2:13" x14ac:dyDescent="0.2">
      <c r="B22" s="271"/>
      <c r="C22" s="1"/>
      <c r="D22" s="1"/>
      <c r="E22" s="1"/>
      <c r="F22" s="1"/>
      <c r="G22" s="1"/>
      <c r="H22" s="1"/>
      <c r="I22" s="1"/>
      <c r="J22" s="1"/>
      <c r="K22" s="1"/>
      <c r="L22" s="1"/>
      <c r="M22" s="272"/>
    </row>
    <row r="23" spans="2:13" x14ac:dyDescent="0.2">
      <c r="B23" s="271"/>
      <c r="C23" s="1"/>
      <c r="D23" s="1"/>
      <c r="E23" s="1"/>
      <c r="F23" s="1"/>
      <c r="G23" s="1"/>
      <c r="H23" s="1"/>
      <c r="I23" s="1"/>
      <c r="J23" s="1"/>
      <c r="K23" s="1"/>
      <c r="L23" s="1"/>
      <c r="M23" s="272"/>
    </row>
    <row r="24" spans="2:13" x14ac:dyDescent="0.2">
      <c r="B24" s="271"/>
      <c r="C24" s="1"/>
      <c r="D24" s="1"/>
      <c r="E24" s="1"/>
      <c r="F24" s="1"/>
      <c r="G24" s="1"/>
      <c r="H24" s="1"/>
      <c r="I24" s="1"/>
      <c r="J24" s="1"/>
      <c r="K24" s="1"/>
      <c r="L24" s="1"/>
      <c r="M24" s="272"/>
    </row>
    <row r="25" spans="2:13" x14ac:dyDescent="0.2">
      <c r="B25" s="271"/>
      <c r="C25" s="1"/>
      <c r="D25" s="1"/>
      <c r="E25" s="1"/>
      <c r="F25" s="1"/>
      <c r="G25" s="1"/>
      <c r="H25" s="1"/>
      <c r="I25" s="1"/>
      <c r="J25" s="1"/>
      <c r="K25" s="1"/>
      <c r="L25" s="1"/>
      <c r="M25" s="272"/>
    </row>
    <row r="26" spans="2:13" x14ac:dyDescent="0.2">
      <c r="B26" s="271"/>
      <c r="C26" s="1"/>
      <c r="D26" s="1"/>
      <c r="E26" s="1"/>
      <c r="F26" s="1"/>
      <c r="G26" s="1"/>
      <c r="H26" s="1"/>
      <c r="I26" s="1"/>
      <c r="J26" s="1"/>
      <c r="K26" s="1"/>
      <c r="L26" s="1"/>
      <c r="M26" s="272"/>
    </row>
    <row r="27" spans="2:13" x14ac:dyDescent="0.2">
      <c r="B27" s="271"/>
      <c r="C27" s="1"/>
      <c r="D27" s="1"/>
      <c r="E27" s="1"/>
      <c r="F27" s="1"/>
      <c r="G27" s="1"/>
      <c r="H27" s="1"/>
      <c r="I27" s="1"/>
      <c r="J27" s="1"/>
      <c r="K27" s="1"/>
      <c r="L27" s="1"/>
      <c r="M27" s="272"/>
    </row>
    <row r="28" spans="2:13" x14ac:dyDescent="0.2">
      <c r="B28" s="271"/>
      <c r="C28" s="1"/>
      <c r="D28" s="1"/>
      <c r="E28" s="1"/>
      <c r="F28" s="1"/>
      <c r="G28" s="1"/>
      <c r="H28" s="1"/>
      <c r="I28" s="1"/>
      <c r="J28" s="1"/>
      <c r="K28" s="1"/>
      <c r="L28" s="1"/>
      <c r="M28" s="272"/>
    </row>
    <row r="29" spans="2:13" x14ac:dyDescent="0.2">
      <c r="B29" s="271"/>
      <c r="C29" s="1"/>
      <c r="D29" s="1"/>
      <c r="E29" s="1"/>
      <c r="F29" s="1"/>
      <c r="G29" s="1"/>
      <c r="H29" s="1"/>
      <c r="I29" s="1"/>
      <c r="J29" s="1"/>
      <c r="K29" s="1"/>
      <c r="L29" s="1"/>
      <c r="M29" s="272"/>
    </row>
    <row r="30" spans="2:13" x14ac:dyDescent="0.2">
      <c r="B30" s="271"/>
      <c r="C30" s="1"/>
      <c r="D30" s="1"/>
      <c r="E30" s="1"/>
      <c r="F30" s="1"/>
      <c r="G30" s="1"/>
      <c r="H30" s="1"/>
      <c r="I30" s="1"/>
      <c r="J30" s="1"/>
      <c r="K30" s="1"/>
      <c r="L30" s="1"/>
      <c r="M30" s="272"/>
    </row>
    <row r="31" spans="2:13" x14ac:dyDescent="0.2">
      <c r="B31" s="271"/>
      <c r="C31" s="1"/>
      <c r="D31" s="1"/>
      <c r="E31" s="1"/>
      <c r="F31" s="1"/>
      <c r="G31" s="1"/>
      <c r="H31" s="1"/>
      <c r="I31" s="1"/>
      <c r="J31" s="1"/>
      <c r="K31" s="1"/>
      <c r="L31" s="1"/>
      <c r="M31" s="272"/>
    </row>
    <row r="32" spans="2:13" x14ac:dyDescent="0.2">
      <c r="B32" s="271"/>
      <c r="C32" s="1"/>
      <c r="D32" s="1"/>
      <c r="E32" s="1"/>
      <c r="F32" s="1"/>
      <c r="G32" s="1"/>
      <c r="H32" s="1"/>
      <c r="I32" s="1"/>
      <c r="J32" s="1"/>
      <c r="K32" s="1"/>
      <c r="L32" s="1"/>
      <c r="M32" s="272"/>
    </row>
    <row r="33" spans="2:13" x14ac:dyDescent="0.2">
      <c r="B33" s="271"/>
      <c r="C33" s="1"/>
      <c r="D33" s="1"/>
      <c r="E33" s="1"/>
      <c r="F33" s="1"/>
      <c r="G33" s="1"/>
      <c r="H33" s="1"/>
      <c r="I33" s="1"/>
      <c r="J33" s="1"/>
      <c r="K33" s="1"/>
      <c r="L33" s="1"/>
      <c r="M33" s="272"/>
    </row>
    <row r="34" spans="2:13" x14ac:dyDescent="0.2">
      <c r="B34" s="271"/>
      <c r="C34" s="1"/>
      <c r="D34" s="1"/>
      <c r="E34" s="1"/>
      <c r="F34" s="1"/>
      <c r="G34" s="1"/>
      <c r="H34" s="1"/>
      <c r="I34" s="1"/>
      <c r="J34" s="1"/>
      <c r="K34" s="1"/>
      <c r="L34" s="1"/>
      <c r="M34" s="272"/>
    </row>
    <row r="35" spans="2:13" x14ac:dyDescent="0.2">
      <c r="B35" s="271"/>
      <c r="C35" s="1"/>
      <c r="D35" s="1"/>
      <c r="E35" s="1"/>
      <c r="F35" s="1"/>
      <c r="G35" s="1"/>
      <c r="H35" s="1"/>
      <c r="I35" s="1"/>
      <c r="J35" s="1"/>
      <c r="K35" s="1"/>
      <c r="L35" s="1"/>
      <c r="M35" s="272"/>
    </row>
    <row r="36" spans="2:13" x14ac:dyDescent="0.2">
      <c r="B36" s="271"/>
      <c r="C36" s="1"/>
      <c r="D36" s="1"/>
      <c r="E36" s="1"/>
      <c r="F36" s="1"/>
      <c r="G36" s="1"/>
      <c r="H36" s="1"/>
      <c r="I36" s="1"/>
      <c r="J36" s="1"/>
      <c r="K36" s="1"/>
      <c r="L36" s="1"/>
      <c r="M36" s="272"/>
    </row>
    <row r="37" spans="2:13" x14ac:dyDescent="0.2">
      <c r="B37" s="271"/>
      <c r="C37" s="1"/>
      <c r="D37" s="1"/>
      <c r="E37" s="1"/>
      <c r="F37" s="1"/>
      <c r="G37" s="1"/>
      <c r="H37" s="1"/>
      <c r="I37" s="1"/>
      <c r="J37" s="1"/>
      <c r="K37" s="1"/>
      <c r="L37" s="1"/>
      <c r="M37" s="272"/>
    </row>
    <row r="38" spans="2:13" x14ac:dyDescent="0.2">
      <c r="B38" s="271"/>
      <c r="C38" s="1"/>
      <c r="D38" s="1"/>
      <c r="E38" s="1"/>
      <c r="F38" s="1"/>
      <c r="G38" s="1"/>
      <c r="H38" s="1"/>
      <c r="I38" s="1"/>
      <c r="J38" s="1"/>
      <c r="K38" s="1"/>
      <c r="L38" s="1"/>
      <c r="M38" s="272"/>
    </row>
    <row r="39" spans="2:13" x14ac:dyDescent="0.2">
      <c r="B39" s="271"/>
      <c r="C39" s="1"/>
      <c r="D39" s="1"/>
      <c r="E39" s="1"/>
      <c r="F39" s="1"/>
      <c r="G39" s="1"/>
      <c r="H39" s="1"/>
      <c r="I39" s="1"/>
      <c r="J39" s="1"/>
      <c r="K39" s="1"/>
      <c r="L39" s="1"/>
      <c r="M39" s="272"/>
    </row>
    <row r="40" spans="2:13" x14ac:dyDescent="0.2">
      <c r="B40" s="271"/>
      <c r="C40" s="1"/>
      <c r="D40" s="1"/>
      <c r="E40" s="1"/>
      <c r="F40" s="1"/>
      <c r="G40" s="1"/>
      <c r="H40" s="1"/>
      <c r="I40" s="1"/>
      <c r="J40" s="1"/>
      <c r="K40" s="1"/>
      <c r="L40" s="1"/>
      <c r="M40" s="272"/>
    </row>
    <row r="41" spans="2:13" x14ac:dyDescent="0.2">
      <c r="B41" s="271"/>
      <c r="C41" s="1"/>
      <c r="D41" s="1"/>
      <c r="E41" s="1"/>
      <c r="F41" s="1"/>
      <c r="G41" s="1"/>
      <c r="H41" s="1"/>
      <c r="I41" s="1"/>
      <c r="J41" s="1"/>
      <c r="K41" s="1"/>
      <c r="L41" s="1"/>
      <c r="M41" s="272"/>
    </row>
    <row r="42" spans="2:13" x14ac:dyDescent="0.2">
      <c r="B42" s="271"/>
      <c r="C42" s="1"/>
      <c r="D42" s="1"/>
      <c r="E42" s="1"/>
      <c r="F42" s="1"/>
      <c r="G42" s="1"/>
      <c r="H42" s="1"/>
      <c r="I42" s="1"/>
      <c r="J42" s="1"/>
      <c r="K42" s="1"/>
      <c r="L42" s="1"/>
      <c r="M42" s="272"/>
    </row>
    <row r="43" spans="2:13" x14ac:dyDescent="0.2">
      <c r="B43" s="271"/>
      <c r="C43" s="1"/>
      <c r="D43" s="1"/>
      <c r="E43" s="1"/>
      <c r="F43" s="1"/>
      <c r="G43" s="1"/>
      <c r="H43" s="1"/>
      <c r="I43" s="1"/>
      <c r="J43" s="1"/>
      <c r="K43" s="1"/>
      <c r="L43" s="1"/>
      <c r="M43" s="272"/>
    </row>
    <row r="44" spans="2:13" x14ac:dyDescent="0.2">
      <c r="B44" s="271"/>
      <c r="C44" s="1"/>
      <c r="D44" s="1"/>
      <c r="E44" s="1"/>
      <c r="F44" s="1"/>
      <c r="G44" s="1"/>
      <c r="H44" s="1"/>
      <c r="I44" s="1"/>
      <c r="J44" s="1"/>
      <c r="K44" s="1"/>
      <c r="L44" s="1"/>
      <c r="M44" s="272"/>
    </row>
    <row r="45" spans="2:13" x14ac:dyDescent="0.2">
      <c r="B45" s="271"/>
      <c r="C45" s="1"/>
      <c r="D45" s="1"/>
      <c r="E45" s="1"/>
      <c r="F45" s="1"/>
      <c r="G45" s="1"/>
      <c r="H45" s="1"/>
      <c r="I45" s="1"/>
      <c r="J45" s="1"/>
      <c r="K45" s="1"/>
      <c r="L45" s="1"/>
      <c r="M45" s="272"/>
    </row>
    <row r="46" spans="2:13" x14ac:dyDescent="0.2">
      <c r="B46" s="271"/>
      <c r="C46" s="1"/>
      <c r="D46" s="1"/>
      <c r="E46" s="1"/>
      <c r="F46" s="1"/>
      <c r="G46" s="1"/>
      <c r="H46" s="1"/>
      <c r="I46" s="1"/>
      <c r="J46" s="1"/>
      <c r="K46" s="1"/>
      <c r="L46" s="1"/>
      <c r="M46" s="272"/>
    </row>
    <row r="47" spans="2:13" x14ac:dyDescent="0.2">
      <c r="B47" s="271"/>
      <c r="C47" s="1"/>
      <c r="D47" s="1"/>
      <c r="E47" s="1"/>
      <c r="F47" s="1"/>
      <c r="G47" s="1"/>
      <c r="H47" s="1"/>
      <c r="I47" s="1"/>
      <c r="J47" s="1"/>
      <c r="K47" s="1"/>
      <c r="L47" s="1"/>
      <c r="M47" s="272"/>
    </row>
    <row r="48" spans="2:13" x14ac:dyDescent="0.2">
      <c r="B48" s="271"/>
      <c r="C48" s="1"/>
      <c r="D48" s="1"/>
      <c r="E48" s="1"/>
      <c r="F48" s="1"/>
      <c r="G48" s="1"/>
      <c r="H48" s="1"/>
      <c r="I48" s="1"/>
      <c r="J48" s="1"/>
      <c r="K48" s="1"/>
      <c r="L48" s="1"/>
      <c r="M48" s="272"/>
    </row>
    <row r="49" spans="2:13" x14ac:dyDescent="0.2">
      <c r="B49" s="271"/>
      <c r="C49" s="1"/>
      <c r="D49" s="1"/>
      <c r="E49" s="1"/>
      <c r="F49" s="1"/>
      <c r="G49" s="1"/>
      <c r="H49" s="1"/>
      <c r="I49" s="1"/>
      <c r="J49" s="1"/>
      <c r="K49" s="1"/>
      <c r="L49" s="1"/>
      <c r="M49" s="272"/>
    </row>
    <row r="50" spans="2:13" x14ac:dyDescent="0.2">
      <c r="B50" s="271"/>
      <c r="C50" s="1"/>
      <c r="D50" s="1"/>
      <c r="E50" s="1"/>
      <c r="F50" s="1"/>
      <c r="G50" s="1"/>
      <c r="H50" s="1"/>
      <c r="I50" s="1"/>
      <c r="J50" s="1"/>
      <c r="K50" s="1"/>
      <c r="L50" s="1"/>
      <c r="M50" s="272"/>
    </row>
    <row r="51" spans="2:13" x14ac:dyDescent="0.2">
      <c r="B51" s="271"/>
      <c r="C51" s="1"/>
      <c r="D51" s="1"/>
      <c r="E51" s="1"/>
      <c r="F51" s="1"/>
      <c r="G51" s="1"/>
      <c r="H51" s="1"/>
      <c r="I51" s="1"/>
      <c r="J51" s="1"/>
      <c r="K51" s="1"/>
      <c r="L51" s="1"/>
      <c r="M51" s="272"/>
    </row>
    <row r="52" spans="2:13" x14ac:dyDescent="0.2">
      <c r="B52" s="271"/>
      <c r="C52" s="1"/>
      <c r="D52" s="1"/>
      <c r="E52" s="1"/>
      <c r="F52" s="1"/>
      <c r="G52" s="1"/>
      <c r="H52" s="1"/>
      <c r="I52" s="1"/>
      <c r="J52" s="1"/>
      <c r="K52" s="1"/>
      <c r="L52" s="1"/>
      <c r="M52" s="272"/>
    </row>
    <row r="53" spans="2:13" x14ac:dyDescent="0.2">
      <c r="B53" s="271"/>
      <c r="C53" s="1"/>
      <c r="D53" s="1"/>
      <c r="E53" s="1"/>
      <c r="F53" s="1"/>
      <c r="G53" s="1"/>
      <c r="H53" s="1"/>
      <c r="I53" s="1"/>
      <c r="J53" s="1"/>
      <c r="K53" s="1"/>
      <c r="L53" s="1"/>
      <c r="M53" s="272"/>
    </row>
    <row r="54" spans="2:13" ht="13.5" thickBot="1" x14ac:dyDescent="0.25">
      <c r="B54" s="273"/>
      <c r="C54" s="6"/>
      <c r="D54" s="6"/>
      <c r="E54" s="6"/>
      <c r="F54" s="6"/>
      <c r="G54" s="6"/>
      <c r="H54" s="6"/>
      <c r="I54" s="6"/>
      <c r="J54" s="6"/>
      <c r="K54" s="6"/>
      <c r="L54" s="6"/>
      <c r="M54" s="7"/>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N256"/>
  <sheetViews>
    <sheetView showGridLines="0" showRowColHeaders="0" tabSelected="1" zoomScale="85" zoomScaleNormal="85" workbookViewId="0">
      <selection activeCell="B9" sqref="B9:E9"/>
    </sheetView>
  </sheetViews>
  <sheetFormatPr defaultColWidth="9.140625" defaultRowHeight="15" x14ac:dyDescent="0.2"/>
  <cols>
    <col min="1" max="1" width="3.42578125" style="3" customWidth="1"/>
    <col min="2" max="2" width="76.7109375" style="3" bestFit="1" customWidth="1"/>
    <col min="3" max="3" width="32" style="3" bestFit="1" customWidth="1"/>
    <col min="4" max="4" width="24.42578125" style="3" bestFit="1" customWidth="1"/>
    <col min="5" max="5" width="71.42578125" style="3" bestFit="1" customWidth="1"/>
    <col min="6" max="6" width="28.5703125" style="3" bestFit="1" customWidth="1"/>
    <col min="7" max="16384" width="9.140625" style="3"/>
  </cols>
  <sheetData>
    <row r="1" spans="1:7" ht="21.75" thickBot="1" x14ac:dyDescent="0.3">
      <c r="A1" s="902"/>
      <c r="B1" s="1130" t="s">
        <v>1394</v>
      </c>
      <c r="C1" s="1130"/>
      <c r="D1" s="1130"/>
      <c r="E1" s="179"/>
      <c r="F1" s="519"/>
    </row>
    <row r="2" spans="1:7" x14ac:dyDescent="0.25">
      <c r="A2" s="170"/>
      <c r="B2" s="1142" t="s">
        <v>1275</v>
      </c>
      <c r="C2" s="1143"/>
      <c r="D2" s="751"/>
      <c r="E2" s="751"/>
      <c r="F2" s="752" t="str">
        <f>"Version: " &amp; CalcVersion</f>
        <v>Version: 6.6</v>
      </c>
    </row>
    <row r="3" spans="1:7" x14ac:dyDescent="0.25">
      <c r="A3" s="170"/>
      <c r="B3" s="1134" t="s">
        <v>1276</v>
      </c>
      <c r="C3" s="1140"/>
      <c r="D3" s="1140"/>
      <c r="E3" s="1140"/>
      <c r="F3" s="1141"/>
    </row>
    <row r="4" spans="1:7" x14ac:dyDescent="0.2">
      <c r="A4" s="170"/>
      <c r="B4" s="753" t="s">
        <v>57</v>
      </c>
      <c r="C4" s="643"/>
      <c r="D4" s="747"/>
      <c r="E4" s="643"/>
      <c r="F4" s="4"/>
    </row>
    <row r="5" spans="1:7" x14ac:dyDescent="0.2">
      <c r="A5" s="170"/>
      <c r="B5" s="1134" t="s">
        <v>1437</v>
      </c>
      <c r="C5" s="1144"/>
      <c r="D5" s="747"/>
      <c r="E5" s="643"/>
      <c r="F5" s="4"/>
    </row>
    <row r="6" spans="1:7" x14ac:dyDescent="0.2">
      <c r="A6" s="170"/>
      <c r="B6" s="753"/>
      <c r="C6" s="643"/>
      <c r="D6" s="747"/>
      <c r="E6" s="643"/>
      <c r="F6" s="4"/>
    </row>
    <row r="7" spans="1:7" x14ac:dyDescent="0.2">
      <c r="A7" s="170"/>
      <c r="B7" s="1137" t="s">
        <v>572</v>
      </c>
      <c r="C7" s="1135"/>
      <c r="D7" s="1135"/>
      <c r="E7" s="1135"/>
      <c r="F7" s="1136"/>
      <c r="G7" s="11"/>
    </row>
    <row r="8" spans="1:7" x14ac:dyDescent="0.2">
      <c r="A8" s="170"/>
      <c r="B8" s="1134"/>
      <c r="C8" s="1135"/>
      <c r="D8" s="1135"/>
      <c r="E8" s="1135"/>
      <c r="F8" s="1136"/>
    </row>
    <row r="9" spans="1:7" x14ac:dyDescent="0.2">
      <c r="A9" s="170"/>
      <c r="B9" s="1138" t="s">
        <v>269</v>
      </c>
      <c r="C9" s="1139"/>
      <c r="D9" s="1139"/>
      <c r="E9" s="1139"/>
      <c r="F9" s="4"/>
    </row>
    <row r="10" spans="1:7" ht="15" customHeight="1" x14ac:dyDescent="0.2">
      <c r="A10" s="170"/>
      <c r="B10" s="1131" t="s">
        <v>571</v>
      </c>
      <c r="C10" s="1132"/>
      <c r="D10" s="1132"/>
      <c r="E10" s="1132"/>
      <c r="F10" s="1133"/>
    </row>
    <row r="11" spans="1:7" x14ac:dyDescent="0.2">
      <c r="A11" s="170"/>
      <c r="B11" s="1131"/>
      <c r="C11" s="1132"/>
      <c r="D11" s="1132"/>
      <c r="E11" s="1132"/>
      <c r="F11" s="1133"/>
    </row>
    <row r="12" spans="1:7" x14ac:dyDescent="0.2">
      <c r="A12" s="170"/>
      <c r="B12" s="359"/>
      <c r="C12" s="360"/>
      <c r="D12" s="360"/>
      <c r="E12" s="360"/>
      <c r="F12" s="361"/>
    </row>
    <row r="13" spans="1:7" x14ac:dyDescent="0.2">
      <c r="A13" s="170"/>
      <c r="B13" s="1127" t="s">
        <v>1588</v>
      </c>
      <c r="C13" s="1128"/>
      <c r="D13" s="1128"/>
      <c r="E13" s="1128"/>
      <c r="F13" s="1129"/>
    </row>
    <row r="14" spans="1:7" x14ac:dyDescent="0.2">
      <c r="A14" s="170"/>
      <c r="B14" s="1131" t="s">
        <v>1589</v>
      </c>
      <c r="C14" s="1132"/>
      <c r="D14" s="1132"/>
      <c r="E14" s="1132"/>
      <c r="F14" s="1133"/>
    </row>
    <row r="15" spans="1:7" x14ac:dyDescent="0.2">
      <c r="A15" s="170"/>
      <c r="B15" s="1127" t="s">
        <v>1590</v>
      </c>
      <c r="C15" s="1128"/>
      <c r="D15" s="1128"/>
      <c r="E15" s="1128"/>
      <c r="F15" s="1129"/>
    </row>
    <row r="16" spans="1:7" x14ac:dyDescent="0.2">
      <c r="A16" s="170"/>
      <c r="B16" s="1101"/>
      <c r="C16" s="1102"/>
      <c r="D16" s="1102"/>
      <c r="E16" s="1102"/>
      <c r="F16" s="1103"/>
    </row>
    <row r="17" spans="1:10" x14ac:dyDescent="0.2">
      <c r="A17" s="170"/>
      <c r="B17" s="1098" t="s">
        <v>520</v>
      </c>
      <c r="C17" s="1099"/>
      <c r="D17" s="1099"/>
      <c r="E17" s="1099"/>
      <c r="F17" s="1100"/>
    </row>
    <row r="18" spans="1:10" s="12" customFormat="1" ht="15" customHeight="1" x14ac:dyDescent="0.2">
      <c r="A18" s="170"/>
      <c r="B18" s="1122" t="s">
        <v>531</v>
      </c>
      <c r="C18" s="1123"/>
      <c r="D18" s="1123"/>
      <c r="E18" s="1123"/>
      <c r="F18" s="1124"/>
    </row>
    <row r="19" spans="1:10" s="12" customFormat="1" x14ac:dyDescent="0.2">
      <c r="A19" s="170"/>
      <c r="B19" s="1122"/>
      <c r="C19" s="1123"/>
      <c r="D19" s="1123"/>
      <c r="E19" s="1123"/>
      <c r="F19" s="1124"/>
    </row>
    <row r="20" spans="1:10" x14ac:dyDescent="0.2">
      <c r="A20" s="170"/>
      <c r="B20" s="754"/>
      <c r="C20" s="643"/>
      <c r="D20" s="643"/>
      <c r="E20" s="944"/>
      <c r="F20" s="4"/>
    </row>
    <row r="21" spans="1:10" x14ac:dyDescent="0.25">
      <c r="A21" s="170"/>
      <c r="B21" s="755" t="s">
        <v>319</v>
      </c>
      <c r="C21" s="174" t="s">
        <v>249</v>
      </c>
      <c r="D21" s="643"/>
      <c r="E21" s="424" t="s">
        <v>706</v>
      </c>
      <c r="F21" s="445" t="s">
        <v>249</v>
      </c>
    </row>
    <row r="22" spans="1:10" x14ac:dyDescent="0.2">
      <c r="A22" s="170"/>
      <c r="B22" s="344" t="s">
        <v>584</v>
      </c>
      <c r="C22" s="173" t="s">
        <v>586</v>
      </c>
      <c r="D22" s="643"/>
      <c r="E22" s="8" t="s">
        <v>705</v>
      </c>
      <c r="F22" s="327" t="s">
        <v>8</v>
      </c>
    </row>
    <row r="23" spans="1:10" x14ac:dyDescent="0.2">
      <c r="A23" s="170"/>
      <c r="B23" s="344" t="s">
        <v>790</v>
      </c>
      <c r="C23" s="173" t="s">
        <v>8</v>
      </c>
      <c r="D23" s="643"/>
      <c r="E23" s="8" t="s">
        <v>517</v>
      </c>
      <c r="F23" s="631" t="s">
        <v>643</v>
      </c>
    </row>
    <row r="24" spans="1:10" x14ac:dyDescent="0.2">
      <c r="A24" s="170"/>
      <c r="B24" s="344" t="s">
        <v>762</v>
      </c>
      <c r="C24" s="173" t="s">
        <v>9</v>
      </c>
      <c r="D24" s="643"/>
      <c r="E24" s="8" t="s">
        <v>418</v>
      </c>
      <c r="F24" s="631">
        <v>24</v>
      </c>
    </row>
    <row r="25" spans="1:10" s="14" customFormat="1" x14ac:dyDescent="0.25">
      <c r="A25" s="171"/>
      <c r="B25" s="756" t="s">
        <v>313</v>
      </c>
      <c r="C25" s="638" t="s">
        <v>8</v>
      </c>
      <c r="D25" s="171"/>
      <c r="E25" s="8" t="s">
        <v>640</v>
      </c>
      <c r="F25" s="251" t="s">
        <v>9</v>
      </c>
      <c r="G25" s="266"/>
      <c r="J25" s="739"/>
    </row>
    <row r="26" spans="1:10" s="14" customFormat="1" ht="15" customHeight="1" x14ac:dyDescent="0.25">
      <c r="A26" s="171"/>
      <c r="B26" s="756" t="str">
        <f>IF(HAOption="Yes",IF(SiteResilienceEnabled="Yes","Number of Mailbox Servers Hosting Active Mailboxes / DAG (Primary Datacenter)","Number of Mailbox Servers Hosting Active Mailboxes / DAG"),"Number of Mailbox Servers")</f>
        <v>Number of Mailbox Servers Hosting Active Mailboxes / DAG (Primary Datacenter)</v>
      </c>
      <c r="C26" s="278">
        <v>4</v>
      </c>
      <c r="D26" s="171"/>
      <c r="E26" s="637" t="s">
        <v>703</v>
      </c>
      <c r="F26" s="251" t="s">
        <v>9</v>
      </c>
      <c r="G26" s="260"/>
      <c r="H26" s="438"/>
      <c r="J26" s="725"/>
    </row>
    <row r="27" spans="1:10" s="710" customFormat="1" ht="15" customHeight="1" x14ac:dyDescent="0.25">
      <c r="A27" s="171"/>
      <c r="B27" s="344" t="str">
        <f>IF(AND(HAOption="Yes",SiteResilienceEnabled="Yes",SRModel="Active/Active (Multiple DAGs)"),"Database Availability Group Multiplier", "Number of Database Availability Groups")</f>
        <v>Number of Database Availability Groups</v>
      </c>
      <c r="C27" s="278">
        <v>10</v>
      </c>
      <c r="D27" s="171"/>
      <c r="E27" s="171"/>
      <c r="F27" s="746"/>
    </row>
    <row r="28" spans="1:10" ht="15" customHeight="1" x14ac:dyDescent="0.25">
      <c r="A28" s="170"/>
      <c r="B28" s="757"/>
      <c r="C28" s="758"/>
      <c r="D28" s="643"/>
      <c r="E28" s="520"/>
      <c r="F28" s="549"/>
    </row>
    <row r="29" spans="1:10" x14ac:dyDescent="0.2">
      <c r="A29" s="170"/>
      <c r="B29" s="759" t="s">
        <v>444</v>
      </c>
      <c r="C29" s="178" t="s">
        <v>249</v>
      </c>
      <c r="D29" s="178"/>
      <c r="E29" s="172" t="s">
        <v>537</v>
      </c>
      <c r="F29" s="250" t="s">
        <v>249</v>
      </c>
    </row>
    <row r="30" spans="1:10" x14ac:dyDescent="0.2">
      <c r="A30" s="170"/>
      <c r="B30" s="344" t="s">
        <v>618</v>
      </c>
      <c r="C30" s="173">
        <v>3</v>
      </c>
      <c r="D30" s="18"/>
      <c r="E30" s="8" t="s">
        <v>400</v>
      </c>
      <c r="F30" s="629" t="s">
        <v>9</v>
      </c>
    </row>
    <row r="31" spans="1:10" x14ac:dyDescent="0.2">
      <c r="A31" s="170"/>
      <c r="B31" s="344" t="s">
        <v>619</v>
      </c>
      <c r="C31" s="503">
        <v>1</v>
      </c>
      <c r="D31" s="643"/>
      <c r="E31" s="8" t="s">
        <v>439</v>
      </c>
      <c r="F31" s="630">
        <v>168</v>
      </c>
      <c r="J31" s="540"/>
    </row>
    <row r="32" spans="1:10" x14ac:dyDescent="0.2">
      <c r="A32" s="170"/>
      <c r="B32" s="344" t="s">
        <v>576</v>
      </c>
      <c r="C32" s="367">
        <v>1</v>
      </c>
      <c r="D32" s="643"/>
      <c r="E32" s="8" t="s">
        <v>440</v>
      </c>
      <c r="F32" s="630">
        <v>0</v>
      </c>
    </row>
    <row r="33" spans="1:14" x14ac:dyDescent="0.2">
      <c r="A33" s="170"/>
      <c r="B33" s="344" t="s">
        <v>577</v>
      </c>
      <c r="C33" s="367">
        <v>1</v>
      </c>
      <c r="D33" s="643"/>
      <c r="E33" s="13"/>
      <c r="F33" s="17"/>
    </row>
    <row r="34" spans="1:14" x14ac:dyDescent="0.2">
      <c r="A34" s="170"/>
      <c r="B34" s="16"/>
      <c r="C34" s="13"/>
      <c r="D34" s="13"/>
      <c r="E34" s="13"/>
      <c r="F34" s="17"/>
    </row>
    <row r="35" spans="1:14" x14ac:dyDescent="0.2">
      <c r="A35" s="170"/>
      <c r="B35" s="198" t="s">
        <v>6</v>
      </c>
      <c r="C35" s="172" t="s">
        <v>249</v>
      </c>
      <c r="D35" s="643"/>
      <c r="E35" s="178" t="s">
        <v>29</v>
      </c>
      <c r="F35" s="253" t="s">
        <v>249</v>
      </c>
    </row>
    <row r="36" spans="1:14" x14ac:dyDescent="0.2">
      <c r="A36" s="170"/>
      <c r="B36" s="344" t="s">
        <v>45</v>
      </c>
      <c r="C36" s="633">
        <v>0</v>
      </c>
      <c r="D36" s="643"/>
      <c r="E36" s="8" t="s">
        <v>302</v>
      </c>
      <c r="F36" s="571" t="s">
        <v>303</v>
      </c>
    </row>
    <row r="37" spans="1:14" x14ac:dyDescent="0.2">
      <c r="A37" s="170"/>
      <c r="B37" s="344" t="s">
        <v>33</v>
      </c>
      <c r="C37" s="633">
        <v>0.01</v>
      </c>
      <c r="D37" s="643"/>
      <c r="E37" s="8" t="s">
        <v>99</v>
      </c>
      <c r="F37" s="640">
        <v>100</v>
      </c>
    </row>
    <row r="38" spans="1:14" x14ac:dyDescent="0.2">
      <c r="A38" s="170"/>
      <c r="B38" s="344" t="s">
        <v>830</v>
      </c>
      <c r="C38" s="173" t="s">
        <v>8</v>
      </c>
      <c r="D38" s="643"/>
      <c r="E38" s="13" t="str">
        <f>"Automatically Calculate Number of Unique Databases" &amp; IF(HAOption="Yes"," / DAG","")</f>
        <v>Automatically Calculate Number of Unique Databases / DAG</v>
      </c>
      <c r="F38" s="632" t="s">
        <v>8</v>
      </c>
      <c r="H38" s="642"/>
    </row>
    <row r="39" spans="1:14" x14ac:dyDescent="0.2">
      <c r="A39" s="170"/>
      <c r="B39" s="344" t="s">
        <v>831</v>
      </c>
      <c r="C39" s="634">
        <v>0.05</v>
      </c>
      <c r="D39" s="643"/>
      <c r="E39" s="13" t="str">
        <f>"Custom Number of Databases" &amp; IF(HAOption="Yes"," / DAG"," / Server")</f>
        <v>Custom Number of Databases / DAG</v>
      </c>
      <c r="F39" s="641">
        <v>192</v>
      </c>
    </row>
    <row r="40" spans="1:14" x14ac:dyDescent="0.2">
      <c r="A40" s="170"/>
      <c r="B40" s="16" t="s">
        <v>458</v>
      </c>
      <c r="C40" s="635" t="s">
        <v>31</v>
      </c>
      <c r="D40" s="643"/>
      <c r="E40" s="8" t="s">
        <v>744</v>
      </c>
      <c r="F40" s="682" t="s">
        <v>8</v>
      </c>
    </row>
    <row r="41" spans="1:14" x14ac:dyDescent="0.25">
      <c r="A41" s="170"/>
      <c r="B41" s="760" t="s">
        <v>548</v>
      </c>
      <c r="C41" s="636">
        <v>0.3</v>
      </c>
      <c r="D41" s="643"/>
      <c r="E41" s="815"/>
      <c r="F41" s="17"/>
      <c r="M41" s="12"/>
      <c r="N41" s="12"/>
    </row>
    <row r="42" spans="1:14" x14ac:dyDescent="0.2">
      <c r="A42" s="170"/>
      <c r="B42" s="344"/>
      <c r="C42" s="278"/>
      <c r="D42" s="945"/>
      <c r="F42" s="17"/>
      <c r="G42" s="13"/>
      <c r="M42" s="12"/>
      <c r="N42" s="175"/>
    </row>
    <row r="43" spans="1:14" x14ac:dyDescent="0.2">
      <c r="A43" s="170"/>
      <c r="B43" s="759" t="s">
        <v>283</v>
      </c>
      <c r="C43" s="178" t="s">
        <v>249</v>
      </c>
      <c r="D43" s="178"/>
      <c r="E43" s="958" t="s">
        <v>1400</v>
      </c>
      <c r="F43" s="445" t="s">
        <v>249</v>
      </c>
      <c r="M43" s="12"/>
      <c r="N43" s="175"/>
    </row>
    <row r="44" spans="1:14" x14ac:dyDescent="0.25">
      <c r="A44" s="170"/>
      <c r="B44" s="344" t="s">
        <v>44</v>
      </c>
      <c r="C44" s="633">
        <v>0.2</v>
      </c>
      <c r="D44" s="13"/>
      <c r="E44" s="955" t="s">
        <v>1397</v>
      </c>
      <c r="F44" s="959">
        <v>2</v>
      </c>
      <c r="M44" s="12"/>
      <c r="N44" s="175"/>
    </row>
    <row r="45" spans="1:14" x14ac:dyDescent="0.25">
      <c r="A45" s="170"/>
      <c r="B45" s="344" t="s">
        <v>1735</v>
      </c>
      <c r="C45" s="639">
        <v>0</v>
      </c>
      <c r="D45" s="13"/>
      <c r="E45" s="344" t="s">
        <v>1401</v>
      </c>
      <c r="F45" s="959">
        <v>7</v>
      </c>
      <c r="M45" s="12"/>
      <c r="N45" s="175"/>
    </row>
    <row r="46" spans="1:14" x14ac:dyDescent="0.2">
      <c r="A46" s="170"/>
      <c r="B46" s="761"/>
      <c r="C46" s="248"/>
      <c r="D46" s="18"/>
      <c r="E46" s="9"/>
      <c r="F46" s="249"/>
    </row>
    <row r="47" spans="1:14" x14ac:dyDescent="0.2">
      <c r="A47" s="170"/>
      <c r="B47" s="1098" t="s">
        <v>538</v>
      </c>
      <c r="C47" s="1099"/>
      <c r="D47" s="1099"/>
      <c r="E47" s="1099"/>
      <c r="F47" s="1100"/>
      <c r="I47" s="172"/>
      <c r="J47" s="424"/>
    </row>
    <row r="48" spans="1:14" s="12" customFormat="1" x14ac:dyDescent="0.2">
      <c r="A48" s="170"/>
      <c r="B48" s="1122" t="s">
        <v>1805</v>
      </c>
      <c r="C48" s="1123"/>
      <c r="D48" s="1123"/>
      <c r="E48" s="1123"/>
      <c r="F48" s="1124"/>
      <c r="I48" s="628"/>
      <c r="J48" s="628"/>
    </row>
    <row r="49" spans="1:10" s="12" customFormat="1" x14ac:dyDescent="0.2">
      <c r="A49" s="170"/>
      <c r="B49" s="1122"/>
      <c r="C49" s="1123"/>
      <c r="D49" s="1123"/>
      <c r="E49" s="1123"/>
      <c r="F49" s="1124"/>
      <c r="I49" s="628"/>
      <c r="J49" s="628"/>
    </row>
    <row r="50" spans="1:10" s="628" customFormat="1" x14ac:dyDescent="0.2">
      <c r="A50" s="170"/>
      <c r="B50" s="1018"/>
      <c r="C50" s="1019"/>
      <c r="D50" s="1019"/>
      <c r="E50" s="1019"/>
      <c r="F50" s="1020"/>
    </row>
    <row r="51" spans="1:10" s="628" customFormat="1" x14ac:dyDescent="0.2">
      <c r="A51" s="170"/>
      <c r="B51" s="1023" t="s">
        <v>1806</v>
      </c>
      <c r="C51" s="1023" t="s">
        <v>249</v>
      </c>
      <c r="D51" s="1019"/>
      <c r="E51" s="1019"/>
      <c r="F51" s="1020"/>
    </row>
    <row r="52" spans="1:10" s="628" customFormat="1" x14ac:dyDescent="0.2">
      <c r="A52" s="170"/>
      <c r="B52" s="1024" t="s">
        <v>1809</v>
      </c>
      <c r="C52" s="1073">
        <v>5</v>
      </c>
      <c r="D52" s="1019"/>
      <c r="E52" s="1019"/>
      <c r="F52" s="1020"/>
    </row>
    <row r="53" spans="1:10" s="12" customFormat="1" x14ac:dyDescent="0.2">
      <c r="A53" s="170"/>
      <c r="B53" s="762"/>
      <c r="C53" s="741"/>
      <c r="D53" s="741"/>
      <c r="E53" s="741"/>
      <c r="F53" s="742"/>
    </row>
    <row r="54" spans="1:10" x14ac:dyDescent="0.2">
      <c r="A54" s="170"/>
      <c r="B54" s="198" t="s">
        <v>104</v>
      </c>
      <c r="C54" s="172" t="s">
        <v>249</v>
      </c>
      <c r="D54" s="389"/>
      <c r="E54" s="172" t="s">
        <v>107</v>
      </c>
      <c r="F54" s="250" t="s">
        <v>249</v>
      </c>
    </row>
    <row r="55" spans="1:10" x14ac:dyDescent="0.2">
      <c r="A55" s="170"/>
      <c r="B55" s="344" t="s">
        <v>680</v>
      </c>
      <c r="C55" s="180">
        <v>45000</v>
      </c>
      <c r="D55" s="643"/>
      <c r="E55" s="8" t="s">
        <v>682</v>
      </c>
      <c r="F55" s="565">
        <v>0</v>
      </c>
    </row>
    <row r="56" spans="1:10" ht="15.75" thickBot="1" x14ac:dyDescent="0.25">
      <c r="A56" s="170"/>
      <c r="B56" s="344" t="s">
        <v>464</v>
      </c>
      <c r="C56" s="763">
        <v>0</v>
      </c>
      <c r="D56" s="643"/>
      <c r="E56" s="8" t="s">
        <v>464</v>
      </c>
      <c r="F56" s="566">
        <v>0</v>
      </c>
    </row>
    <row r="57" spans="1:10" x14ac:dyDescent="0.2">
      <c r="A57" s="170"/>
      <c r="B57" s="256" t="s">
        <v>592</v>
      </c>
      <c r="C57" s="173" t="s">
        <v>596</v>
      </c>
      <c r="D57" s="643"/>
      <c r="E57" s="257" t="s">
        <v>592</v>
      </c>
      <c r="F57" s="567" t="s">
        <v>594</v>
      </c>
    </row>
    <row r="58" spans="1:10" ht="15.75" thickBot="1" x14ac:dyDescent="0.25">
      <c r="A58" s="170"/>
      <c r="B58" s="764" t="s">
        <v>37</v>
      </c>
      <c r="C58" s="180">
        <v>75</v>
      </c>
      <c r="D58" s="643"/>
      <c r="E58" s="8" t="s">
        <v>37</v>
      </c>
      <c r="F58" s="565">
        <v>75</v>
      </c>
    </row>
    <row r="59" spans="1:10" x14ac:dyDescent="0.2">
      <c r="A59" s="899"/>
      <c r="B59" s="1063" t="s">
        <v>1824</v>
      </c>
      <c r="C59" s="1058">
        <v>2048</v>
      </c>
      <c r="D59" s="643"/>
      <c r="E59" s="257" t="s">
        <v>1824</v>
      </c>
      <c r="F59" s="1058">
        <v>0</v>
      </c>
      <c r="G59" s="16"/>
    </row>
    <row r="60" spans="1:10" x14ac:dyDescent="0.2">
      <c r="A60" s="170"/>
      <c r="B60" s="1051" t="s">
        <v>365</v>
      </c>
      <c r="C60" s="1057">
        <v>10240</v>
      </c>
      <c r="D60" s="643"/>
      <c r="E60" s="8" t="s">
        <v>365</v>
      </c>
      <c r="F60" s="1064">
        <v>5120</v>
      </c>
      <c r="G60" s="13"/>
    </row>
    <row r="61" spans="1:10" ht="15.75" thickBot="1" x14ac:dyDescent="0.25">
      <c r="A61" s="170"/>
      <c r="B61" s="1053" t="s">
        <v>393</v>
      </c>
      <c r="C61" s="765">
        <v>0</v>
      </c>
      <c r="D61" s="643"/>
      <c r="E61" s="766" t="s">
        <v>393</v>
      </c>
      <c r="F61" s="767">
        <v>0</v>
      </c>
      <c r="G61" s="13"/>
    </row>
    <row r="62" spans="1:10" x14ac:dyDescent="0.2">
      <c r="A62" s="899"/>
      <c r="B62" s="1051" t="s">
        <v>15</v>
      </c>
      <c r="C62" s="177">
        <v>14</v>
      </c>
      <c r="D62" s="643"/>
      <c r="E62" s="257" t="s">
        <v>15</v>
      </c>
      <c r="F62" s="568">
        <v>14</v>
      </c>
      <c r="G62" s="13"/>
    </row>
    <row r="63" spans="1:10" x14ac:dyDescent="0.2">
      <c r="A63" s="170"/>
      <c r="B63" s="1054" t="s">
        <v>371</v>
      </c>
      <c r="C63" s="512" t="s">
        <v>31</v>
      </c>
      <c r="D63" s="643"/>
      <c r="E63" s="510" t="s">
        <v>371</v>
      </c>
      <c r="F63" s="569" t="s">
        <v>31</v>
      </c>
      <c r="G63" s="13"/>
    </row>
    <row r="64" spans="1:10" ht="15.75" thickBot="1" x14ac:dyDescent="0.25">
      <c r="A64" s="170"/>
      <c r="B64" s="1055" t="s">
        <v>457</v>
      </c>
      <c r="C64" s="833" t="s">
        <v>31</v>
      </c>
      <c r="D64" s="831"/>
      <c r="E64" s="431" t="s">
        <v>457</v>
      </c>
      <c r="F64" s="570" t="s">
        <v>31</v>
      </c>
      <c r="G64" s="16"/>
    </row>
    <row r="65" spans="1:7" x14ac:dyDescent="0.2">
      <c r="A65" s="170"/>
      <c r="B65" s="1052" t="s">
        <v>1281</v>
      </c>
      <c r="C65" s="834">
        <v>1</v>
      </c>
      <c r="D65" s="643"/>
      <c r="E65" s="257" t="s">
        <v>1281</v>
      </c>
      <c r="F65" s="834">
        <v>1</v>
      </c>
      <c r="G65" s="13"/>
    </row>
    <row r="66" spans="1:7" x14ac:dyDescent="0.2">
      <c r="A66" s="170"/>
      <c r="B66" s="1054" t="s">
        <v>266</v>
      </c>
      <c r="C66" s="584">
        <v>1</v>
      </c>
      <c r="D66" s="643"/>
      <c r="E66" s="510" t="s">
        <v>266</v>
      </c>
      <c r="F66" s="840">
        <v>1</v>
      </c>
    </row>
    <row r="67" spans="1:7" ht="15.75" thickBot="1" x14ac:dyDescent="0.25">
      <c r="A67" s="170"/>
      <c r="B67" s="1055" t="s">
        <v>641</v>
      </c>
      <c r="C67" s="584">
        <v>1</v>
      </c>
      <c r="D67" s="643"/>
      <c r="E67" s="838" t="s">
        <v>641</v>
      </c>
      <c r="F67" s="590">
        <v>1</v>
      </c>
    </row>
    <row r="68" spans="1:7" ht="15.75" thickBot="1" x14ac:dyDescent="0.25">
      <c r="A68" s="170"/>
      <c r="B68" s="1056" t="s">
        <v>366</v>
      </c>
      <c r="C68" s="586" t="s">
        <v>9</v>
      </c>
      <c r="D68" s="643"/>
      <c r="E68" s="587" t="s">
        <v>366</v>
      </c>
      <c r="F68" s="588" t="s">
        <v>9</v>
      </c>
    </row>
    <row r="69" spans="1:7" x14ac:dyDescent="0.2">
      <c r="A69" s="170"/>
      <c r="B69" s="1051" t="s">
        <v>71</v>
      </c>
      <c r="C69" s="182" t="s">
        <v>8</v>
      </c>
      <c r="D69" s="643"/>
      <c r="E69" s="257" t="s">
        <v>71</v>
      </c>
      <c r="F69" s="327" t="s">
        <v>8</v>
      </c>
    </row>
    <row r="70" spans="1:7" s="642" customFormat="1" x14ac:dyDescent="0.2">
      <c r="A70" s="170"/>
      <c r="B70" s="1051" t="s">
        <v>105</v>
      </c>
      <c r="C70" s="183">
        <v>0</v>
      </c>
      <c r="D70" s="831"/>
      <c r="E70" s="8" t="s">
        <v>108</v>
      </c>
      <c r="F70" s="252">
        <v>0</v>
      </c>
    </row>
    <row r="71" spans="1:7" s="642" customFormat="1" x14ac:dyDescent="0.2">
      <c r="A71" s="170"/>
      <c r="B71" s="344" t="s">
        <v>139</v>
      </c>
      <c r="C71" s="175" t="s">
        <v>379</v>
      </c>
      <c r="D71" s="987"/>
      <c r="E71" s="8" t="s">
        <v>140</v>
      </c>
      <c r="F71" s="571" t="s">
        <v>379</v>
      </c>
    </row>
    <row r="72" spans="1:7" x14ac:dyDescent="0.2">
      <c r="A72" s="170"/>
      <c r="B72" s="761"/>
      <c r="C72" s="20"/>
      <c r="D72" s="18"/>
      <c r="E72" s="9"/>
      <c r="F72" s="184"/>
    </row>
    <row r="73" spans="1:7" x14ac:dyDescent="0.2">
      <c r="A73" s="170"/>
      <c r="B73" s="198" t="s">
        <v>106</v>
      </c>
      <c r="C73" s="172" t="s">
        <v>249</v>
      </c>
      <c r="D73" s="643"/>
      <c r="E73" s="172" t="s">
        <v>623</v>
      </c>
      <c r="F73" s="250" t="s">
        <v>249</v>
      </c>
    </row>
    <row r="74" spans="1:7" x14ac:dyDescent="0.2">
      <c r="A74" s="170"/>
      <c r="B74" s="344" t="s">
        <v>681</v>
      </c>
      <c r="C74" s="180">
        <v>0</v>
      </c>
      <c r="D74" s="643"/>
      <c r="E74" s="8" t="s">
        <v>683</v>
      </c>
      <c r="F74" s="565">
        <v>0</v>
      </c>
    </row>
    <row r="75" spans="1:7" ht="15.75" thickBot="1" x14ac:dyDescent="0.25">
      <c r="A75" s="170"/>
      <c r="B75" s="764" t="s">
        <v>464</v>
      </c>
      <c r="C75" s="181">
        <v>0</v>
      </c>
      <c r="D75" s="643"/>
      <c r="E75" s="8" t="s">
        <v>464</v>
      </c>
      <c r="F75" s="566">
        <v>0</v>
      </c>
    </row>
    <row r="76" spans="1:7" x14ac:dyDescent="0.2">
      <c r="A76" s="170"/>
      <c r="B76" s="344" t="s">
        <v>592</v>
      </c>
      <c r="C76" s="551" t="s">
        <v>596</v>
      </c>
      <c r="D76" s="643"/>
      <c r="E76" s="257" t="s">
        <v>592</v>
      </c>
      <c r="F76" s="567" t="s">
        <v>594</v>
      </c>
    </row>
    <row r="77" spans="1:7" ht="15.75" thickBot="1" x14ac:dyDescent="0.25">
      <c r="A77" s="170"/>
      <c r="B77" s="344" t="s">
        <v>37</v>
      </c>
      <c r="C77" s="180">
        <v>75</v>
      </c>
      <c r="D77" s="643"/>
      <c r="E77" s="766" t="s">
        <v>37</v>
      </c>
      <c r="F77" s="565">
        <v>75</v>
      </c>
    </row>
    <row r="78" spans="1:7" x14ac:dyDescent="0.2">
      <c r="A78" s="170"/>
      <c r="B78" s="256" t="s">
        <v>1824</v>
      </c>
      <c r="C78" s="1058">
        <v>0</v>
      </c>
      <c r="D78" s="643"/>
      <c r="E78" s="257" t="s">
        <v>1824</v>
      </c>
      <c r="F78" s="1058">
        <v>0</v>
      </c>
      <c r="G78" s="16"/>
    </row>
    <row r="79" spans="1:7" x14ac:dyDescent="0.2">
      <c r="A79" s="170"/>
      <c r="B79" s="344" t="s">
        <v>365</v>
      </c>
      <c r="C79" s="1057">
        <v>10240</v>
      </c>
      <c r="D79" s="643"/>
      <c r="E79" s="8" t="s">
        <v>365</v>
      </c>
      <c r="F79" s="1064">
        <v>5120</v>
      </c>
    </row>
    <row r="80" spans="1:7" ht="15.75" thickBot="1" x14ac:dyDescent="0.25">
      <c r="A80" s="170"/>
      <c r="B80" s="764" t="s">
        <v>393</v>
      </c>
      <c r="C80" s="765">
        <v>0</v>
      </c>
      <c r="D80" s="643"/>
      <c r="E80" s="766" t="s">
        <v>393</v>
      </c>
      <c r="F80" s="767">
        <v>0</v>
      </c>
    </row>
    <row r="81" spans="1:6" x14ac:dyDescent="0.2">
      <c r="A81" s="170"/>
      <c r="B81" s="344" t="s">
        <v>15</v>
      </c>
      <c r="C81" s="177">
        <v>14</v>
      </c>
      <c r="D81" s="643"/>
      <c r="E81" s="257" t="s">
        <v>15</v>
      </c>
      <c r="F81" s="568">
        <v>14</v>
      </c>
    </row>
    <row r="82" spans="1:6" x14ac:dyDescent="0.2">
      <c r="A82" s="170"/>
      <c r="B82" s="513" t="s">
        <v>371</v>
      </c>
      <c r="C82" s="512" t="s">
        <v>31</v>
      </c>
      <c r="D82" s="643"/>
      <c r="E82" s="510" t="s">
        <v>371</v>
      </c>
      <c r="F82" s="569" t="s">
        <v>31</v>
      </c>
    </row>
    <row r="83" spans="1:6" ht="15.75" thickBot="1" x14ac:dyDescent="0.25">
      <c r="A83" s="170"/>
      <c r="B83" s="514" t="s">
        <v>457</v>
      </c>
      <c r="C83" s="511" t="s">
        <v>31</v>
      </c>
      <c r="D83" s="831"/>
      <c r="E83" s="431" t="s">
        <v>457</v>
      </c>
      <c r="F83" s="570" t="s">
        <v>31</v>
      </c>
    </row>
    <row r="84" spans="1:6" x14ac:dyDescent="0.2">
      <c r="A84" s="170"/>
      <c r="B84" s="256" t="s">
        <v>1281</v>
      </c>
      <c r="C84" s="834">
        <v>1</v>
      </c>
      <c r="D84" s="643"/>
      <c r="E84" s="257" t="s">
        <v>1281</v>
      </c>
      <c r="F84" s="842">
        <v>1</v>
      </c>
    </row>
    <row r="85" spans="1:6" x14ac:dyDescent="0.2">
      <c r="A85" s="170"/>
      <c r="B85" s="513" t="s">
        <v>266</v>
      </c>
      <c r="C85" s="841">
        <v>1</v>
      </c>
      <c r="D85" s="643"/>
      <c r="E85" s="510" t="s">
        <v>266</v>
      </c>
      <c r="F85" s="840">
        <v>1</v>
      </c>
    </row>
    <row r="86" spans="1:6" ht="15.75" thickBot="1" x14ac:dyDescent="0.25">
      <c r="A86" s="170"/>
      <c r="B86" s="768" t="s">
        <v>641</v>
      </c>
      <c r="C86" s="584">
        <v>1</v>
      </c>
      <c r="D86" s="643"/>
      <c r="E86" s="839" t="s">
        <v>641</v>
      </c>
      <c r="F86" s="590">
        <v>1</v>
      </c>
    </row>
    <row r="87" spans="1:6" ht="15.75" thickBot="1" x14ac:dyDescent="0.25">
      <c r="A87" s="170"/>
      <c r="B87" s="583" t="s">
        <v>366</v>
      </c>
      <c r="C87" s="585" t="s">
        <v>9</v>
      </c>
      <c r="D87" s="643"/>
      <c r="E87" s="589" t="s">
        <v>366</v>
      </c>
      <c r="F87" s="588" t="s">
        <v>9</v>
      </c>
    </row>
    <row r="88" spans="1:6" x14ac:dyDescent="0.2">
      <c r="A88" s="170"/>
      <c r="B88" s="256" t="s">
        <v>71</v>
      </c>
      <c r="C88" s="255" t="s">
        <v>8</v>
      </c>
      <c r="D88" s="643"/>
      <c r="E88" s="257" t="s">
        <v>71</v>
      </c>
      <c r="F88" s="327" t="s">
        <v>8</v>
      </c>
    </row>
    <row r="89" spans="1:6" s="642" customFormat="1" x14ac:dyDescent="0.2">
      <c r="A89" s="170"/>
      <c r="B89" s="344" t="s">
        <v>250</v>
      </c>
      <c r="C89" s="183">
        <v>0</v>
      </c>
      <c r="D89" s="831"/>
      <c r="E89" s="8" t="s">
        <v>1356</v>
      </c>
      <c r="F89" s="252">
        <v>0</v>
      </c>
    </row>
    <row r="90" spans="1:6" s="642" customFormat="1" x14ac:dyDescent="0.2">
      <c r="A90" s="170"/>
      <c r="B90" s="344" t="s">
        <v>251</v>
      </c>
      <c r="C90" s="175" t="s">
        <v>379</v>
      </c>
      <c r="D90" s="987"/>
      <c r="E90" s="8" t="s">
        <v>1357</v>
      </c>
      <c r="F90" s="571" t="s">
        <v>379</v>
      </c>
    </row>
    <row r="91" spans="1:6" x14ac:dyDescent="0.2">
      <c r="A91" s="170"/>
      <c r="B91" s="761"/>
      <c r="C91" s="20"/>
      <c r="D91" s="18"/>
      <c r="E91" s="10"/>
      <c r="F91" s="21"/>
    </row>
    <row r="92" spans="1:6" x14ac:dyDescent="0.2">
      <c r="A92" s="170"/>
      <c r="B92" s="1098" t="s">
        <v>521</v>
      </c>
      <c r="C92" s="1099"/>
      <c r="D92" s="1099"/>
      <c r="E92" s="1099"/>
      <c r="F92" s="1100"/>
    </row>
    <row r="93" spans="1:6" ht="15" customHeight="1" x14ac:dyDescent="0.2">
      <c r="A93" s="170"/>
      <c r="B93" s="1107" t="s">
        <v>493</v>
      </c>
      <c r="C93" s="1108"/>
      <c r="D93" s="1108"/>
      <c r="E93" s="1108"/>
      <c r="F93" s="1109"/>
    </row>
    <row r="94" spans="1:6" x14ac:dyDescent="0.2">
      <c r="A94" s="170"/>
      <c r="B94" s="1107"/>
      <c r="C94" s="1108"/>
      <c r="D94" s="1108"/>
      <c r="E94" s="1108"/>
      <c r="F94" s="1109"/>
    </row>
    <row r="95" spans="1:6" x14ac:dyDescent="0.2">
      <c r="A95" s="170"/>
      <c r="B95" s="762"/>
      <c r="C95" s="741"/>
      <c r="D95" s="741"/>
      <c r="E95" s="741"/>
      <c r="F95" s="742"/>
    </row>
    <row r="96" spans="1:6" x14ac:dyDescent="0.2">
      <c r="A96" s="170"/>
      <c r="B96" s="759" t="s">
        <v>13</v>
      </c>
      <c r="C96" s="178" t="s">
        <v>249</v>
      </c>
      <c r="D96" s="18"/>
      <c r="E96" s="18"/>
      <c r="F96" s="19"/>
    </row>
    <row r="97" spans="1:8" x14ac:dyDescent="0.2">
      <c r="A97" s="170"/>
      <c r="B97" s="344" t="s">
        <v>19</v>
      </c>
      <c r="C97" s="185" t="s">
        <v>356</v>
      </c>
      <c r="D97" s="18"/>
      <c r="E97" s="18"/>
      <c r="F97" s="19"/>
    </row>
    <row r="98" spans="1:8" x14ac:dyDescent="0.2">
      <c r="A98" s="170"/>
      <c r="B98" s="344" t="s">
        <v>24</v>
      </c>
      <c r="C98" s="185" t="s">
        <v>22</v>
      </c>
      <c r="D98" s="18"/>
      <c r="E98" s="18"/>
      <c r="F98" s="19"/>
    </row>
    <row r="99" spans="1:8" x14ac:dyDescent="0.2">
      <c r="A99" s="170"/>
      <c r="B99" s="344" t="s">
        <v>309</v>
      </c>
      <c r="C99" s="186">
        <v>3</v>
      </c>
      <c r="D99" s="18"/>
      <c r="E99" s="18"/>
      <c r="F99" s="19"/>
    </row>
    <row r="100" spans="1:8" x14ac:dyDescent="0.2">
      <c r="A100" s="170"/>
      <c r="B100" s="344" t="s">
        <v>209</v>
      </c>
      <c r="C100" s="186">
        <v>0</v>
      </c>
      <c r="D100" s="18"/>
      <c r="E100" s="18"/>
      <c r="F100" s="19"/>
    </row>
    <row r="101" spans="1:8" x14ac:dyDescent="0.2">
      <c r="A101" s="170"/>
      <c r="B101" s="22"/>
      <c r="C101" s="18"/>
      <c r="D101" s="18"/>
      <c r="E101" s="18"/>
      <c r="F101" s="19"/>
    </row>
    <row r="102" spans="1:8" x14ac:dyDescent="0.2">
      <c r="A102" s="170"/>
      <c r="B102" s="1104" t="s">
        <v>527</v>
      </c>
      <c r="C102" s="1105"/>
      <c r="D102" s="1105"/>
      <c r="E102" s="1105"/>
      <c r="F102" s="1106"/>
    </row>
    <row r="103" spans="1:8" ht="15" customHeight="1" x14ac:dyDescent="0.2">
      <c r="A103" s="170"/>
      <c r="B103" s="1110" t="s">
        <v>832</v>
      </c>
      <c r="C103" s="1111"/>
      <c r="D103" s="1111"/>
      <c r="E103" s="1111"/>
      <c r="F103" s="1112"/>
    </row>
    <row r="104" spans="1:8" ht="15" customHeight="1" x14ac:dyDescent="0.2">
      <c r="A104" s="170"/>
      <c r="B104" s="1110"/>
      <c r="C104" s="1111"/>
      <c r="D104" s="1111"/>
      <c r="E104" s="1111"/>
      <c r="F104" s="1112"/>
    </row>
    <row r="105" spans="1:8" ht="15" customHeight="1" x14ac:dyDescent="0.2">
      <c r="A105" s="170"/>
      <c r="B105" s="748"/>
      <c r="C105" s="743"/>
      <c r="D105" s="743"/>
      <c r="E105" s="743"/>
      <c r="F105" s="744"/>
    </row>
    <row r="106" spans="1:8" ht="15" customHeight="1" x14ac:dyDescent="0.2">
      <c r="A106" s="170"/>
      <c r="B106" s="769" t="s">
        <v>525</v>
      </c>
      <c r="C106" s="476" t="s">
        <v>249</v>
      </c>
      <c r="D106" s="901"/>
      <c r="E106" s="1121" t="str">
        <f>IF(OR(JBODDBCapCheckPDC,JBODRLCapCheckPDC,JBODDBCapCheckSDC,JBODRLCapCheckSDC),varJBODInvDiskCap,IF(OR(JBODDBIOCheckPDC,JBODRLIOCheckPDC,JBODDBIOCheckSDC,JBODRLIOCheckSDC),varJBODInvDiskIO,""))</f>
        <v/>
      </c>
      <c r="F106" s="744"/>
      <c r="H106" s="642"/>
    </row>
    <row r="107" spans="1:8" ht="15" customHeight="1" x14ac:dyDescent="0.2">
      <c r="A107" s="170"/>
      <c r="B107" s="748" t="s">
        <v>528</v>
      </c>
      <c r="C107" s="477" t="s">
        <v>8</v>
      </c>
      <c r="D107" s="900"/>
      <c r="E107" s="1121"/>
      <c r="F107" s="744"/>
    </row>
    <row r="108" spans="1:8" s="642" customFormat="1" ht="15" customHeight="1" x14ac:dyDescent="0.2">
      <c r="A108" s="170"/>
      <c r="B108" s="748" t="s">
        <v>1325</v>
      </c>
      <c r="C108" s="477" t="s">
        <v>8</v>
      </c>
      <c r="D108" s="900"/>
      <c r="E108" s="745"/>
      <c r="F108" s="744"/>
    </row>
    <row r="109" spans="1:8" s="642" customFormat="1" ht="15" customHeight="1" x14ac:dyDescent="0.2">
      <c r="A109" s="899"/>
      <c r="B109" s="881" t="s">
        <v>1324</v>
      </c>
      <c r="C109" s="870" t="s">
        <v>8</v>
      </c>
      <c r="D109" s="900"/>
      <c r="E109" s="814"/>
      <c r="F109" s="813"/>
    </row>
    <row r="110" spans="1:8" s="642" customFormat="1" ht="15" customHeight="1" x14ac:dyDescent="0.2">
      <c r="A110" s="899"/>
      <c r="B110" s="923" t="s">
        <v>1408</v>
      </c>
      <c r="C110" s="477" t="s">
        <v>8</v>
      </c>
      <c r="D110" s="900"/>
      <c r="E110" s="925"/>
      <c r="F110" s="924"/>
    </row>
    <row r="111" spans="1:8" s="642" customFormat="1" ht="15" customHeight="1" x14ac:dyDescent="0.2">
      <c r="A111" s="899"/>
      <c r="B111" s="912" t="s">
        <v>1334</v>
      </c>
      <c r="C111" s="186">
        <v>20</v>
      </c>
      <c r="D111" s="900"/>
      <c r="E111" s="1079"/>
      <c r="F111" s="1078"/>
    </row>
    <row r="112" spans="1:8" s="642" customFormat="1" ht="15" customHeight="1" x14ac:dyDescent="0.2">
      <c r="A112" s="899"/>
      <c r="B112" s="1084" t="s">
        <v>1836</v>
      </c>
      <c r="C112" s="477">
        <v>1</v>
      </c>
      <c r="D112" s="900"/>
      <c r="E112" s="914"/>
      <c r="F112" s="913"/>
    </row>
    <row r="113" spans="1:8" ht="15.75" thickBot="1" x14ac:dyDescent="0.25">
      <c r="A113" s="899"/>
      <c r="B113" s="33"/>
      <c r="C113" s="33"/>
      <c r="D113" s="33"/>
      <c r="E113" s="548"/>
      <c r="F113" s="40"/>
      <c r="H113" s="642"/>
    </row>
    <row r="114" spans="1:8" ht="15.75" thickBot="1" x14ac:dyDescent="0.25">
      <c r="A114" s="170"/>
      <c r="B114" s="770" t="str">
        <f>IF(AND(HAOption="Yes",SiteResilienceEnabled="Yes",SRModel="Active/Active (Single DAG)"),"Datacenter 1 ","Primary Datacenter ") &amp; "Server Disk Configuration"</f>
        <v>Datacenter 1 Server Disk Configuration</v>
      </c>
      <c r="C114" s="679" t="s">
        <v>81</v>
      </c>
      <c r="D114" s="679" t="s">
        <v>12</v>
      </c>
      <c r="E114" s="204"/>
      <c r="F114" s="42"/>
    </row>
    <row r="115" spans="1:8" x14ac:dyDescent="0.2">
      <c r="A115" s="170"/>
      <c r="B115" s="954" t="s">
        <v>1395</v>
      </c>
      <c r="C115" s="245" t="s">
        <v>788</v>
      </c>
      <c r="D115" s="245" t="s">
        <v>267</v>
      </c>
      <c r="E115" s="245"/>
      <c r="F115" s="42"/>
    </row>
    <row r="116" spans="1:8" x14ac:dyDescent="0.2">
      <c r="A116" s="170"/>
      <c r="B116" s="771" t="str">
        <f>IF(OR(VolArchitecture="Multiple DBs / Volume",VolArchitecture="1 Volume / DB"),"Database + Log","Database")</f>
        <v>Database + Log</v>
      </c>
      <c r="C116" s="245" t="s">
        <v>788</v>
      </c>
      <c r="D116" s="245" t="s">
        <v>267</v>
      </c>
      <c r="E116" s="245"/>
      <c r="F116" s="42"/>
      <c r="G116" s="642"/>
    </row>
    <row r="117" spans="1:8" x14ac:dyDescent="0.2">
      <c r="A117" s="170"/>
      <c r="B117" s="772" t="s">
        <v>204</v>
      </c>
      <c r="C117" s="245" t="s">
        <v>788</v>
      </c>
      <c r="D117" s="245" t="s">
        <v>267</v>
      </c>
      <c r="E117" s="245"/>
      <c r="F117" s="42"/>
    </row>
    <row r="118" spans="1:8" s="642" customFormat="1" x14ac:dyDescent="0.2">
      <c r="A118" s="170"/>
      <c r="B118" s="807" t="s">
        <v>829</v>
      </c>
      <c r="C118" s="245" t="s">
        <v>788</v>
      </c>
      <c r="D118" s="245" t="s">
        <v>267</v>
      </c>
      <c r="E118" s="245"/>
      <c r="F118" s="42"/>
    </row>
    <row r="119" spans="1:8" s="642" customFormat="1" ht="15.75" thickBot="1" x14ac:dyDescent="0.25">
      <c r="A119" s="170"/>
      <c r="B119" s="773"/>
      <c r="C119" s="245"/>
      <c r="D119" s="245"/>
      <c r="E119" s="245"/>
      <c r="F119" s="42"/>
    </row>
    <row r="120" spans="1:8" s="642" customFormat="1" ht="15.75" thickBot="1" x14ac:dyDescent="0.25">
      <c r="A120" s="170"/>
      <c r="B120" s="770" t="str">
        <f>IF(AND(HAOption="Yes",SiteResilienceEnabled="Yes",SRModel="Active/Active (Single DAG)"),"Datacenter 2 ","Secondary Datacenter ") &amp; "Server Disk Configuration"</f>
        <v>Datacenter 2 Server Disk Configuration</v>
      </c>
      <c r="C120" s="679" t="s">
        <v>81</v>
      </c>
      <c r="D120" s="679" t="s">
        <v>12</v>
      </c>
      <c r="E120" s="245"/>
      <c r="F120" s="42"/>
    </row>
    <row r="121" spans="1:8" s="642" customFormat="1" x14ac:dyDescent="0.2">
      <c r="A121" s="170"/>
      <c r="B121" s="45" t="s">
        <v>1395</v>
      </c>
      <c r="C121" s="245" t="s">
        <v>788</v>
      </c>
      <c r="D121" s="245" t="s">
        <v>267</v>
      </c>
      <c r="E121" s="245"/>
      <c r="F121" s="42"/>
    </row>
    <row r="122" spans="1:8" s="642" customFormat="1" x14ac:dyDescent="0.2">
      <c r="A122" s="170"/>
      <c r="B122" s="946" t="str">
        <f>IF(OR(VolArchitecture="Multiple DBs / Volume",VolArchitecture="1 Volume / DB"),"Database + Log","Database")</f>
        <v>Database + Log</v>
      </c>
      <c r="C122" s="245" t="s">
        <v>788</v>
      </c>
      <c r="D122" s="245" t="s">
        <v>267</v>
      </c>
      <c r="E122" s="245"/>
      <c r="F122" s="42"/>
    </row>
    <row r="123" spans="1:8" s="642" customFormat="1" x14ac:dyDescent="0.2">
      <c r="A123" s="170"/>
      <c r="B123" s="946" t="s">
        <v>204</v>
      </c>
      <c r="C123" s="245" t="s">
        <v>788</v>
      </c>
      <c r="D123" s="245" t="s">
        <v>267</v>
      </c>
      <c r="E123" s="245"/>
      <c r="F123" s="42"/>
    </row>
    <row r="124" spans="1:8" s="642" customFormat="1" x14ac:dyDescent="0.2">
      <c r="A124" s="170"/>
      <c r="B124" s="807" t="s">
        <v>829</v>
      </c>
      <c r="C124" s="245" t="s">
        <v>788</v>
      </c>
      <c r="D124" s="245" t="s">
        <v>267</v>
      </c>
      <c r="E124" s="245"/>
      <c r="F124" s="42"/>
    </row>
    <row r="125" spans="1:8" s="642" customFormat="1" x14ac:dyDescent="0.2">
      <c r="A125" s="170"/>
      <c r="B125" s="807"/>
      <c r="C125" s="245"/>
      <c r="D125" s="245"/>
      <c r="E125" s="245"/>
      <c r="F125" s="42"/>
    </row>
    <row r="126" spans="1:8" x14ac:dyDescent="0.2">
      <c r="A126" s="170"/>
      <c r="B126" s="1098" t="s">
        <v>569</v>
      </c>
      <c r="C126" s="1099"/>
      <c r="D126" s="1099"/>
      <c r="E126" s="1099"/>
      <c r="F126" s="1100"/>
    </row>
    <row r="127" spans="1:8" x14ac:dyDescent="0.2">
      <c r="A127" s="170"/>
      <c r="B127" s="1122" t="s">
        <v>736</v>
      </c>
      <c r="C127" s="1123"/>
      <c r="D127" s="1123"/>
      <c r="E127" s="1123"/>
      <c r="F127" s="1124"/>
    </row>
    <row r="128" spans="1:8" x14ac:dyDescent="0.2">
      <c r="A128" s="170"/>
      <c r="B128" s="1122"/>
      <c r="C128" s="1123"/>
      <c r="D128" s="1123"/>
      <c r="E128" s="1123"/>
      <c r="F128" s="1124"/>
    </row>
    <row r="129" spans="1:7" x14ac:dyDescent="0.2">
      <c r="A129" s="170"/>
      <c r="B129" s="344"/>
      <c r="C129" s="176"/>
      <c r="D129" s="643"/>
      <c r="E129" s="8"/>
      <c r="F129" s="277"/>
    </row>
    <row r="130" spans="1:7" x14ac:dyDescent="0.2">
      <c r="A130" s="170"/>
      <c r="B130" s="774" t="s">
        <v>406</v>
      </c>
      <c r="C130" s="496" t="s">
        <v>532</v>
      </c>
      <c r="D130" s="504" t="s">
        <v>725</v>
      </c>
      <c r="E130" s="193"/>
      <c r="F130" s="536"/>
    </row>
    <row r="131" spans="1:7" x14ac:dyDescent="0.2">
      <c r="A131" s="170"/>
      <c r="B131" s="23" t="str">
        <f>IF(VirtualizationEnabled="Yes",IF(AND(HAOption="Yes",SiteResilienceEnabled="Yes"),"Primary Datacenter Mailbox Server Guest Machines","Mailbox Server Guest Machines"),IF(AND(HAOption="Yes",SiteResilienceEnabled="Yes"),"Primary Datacenter Mailbox Servers","Mailbox Servers"))</f>
        <v>Primary Datacenter Mailbox Servers</v>
      </c>
      <c r="C131" s="497">
        <v>16</v>
      </c>
      <c r="D131" s="775">
        <v>0</v>
      </c>
      <c r="E131" s="25"/>
      <c r="F131" s="277"/>
    </row>
    <row r="132" spans="1:7" x14ac:dyDescent="0.2">
      <c r="A132" s="170"/>
      <c r="B132" s="23" t="str">
        <f>IF(VirtualizationEnabled="Yes","Secondary Datacenter Mailbox Server Guest Machines","Secondary Datacenter Mailbox Servers")</f>
        <v>Secondary Datacenter Mailbox Servers</v>
      </c>
      <c r="C132" s="497">
        <v>16</v>
      </c>
      <c r="D132" s="498">
        <v>0</v>
      </c>
      <c r="E132" s="25"/>
      <c r="F132" s="535"/>
    </row>
    <row r="133" spans="1:7" x14ac:dyDescent="0.2">
      <c r="A133" s="170"/>
      <c r="B133" s="23" t="str">
        <f>IF(VirtualizationEnabled="Yes","Lagged Copy Server Guest Machines","Lagged Copy Servers")</f>
        <v>Lagged Copy Servers</v>
      </c>
      <c r="C133" s="497">
        <v>16</v>
      </c>
      <c r="D133" s="498">
        <v>0</v>
      </c>
      <c r="E133" s="25"/>
      <c r="F133" s="535"/>
    </row>
    <row r="134" spans="1:7" s="642" customFormat="1" x14ac:dyDescent="0.2">
      <c r="A134" s="170"/>
      <c r="B134" s="23"/>
      <c r="C134" s="497"/>
      <c r="D134" s="498"/>
      <c r="E134" s="25"/>
      <c r="F134" s="535"/>
    </row>
    <row r="135" spans="1:7" s="642" customFormat="1" x14ac:dyDescent="0.2">
      <c r="A135" s="170"/>
      <c r="B135" s="23" t="s">
        <v>765</v>
      </c>
      <c r="C135" s="717" t="s">
        <v>249</v>
      </c>
      <c r="D135" s="498"/>
      <c r="E135" s="25"/>
      <c r="F135" s="535"/>
    </row>
    <row r="136" spans="1:7" s="642" customFormat="1" x14ac:dyDescent="0.2">
      <c r="A136" s="170"/>
      <c r="B136" s="23" t="s">
        <v>766</v>
      </c>
      <c r="C136" s="718">
        <v>0.1</v>
      </c>
      <c r="D136" s="498"/>
      <c r="E136" s="25"/>
      <c r="F136" s="535"/>
    </row>
    <row r="137" spans="1:7" x14ac:dyDescent="0.2">
      <c r="A137" s="170"/>
      <c r="B137" s="22"/>
      <c r="C137" s="18"/>
      <c r="D137" s="18"/>
      <c r="E137" s="18"/>
      <c r="F137" s="19"/>
    </row>
    <row r="138" spans="1:7" x14ac:dyDescent="0.2">
      <c r="A138" s="170"/>
      <c r="B138" s="1098" t="s">
        <v>522</v>
      </c>
      <c r="C138" s="1099"/>
      <c r="D138" s="1099"/>
      <c r="E138" s="1099"/>
      <c r="F138" s="1100"/>
    </row>
    <row r="139" spans="1:7" ht="15" customHeight="1" x14ac:dyDescent="0.2">
      <c r="A139" s="170"/>
      <c r="B139" s="1118" t="s">
        <v>570</v>
      </c>
      <c r="C139" s="1119"/>
      <c r="D139" s="1119"/>
      <c r="E139" s="1119"/>
      <c r="F139" s="1120"/>
    </row>
    <row r="140" spans="1:7" x14ac:dyDescent="0.2">
      <c r="A140" s="170"/>
      <c r="B140" s="1118"/>
      <c r="C140" s="1119"/>
      <c r="D140" s="1119"/>
      <c r="E140" s="1119"/>
      <c r="F140" s="1120"/>
    </row>
    <row r="141" spans="1:7" x14ac:dyDescent="0.2">
      <c r="A141" s="170"/>
      <c r="B141" s="1118"/>
      <c r="C141" s="1119"/>
      <c r="D141" s="1119"/>
      <c r="E141" s="1119"/>
      <c r="F141" s="1120"/>
    </row>
    <row r="142" spans="1:7" ht="15.75" thickBot="1" x14ac:dyDescent="0.25">
      <c r="A142" s="170"/>
      <c r="B142" s="22"/>
      <c r="C142" s="18"/>
      <c r="D142" s="18"/>
      <c r="E142" s="18"/>
      <c r="F142" s="19"/>
    </row>
    <row r="143" spans="1:7" ht="15.75" thickBot="1" x14ac:dyDescent="0.25">
      <c r="A143" s="170"/>
      <c r="B143" s="1116" t="s">
        <v>102</v>
      </c>
      <c r="C143" s="1117"/>
      <c r="D143" s="18"/>
      <c r="E143" s="178" t="s">
        <v>158</v>
      </c>
      <c r="F143" s="253" t="s">
        <v>249</v>
      </c>
    </row>
    <row r="144" spans="1:7" x14ac:dyDescent="0.2">
      <c r="A144" s="170"/>
      <c r="B144" s="198" t="s">
        <v>103</v>
      </c>
      <c r="C144" s="172" t="s">
        <v>470</v>
      </c>
      <c r="D144" s="18"/>
      <c r="E144" s="8" t="s">
        <v>159</v>
      </c>
      <c r="F144" s="254" t="s">
        <v>155</v>
      </c>
      <c r="G144" s="12"/>
    </row>
    <row r="145" spans="1:7" x14ac:dyDescent="0.2">
      <c r="A145" s="170"/>
      <c r="B145" s="344">
        <v>1</v>
      </c>
      <c r="C145" s="426">
        <v>0</v>
      </c>
      <c r="D145" s="187"/>
      <c r="E145" s="8" t="s">
        <v>160</v>
      </c>
      <c r="F145" s="252">
        <v>50</v>
      </c>
      <c r="G145" s="25"/>
    </row>
    <row r="146" spans="1:7" x14ac:dyDescent="0.2">
      <c r="A146" s="170"/>
      <c r="B146" s="344">
        <v>2</v>
      </c>
      <c r="C146" s="426">
        <v>0</v>
      </c>
      <c r="D146" s="187"/>
      <c r="E146" s="8"/>
      <c r="F146" s="17"/>
      <c r="G146" s="12"/>
    </row>
    <row r="147" spans="1:7" x14ac:dyDescent="0.2">
      <c r="A147" s="170"/>
      <c r="B147" s="344">
        <v>3</v>
      </c>
      <c r="C147" s="426">
        <v>0</v>
      </c>
      <c r="D147" s="187"/>
      <c r="E147" s="26"/>
      <c r="F147" s="19"/>
      <c r="G147" s="12"/>
    </row>
    <row r="148" spans="1:7" x14ac:dyDescent="0.2">
      <c r="A148" s="170"/>
      <c r="B148" s="344">
        <v>4</v>
      </c>
      <c r="C148" s="426">
        <v>0</v>
      </c>
      <c r="D148" s="187"/>
      <c r="E148" s="27"/>
      <c r="F148" s="19"/>
    </row>
    <row r="149" spans="1:7" x14ac:dyDescent="0.2">
      <c r="A149" s="170"/>
      <c r="B149" s="344">
        <v>5</v>
      </c>
      <c r="C149" s="426">
        <v>0</v>
      </c>
      <c r="D149" s="187"/>
      <c r="E149" s="18"/>
      <c r="F149" s="19"/>
    </row>
    <row r="150" spans="1:7" x14ac:dyDescent="0.2">
      <c r="A150" s="170"/>
      <c r="B150" s="344">
        <v>6</v>
      </c>
      <c r="C150" s="426">
        <v>0</v>
      </c>
      <c r="D150" s="187"/>
      <c r="E150" s="13"/>
      <c r="F150" s="17"/>
    </row>
    <row r="151" spans="1:7" x14ac:dyDescent="0.2">
      <c r="A151" s="170"/>
      <c r="B151" s="344">
        <v>7</v>
      </c>
      <c r="C151" s="426">
        <v>0</v>
      </c>
      <c r="D151" s="187"/>
      <c r="E151" s="13"/>
      <c r="F151" s="17"/>
    </row>
    <row r="152" spans="1:7" x14ac:dyDescent="0.2">
      <c r="A152" s="170"/>
      <c r="B152" s="344">
        <v>8</v>
      </c>
      <c r="C152" s="426">
        <v>0</v>
      </c>
      <c r="D152" s="187"/>
      <c r="E152" s="13"/>
      <c r="F152" s="17"/>
    </row>
    <row r="153" spans="1:7" x14ac:dyDescent="0.2">
      <c r="A153" s="170"/>
      <c r="B153" s="344">
        <v>9</v>
      </c>
      <c r="C153" s="426">
        <v>0</v>
      </c>
      <c r="D153" s="187"/>
      <c r="E153" s="26"/>
      <c r="F153" s="19"/>
      <c r="G153" s="28"/>
    </row>
    <row r="154" spans="1:7" x14ac:dyDescent="0.2">
      <c r="A154" s="170"/>
      <c r="B154" s="344">
        <v>10</v>
      </c>
      <c r="C154" s="426">
        <v>0</v>
      </c>
      <c r="D154" s="187"/>
      <c r="E154" s="26"/>
      <c r="F154" s="19"/>
    </row>
    <row r="155" spans="1:7" x14ac:dyDescent="0.2">
      <c r="A155" s="170"/>
      <c r="B155" s="344">
        <v>11</v>
      </c>
      <c r="C155" s="426">
        <v>0</v>
      </c>
      <c r="D155" s="187"/>
      <c r="E155" s="26"/>
      <c r="F155" s="19"/>
    </row>
    <row r="156" spans="1:7" x14ac:dyDescent="0.2">
      <c r="A156" s="170"/>
      <c r="B156" s="344">
        <v>12</v>
      </c>
      <c r="C156" s="426">
        <v>0</v>
      </c>
      <c r="D156" s="187"/>
      <c r="E156" s="26"/>
      <c r="F156" s="19"/>
    </row>
    <row r="157" spans="1:7" x14ac:dyDescent="0.2">
      <c r="A157" s="170"/>
      <c r="B157" s="344">
        <v>13</v>
      </c>
      <c r="C157" s="426">
        <v>0</v>
      </c>
      <c r="D157" s="187"/>
      <c r="E157" s="26"/>
      <c r="F157" s="19"/>
    </row>
    <row r="158" spans="1:7" x14ac:dyDescent="0.2">
      <c r="A158" s="170"/>
      <c r="B158" s="344">
        <v>14</v>
      </c>
      <c r="C158" s="426">
        <v>0</v>
      </c>
      <c r="D158" s="187"/>
      <c r="E158" s="26"/>
      <c r="F158" s="19"/>
    </row>
    <row r="159" spans="1:7" x14ac:dyDescent="0.2">
      <c r="A159" s="170"/>
      <c r="B159" s="344">
        <v>15</v>
      </c>
      <c r="C159" s="426">
        <v>0</v>
      </c>
      <c r="D159" s="187"/>
      <c r="E159" s="26"/>
      <c r="F159" s="19"/>
    </row>
    <row r="160" spans="1:7" x14ac:dyDescent="0.2">
      <c r="A160" s="170"/>
      <c r="B160" s="344">
        <v>16</v>
      </c>
      <c r="C160" s="426">
        <v>0</v>
      </c>
      <c r="D160" s="187"/>
      <c r="E160" s="26"/>
      <c r="F160" s="19"/>
    </row>
    <row r="161" spans="1:10" x14ac:dyDescent="0.2">
      <c r="A161" s="170"/>
      <c r="B161" s="344">
        <v>17</v>
      </c>
      <c r="C161" s="426">
        <v>0</v>
      </c>
      <c r="D161" s="187"/>
      <c r="E161" s="26"/>
      <c r="F161" s="19"/>
    </row>
    <row r="162" spans="1:10" x14ac:dyDescent="0.2">
      <c r="A162" s="170"/>
      <c r="B162" s="344">
        <v>18</v>
      </c>
      <c r="C162" s="426">
        <v>0</v>
      </c>
      <c r="D162" s="187"/>
      <c r="E162" s="26"/>
      <c r="F162" s="19"/>
    </row>
    <row r="163" spans="1:10" x14ac:dyDescent="0.2">
      <c r="A163" s="170"/>
      <c r="B163" s="344">
        <v>19</v>
      </c>
      <c r="C163" s="426">
        <v>0</v>
      </c>
      <c r="D163" s="187"/>
      <c r="E163" s="26"/>
      <c r="F163" s="19"/>
    </row>
    <row r="164" spans="1:10" x14ac:dyDescent="0.2">
      <c r="A164" s="170"/>
      <c r="B164" s="344">
        <v>20</v>
      </c>
      <c r="C164" s="426">
        <v>0</v>
      </c>
      <c r="D164" s="187"/>
      <c r="E164" s="26"/>
      <c r="F164" s="19"/>
    </row>
    <row r="165" spans="1:10" x14ac:dyDescent="0.2">
      <c r="A165" s="170"/>
      <c r="B165" s="344">
        <v>21</v>
      </c>
      <c r="C165" s="426">
        <v>0</v>
      </c>
      <c r="D165" s="187"/>
      <c r="E165" s="26"/>
      <c r="F165" s="19"/>
    </row>
    <row r="166" spans="1:10" x14ac:dyDescent="0.2">
      <c r="A166" s="170"/>
      <c r="B166" s="344">
        <v>22</v>
      </c>
      <c r="C166" s="426">
        <v>0</v>
      </c>
      <c r="D166" s="187"/>
      <c r="E166" s="26"/>
      <c r="F166" s="19"/>
    </row>
    <row r="167" spans="1:10" x14ac:dyDescent="0.2">
      <c r="A167" s="170"/>
      <c r="B167" s="344">
        <v>23</v>
      </c>
      <c r="C167" s="426">
        <v>0</v>
      </c>
      <c r="D167" s="187"/>
      <c r="E167" s="26"/>
      <c r="F167" s="19"/>
    </row>
    <row r="168" spans="1:10" x14ac:dyDescent="0.2">
      <c r="A168" s="170"/>
      <c r="B168" s="344">
        <v>24</v>
      </c>
      <c r="C168" s="426">
        <v>0</v>
      </c>
      <c r="D168" s="187"/>
      <c r="E168" s="26"/>
      <c r="F168" s="19"/>
    </row>
    <row r="169" spans="1:10" x14ac:dyDescent="0.2">
      <c r="A169" s="170"/>
      <c r="B169" s="776" t="s">
        <v>489</v>
      </c>
      <c r="C169" s="777">
        <f>SUBTOTAL(9,Table12[Logs Generated / Hour Percentage])</f>
        <v>0</v>
      </c>
      <c r="D169" s="187"/>
      <c r="E169" s="26"/>
      <c r="F169" s="19"/>
    </row>
    <row r="170" spans="1:10" ht="15.75" thickBot="1" x14ac:dyDescent="0.25">
      <c r="A170" s="170"/>
      <c r="B170" s="776"/>
      <c r="C170" s="777"/>
      <c r="D170" s="187"/>
      <c r="E170" s="26"/>
      <c r="F170" s="19"/>
    </row>
    <row r="171" spans="1:10" x14ac:dyDescent="0.2">
      <c r="A171" s="13"/>
      <c r="B171" s="1125" t="s">
        <v>799</v>
      </c>
      <c r="C171" s="1126"/>
      <c r="D171" s="1126"/>
      <c r="E171" s="1126"/>
      <c r="F171" s="1126"/>
    </row>
    <row r="172" spans="1:10" x14ac:dyDescent="0.2">
      <c r="B172" s="1113" t="s">
        <v>1442</v>
      </c>
      <c r="C172" s="1114"/>
      <c r="D172" s="1114"/>
      <c r="E172" s="1114"/>
      <c r="F172" s="1115"/>
      <c r="J172" s="642"/>
    </row>
    <row r="173" spans="1:10" ht="15.75" thickBot="1" x14ac:dyDescent="0.25">
      <c r="B173" s="781"/>
      <c r="C173" s="782"/>
      <c r="D173" s="783"/>
      <c r="E173" s="26"/>
      <c r="F173" s="19"/>
      <c r="J173" s="796"/>
    </row>
    <row r="174" spans="1:10" ht="15.75" thickBot="1" x14ac:dyDescent="0.25">
      <c r="B174" s="759" t="s">
        <v>800</v>
      </c>
      <c r="C174" s="253" t="s">
        <v>801</v>
      </c>
      <c r="D174" s="783"/>
      <c r="E174" s="749" t="s">
        <v>804</v>
      </c>
      <c r="F174" s="750" t="s">
        <v>805</v>
      </c>
      <c r="J174" s="796"/>
    </row>
    <row r="175" spans="1:10" x14ac:dyDescent="0.2">
      <c r="B175" s="787" t="str">
        <f>GetFailureDomain(1)</f>
        <v>Server 1 Primary Site Failure Domain 1</v>
      </c>
      <c r="C175" s="824" t="s">
        <v>1869</v>
      </c>
      <c r="D175" s="783"/>
      <c r="E175" s="784" t="s">
        <v>1915</v>
      </c>
      <c r="F175" s="822" t="s">
        <v>1873</v>
      </c>
      <c r="J175" s="796"/>
    </row>
    <row r="176" spans="1:10" ht="15.75" thickBot="1" x14ac:dyDescent="0.25">
      <c r="B176" s="787" t="str">
        <f>GetFailureDomain(2)</f>
        <v>Server 2 Primary Site Failure Domain 1</v>
      </c>
      <c r="C176" s="825" t="s">
        <v>1870</v>
      </c>
      <c r="D176" s="783"/>
      <c r="E176" s="1021" t="s">
        <v>808</v>
      </c>
      <c r="F176" s="1022" t="s">
        <v>1292</v>
      </c>
      <c r="J176" s="796"/>
    </row>
    <row r="177" spans="1:10" x14ac:dyDescent="0.2">
      <c r="B177" s="787" t="str">
        <f>GetFailureDomain(3)</f>
        <v>Server 3 Primary Site Failure Domain 1</v>
      </c>
      <c r="C177" s="824" t="s">
        <v>1871</v>
      </c>
      <c r="D177" s="783"/>
      <c r="E177" s="26"/>
      <c r="F177" s="19"/>
      <c r="J177" s="796"/>
    </row>
    <row r="178" spans="1:10" x14ac:dyDescent="0.2">
      <c r="B178" s="787" t="str">
        <f>GetFailureDomain(4)</f>
        <v>Server 4 Primary Site Failure Domain 1</v>
      </c>
      <c r="C178" s="824" t="s">
        <v>1872</v>
      </c>
      <c r="D178" s="783"/>
      <c r="F178" s="421"/>
      <c r="J178" s="796"/>
    </row>
    <row r="179" spans="1:10" x14ac:dyDescent="0.2">
      <c r="B179" s="787" t="str">
        <f>GetFailureDomain(5)</f>
        <v>Server 5 Secondary Site Failure Domain 1</v>
      </c>
      <c r="C179" s="825" t="s">
        <v>1948</v>
      </c>
      <c r="D179" s="783"/>
      <c r="F179" s="421"/>
      <c r="J179" s="796"/>
    </row>
    <row r="180" spans="1:10" x14ac:dyDescent="0.2">
      <c r="B180" s="787" t="str">
        <f>GetFailureDomain(6)</f>
        <v>Server 6 Secondary Site Failure Domain 1</v>
      </c>
      <c r="C180" s="824" t="s">
        <v>1949</v>
      </c>
      <c r="D180" s="783"/>
      <c r="F180" s="421"/>
      <c r="J180" s="796"/>
    </row>
    <row r="181" spans="1:10" x14ac:dyDescent="0.2">
      <c r="A181" s="13"/>
      <c r="B181" s="787" t="str">
        <f>GetFailureDomain(7)</f>
        <v>Server 7 Secondary Site Failure Domain 1</v>
      </c>
      <c r="C181" s="824" t="s">
        <v>1950</v>
      </c>
      <c r="D181" s="783"/>
      <c r="F181" s="17"/>
      <c r="J181" s="796"/>
    </row>
    <row r="182" spans="1:10" x14ac:dyDescent="0.2">
      <c r="A182" s="13"/>
      <c r="B182" s="787" t="str">
        <f>GetFailureDomain(8)</f>
        <v>Server 8 Secondary Site Failure Domain 1</v>
      </c>
      <c r="C182" s="825" t="s">
        <v>1951</v>
      </c>
      <c r="D182" s="783"/>
      <c r="F182" s="17"/>
    </row>
    <row r="183" spans="1:10" x14ac:dyDescent="0.2">
      <c r="A183" s="13"/>
      <c r="B183" s="787" t="str">
        <f>GetFailureDomain(9)</f>
        <v>Server 9</v>
      </c>
      <c r="C183" s="824" t="s">
        <v>1725</v>
      </c>
      <c r="D183" s="783"/>
      <c r="F183" s="17"/>
    </row>
    <row r="184" spans="1:10" x14ac:dyDescent="0.2">
      <c r="A184" s="13"/>
      <c r="B184" s="787" t="str">
        <f>GetFailureDomain(10)</f>
        <v>Server 10</v>
      </c>
      <c r="C184" s="824" t="s">
        <v>1726</v>
      </c>
      <c r="D184" s="783"/>
      <c r="F184" s="17"/>
    </row>
    <row r="185" spans="1:10" x14ac:dyDescent="0.2">
      <c r="A185" s="13"/>
      <c r="B185" s="787" t="str">
        <f>GetFailureDomain(11)</f>
        <v>Server 11</v>
      </c>
      <c r="C185" s="825" t="s">
        <v>1727</v>
      </c>
      <c r="D185" s="783"/>
      <c r="F185" s="17"/>
    </row>
    <row r="186" spans="1:10" x14ac:dyDescent="0.2">
      <c r="A186" s="13"/>
      <c r="B186" s="787" t="str">
        <f>GetFailureDomain(12)</f>
        <v>Server 12</v>
      </c>
      <c r="C186" s="824" t="s">
        <v>1728</v>
      </c>
      <c r="D186" s="783"/>
      <c r="F186" s="17"/>
    </row>
    <row r="187" spans="1:10" x14ac:dyDescent="0.2">
      <c r="B187" s="787" t="str">
        <f>GetFailureDomain(13)</f>
        <v>Server 13</v>
      </c>
      <c r="C187" s="824" t="s">
        <v>1729</v>
      </c>
      <c r="D187" s="783"/>
      <c r="F187" s="17"/>
    </row>
    <row r="188" spans="1:10" x14ac:dyDescent="0.2">
      <c r="B188" s="787" t="str">
        <f>GetFailureDomain(14)</f>
        <v>Server 14</v>
      </c>
      <c r="C188" s="825" t="s">
        <v>1730</v>
      </c>
      <c r="D188" s="783"/>
      <c r="F188" s="17"/>
    </row>
    <row r="189" spans="1:10" x14ac:dyDescent="0.2">
      <c r="B189" s="787" t="str">
        <f>GetFailureDomain(15)</f>
        <v>Server 15</v>
      </c>
      <c r="C189" s="824" t="s">
        <v>1731</v>
      </c>
      <c r="D189" s="783"/>
      <c r="F189" s="17"/>
    </row>
    <row r="190" spans="1:10" x14ac:dyDescent="0.2">
      <c r="B190" s="787" t="str">
        <f>GetFailureDomain(16)</f>
        <v>Server 16</v>
      </c>
      <c r="C190" s="824" t="s">
        <v>1732</v>
      </c>
      <c r="D190" s="783"/>
      <c r="F190" s="17"/>
    </row>
    <row r="191" spans="1:10" s="642" customFormat="1" hidden="1" x14ac:dyDescent="0.2">
      <c r="A191" s="17"/>
      <c r="B191" s="956"/>
      <c r="C191" s="957"/>
      <c r="D191" s="783"/>
      <c r="F191" s="17"/>
    </row>
    <row r="192" spans="1:10" s="642" customFormat="1" ht="15.75" hidden="1" thickBot="1" x14ac:dyDescent="0.25">
      <c r="A192" s="17"/>
      <c r="B192" s="874" t="s">
        <v>1294</v>
      </c>
      <c r="C192" s="875" t="s">
        <v>249</v>
      </c>
      <c r="D192" s="783"/>
      <c r="F192" s="17"/>
    </row>
    <row r="193" spans="1:6" s="642" customFormat="1" hidden="1" x14ac:dyDescent="0.2">
      <c r="A193" s="17"/>
      <c r="B193" s="876" t="s">
        <v>1293</v>
      </c>
      <c r="C193" s="877" t="s">
        <v>9</v>
      </c>
      <c r="D193" s="783"/>
      <c r="F193" s="17"/>
    </row>
    <row r="194" spans="1:6" s="642" customFormat="1" hidden="1" x14ac:dyDescent="0.2">
      <c r="A194" s="17"/>
      <c r="B194" s="878" t="s">
        <v>817</v>
      </c>
      <c r="C194" s="879">
        <v>1</v>
      </c>
      <c r="D194" s="783"/>
      <c r="F194" s="17"/>
    </row>
    <row r="195" spans="1:6" s="642" customFormat="1" hidden="1" x14ac:dyDescent="0.2">
      <c r="A195" s="17"/>
      <c r="B195" s="876" t="s">
        <v>818</v>
      </c>
      <c r="C195" s="880">
        <v>1</v>
      </c>
      <c r="D195" s="783"/>
      <c r="F195" s="17"/>
    </row>
    <row r="196" spans="1:6" s="642" customFormat="1" ht="15.75" hidden="1" thickBot="1" x14ac:dyDescent="0.25">
      <c r="A196" s="17"/>
      <c r="B196" s="13"/>
      <c r="C196" s="446"/>
      <c r="D196" s="783"/>
      <c r="E196" s="26"/>
      <c r="F196" s="19"/>
    </row>
    <row r="197" spans="1:6" s="642" customFormat="1" ht="15.75" hidden="1" thickBot="1" x14ac:dyDescent="0.25">
      <c r="A197" s="17"/>
      <c r="B197" s="818" t="s">
        <v>802</v>
      </c>
      <c r="C197" s="750" t="s">
        <v>803</v>
      </c>
      <c r="D197" s="750" t="s">
        <v>824</v>
      </c>
      <c r="E197" s="26"/>
      <c r="F197" s="19"/>
    </row>
    <row r="198" spans="1:6" s="642" customFormat="1" hidden="1" x14ac:dyDescent="0.2">
      <c r="A198" s="17"/>
      <c r="B198" s="819" t="s">
        <v>809</v>
      </c>
      <c r="C198" s="823">
        <v>4</v>
      </c>
      <c r="D198" s="823">
        <v>2</v>
      </c>
      <c r="E198" s="26"/>
      <c r="F198" s="19"/>
    </row>
    <row r="199" spans="1:6" s="642" customFormat="1" hidden="1" x14ac:dyDescent="0.2">
      <c r="A199" s="17"/>
      <c r="B199" s="820" t="s">
        <v>810</v>
      </c>
      <c r="C199" s="826">
        <v>0</v>
      </c>
      <c r="D199" s="826">
        <v>0</v>
      </c>
      <c r="E199" s="26"/>
      <c r="F199" s="19"/>
    </row>
    <row r="200" spans="1:6" s="642" customFormat="1" hidden="1" x14ac:dyDescent="0.2">
      <c r="A200" s="17"/>
      <c r="B200" s="819" t="s">
        <v>811</v>
      </c>
      <c r="C200" s="823">
        <v>0</v>
      </c>
      <c r="D200" s="823">
        <v>0</v>
      </c>
      <c r="E200" s="26"/>
      <c r="F200" s="19"/>
    </row>
    <row r="201" spans="1:6" s="642" customFormat="1" hidden="1" x14ac:dyDescent="0.2">
      <c r="A201" s="17"/>
      <c r="B201" s="820" t="s">
        <v>812</v>
      </c>
      <c r="C201" s="826">
        <v>0</v>
      </c>
      <c r="D201" s="826">
        <v>0</v>
      </c>
      <c r="E201" s="26"/>
      <c r="F201" s="19"/>
    </row>
    <row r="202" spans="1:6" s="642" customFormat="1" hidden="1" x14ac:dyDescent="0.2">
      <c r="B202" s="785" t="s">
        <v>813</v>
      </c>
      <c r="C202" s="823">
        <v>0</v>
      </c>
      <c r="D202" s="823">
        <v>0</v>
      </c>
      <c r="E202" s="26"/>
      <c r="F202" s="19"/>
    </row>
    <row r="203" spans="1:6" s="642" customFormat="1" hidden="1" x14ac:dyDescent="0.2">
      <c r="B203" s="786" t="s">
        <v>814</v>
      </c>
      <c r="C203" s="826">
        <v>0</v>
      </c>
      <c r="D203" s="826">
        <v>0</v>
      </c>
      <c r="E203" s="26"/>
      <c r="F203" s="19"/>
    </row>
    <row r="204" spans="1:6" s="642" customFormat="1" hidden="1" x14ac:dyDescent="0.2">
      <c r="B204" s="785" t="s">
        <v>815</v>
      </c>
      <c r="C204" s="823">
        <v>0</v>
      </c>
      <c r="D204" s="823">
        <v>0</v>
      </c>
      <c r="E204" s="26"/>
      <c r="F204" s="19"/>
    </row>
    <row r="205" spans="1:6" s="642" customFormat="1" hidden="1" x14ac:dyDescent="0.2">
      <c r="B205" s="786" t="s">
        <v>816</v>
      </c>
      <c r="C205" s="826">
        <v>0</v>
      </c>
      <c r="D205" s="826">
        <v>0</v>
      </c>
      <c r="E205" s="26"/>
      <c r="F205" s="19"/>
    </row>
    <row r="206" spans="1:6" s="642" customFormat="1" ht="15.75" hidden="1" thickBot="1" x14ac:dyDescent="0.25">
      <c r="B206" s="789" t="s">
        <v>489</v>
      </c>
      <c r="C206" s="794">
        <f>IF(NumFailureDomainsPri&gt;0,C198,0)+IF(NumFailureDomainsPri&gt;1,C199,0)+IF(NumFailureDomainsPri&gt;2,C200,0)+IF(NumFailureDomainsPri&gt;3,C201,0)+IF(NumFailureDomainsPri&gt;4,C202,0)+IF(NumFailureDomainsPri&gt;5,C203,0)+IF(NumFailureDomainsPri&gt;6,C204,0)+IF(NumFailureDomainsPri&gt;7,C205,0)</f>
        <v>4</v>
      </c>
      <c r="D206" s="794">
        <f>IF(NumFailureDomainsPri&gt;0,D198,0)+IF(NumFailureDomainsPri&gt;1,D199,0)+IF(NumFailureDomainsPri&gt;2,D200,0)+IF(NumFailureDomainsPri&gt;3,D201,0)+IF(NumFailureDomainsPri&gt;4,D202,0)+IF(NumFailureDomainsPri&gt;5,D203,0)+IF(NumFailureDomainsPri&gt;6,D204,0)+IF(NumFailureDomainsPri&gt;7,D205,0)</f>
        <v>2</v>
      </c>
      <c r="E206" s="26"/>
      <c r="F206" s="19"/>
    </row>
    <row r="207" spans="1:6" s="642" customFormat="1" ht="15.75" hidden="1" thickBot="1" x14ac:dyDescent="0.25">
      <c r="A207" s="17"/>
      <c r="B207" s="788" t="s">
        <v>819</v>
      </c>
      <c r="C207" s="790">
        <f>NumDAGServersPDC</f>
        <v>4</v>
      </c>
      <c r="D207" s="791">
        <f>IF(ValidationCheck=TRUE,"--",IF(LOWER(calcDedLaggedCopyServer)="no",calcNumDBCopyInPDC+calcNumLagCopyInPDC,calcNumDBCopyInPDC))</f>
        <v>2</v>
      </c>
      <c r="E207" s="26"/>
      <c r="F207" s="19"/>
    </row>
    <row r="208" spans="1:6" s="642" customFormat="1" hidden="1" x14ac:dyDescent="0.2">
      <c r="A208" s="17"/>
      <c r="B208" s="26"/>
      <c r="C208" s="18"/>
      <c r="D208" s="17"/>
      <c r="E208" s="26"/>
      <c r="F208" s="19"/>
    </row>
    <row r="209" spans="1:6" s="642" customFormat="1" ht="15.75" hidden="1" thickBot="1" x14ac:dyDescent="0.25">
      <c r="A209" s="17"/>
      <c r="B209" s="26"/>
      <c r="C209" s="18"/>
      <c r="D209" s="17"/>
      <c r="E209" s="26"/>
      <c r="F209" s="19"/>
    </row>
    <row r="210" spans="1:6" s="642" customFormat="1" ht="15.75" hidden="1" thickBot="1" x14ac:dyDescent="0.25">
      <c r="A210" s="17"/>
      <c r="B210" s="818" t="s">
        <v>806</v>
      </c>
      <c r="C210" s="750" t="s">
        <v>803</v>
      </c>
      <c r="D210" s="750" t="s">
        <v>824</v>
      </c>
      <c r="E210" s="26"/>
      <c r="F210" s="19"/>
    </row>
    <row r="211" spans="1:6" s="642" customFormat="1" hidden="1" x14ac:dyDescent="0.2">
      <c r="A211" s="17"/>
      <c r="B211" s="819" t="s">
        <v>809</v>
      </c>
      <c r="C211" s="823">
        <v>4</v>
      </c>
      <c r="D211" s="823">
        <v>2</v>
      </c>
      <c r="E211" s="26"/>
      <c r="F211" s="19"/>
    </row>
    <row r="212" spans="1:6" s="642" customFormat="1" hidden="1" x14ac:dyDescent="0.2">
      <c r="A212" s="17"/>
      <c r="B212" s="820" t="s">
        <v>810</v>
      </c>
      <c r="C212" s="826">
        <v>0</v>
      </c>
      <c r="D212" s="826">
        <v>0</v>
      </c>
      <c r="E212" s="26"/>
      <c r="F212" s="19"/>
    </row>
    <row r="213" spans="1:6" s="642" customFormat="1" hidden="1" x14ac:dyDescent="0.2">
      <c r="A213" s="17"/>
      <c r="B213" s="819" t="s">
        <v>811</v>
      </c>
      <c r="C213" s="823">
        <v>0</v>
      </c>
      <c r="D213" s="823">
        <v>0</v>
      </c>
      <c r="E213" s="26"/>
      <c r="F213" s="19"/>
    </row>
    <row r="214" spans="1:6" s="642" customFormat="1" hidden="1" x14ac:dyDescent="0.2">
      <c r="A214" s="17"/>
      <c r="B214" s="820" t="s">
        <v>812</v>
      </c>
      <c r="C214" s="826">
        <v>0</v>
      </c>
      <c r="D214" s="826">
        <v>0</v>
      </c>
      <c r="E214" s="26"/>
      <c r="F214" s="19"/>
    </row>
    <row r="215" spans="1:6" s="642" customFormat="1" hidden="1" x14ac:dyDescent="0.2">
      <c r="A215" s="17"/>
      <c r="B215" s="819" t="s">
        <v>813</v>
      </c>
      <c r="C215" s="823">
        <v>0</v>
      </c>
      <c r="D215" s="823">
        <v>0</v>
      </c>
      <c r="E215" s="26"/>
      <c r="F215" s="19"/>
    </row>
    <row r="216" spans="1:6" s="642" customFormat="1" hidden="1" x14ac:dyDescent="0.2">
      <c r="A216" s="17"/>
      <c r="B216" s="820" t="s">
        <v>814</v>
      </c>
      <c r="C216" s="826">
        <v>0</v>
      </c>
      <c r="D216" s="826">
        <v>0</v>
      </c>
      <c r="E216" s="26"/>
      <c r="F216" s="19"/>
    </row>
    <row r="217" spans="1:6" s="642" customFormat="1" hidden="1" x14ac:dyDescent="0.2">
      <c r="A217" s="17"/>
      <c r="B217" s="819" t="s">
        <v>815</v>
      </c>
      <c r="C217" s="823">
        <v>0</v>
      </c>
      <c r="D217" s="823">
        <v>0</v>
      </c>
      <c r="E217" s="26"/>
      <c r="F217" s="19"/>
    </row>
    <row r="218" spans="1:6" s="642" customFormat="1" hidden="1" x14ac:dyDescent="0.2">
      <c r="A218" s="17"/>
      <c r="B218" s="820" t="s">
        <v>816</v>
      </c>
      <c r="C218" s="826">
        <v>0</v>
      </c>
      <c r="D218" s="826">
        <v>0</v>
      </c>
      <c r="E218" s="26"/>
      <c r="F218" s="19"/>
    </row>
    <row r="219" spans="1:6" s="642" customFormat="1" ht="15.75" hidden="1" thickBot="1" x14ac:dyDescent="0.25">
      <c r="A219" s="17"/>
      <c r="B219" s="821" t="s">
        <v>489</v>
      </c>
      <c r="C219" s="795">
        <f>IF(NumFailureDomainsSec&gt;0,C211,0)+IF(NumFailureDomainsSec&gt;1,C212,0)+IF(NumFailureDomainsSec&gt;2,C213,0)+IF(NumFailureDomainsSec&gt;3,C214,0)+IF(NumFailureDomainsSec&gt;4,C215,0)+IF(NumFailureDomainsSec&gt;5,C216,0)+IF(NumFailureDomainsSec&gt;6,C217,0)+IF(NumFailureDomainsSec&gt;7,C218,0)</f>
        <v>4</v>
      </c>
      <c r="D219" s="795">
        <f>IF(NumFailureDomainsSec&gt;0,D211,0)+IF(NumFailureDomainsSec&gt;1,D212,0)+IF(NumFailureDomainsSec&gt;2,D213,0)+IF(NumFailureDomainsSec&gt;3,D214,0)+IF(NumFailureDomainsSec&gt;4,D215,0)+IF(NumFailureDomainsSec&gt;5,D216,0)+IF(NumFailureDomainsSec&gt;6,D217,0)+IF(NumFailureDomainsSec&gt;7,D218,0)</f>
        <v>2</v>
      </c>
      <c r="E219" s="26"/>
      <c r="F219" s="19"/>
    </row>
    <row r="220" spans="1:6" s="642" customFormat="1" ht="15.75" hidden="1" thickBot="1" x14ac:dyDescent="0.25">
      <c r="A220" s="17"/>
      <c r="B220" s="788" t="s">
        <v>819</v>
      </c>
      <c r="C220" s="792">
        <f>IF(NumDAGServersSDC="--",0,NumDAGServersSDC)</f>
        <v>4</v>
      </c>
      <c r="D220" s="793">
        <f>IF(ValidationCheck=TRUE,"--",IF(LOWER(calcDedLaggedCopyServer)="no",calcNumDBCopyInSDC+calcNumLagCopyInSDC,calcNumDBCopyInSDC))</f>
        <v>2</v>
      </c>
      <c r="E220" s="26"/>
      <c r="F220" s="19"/>
    </row>
    <row r="221" spans="1:6" s="642" customFormat="1" hidden="1" x14ac:dyDescent="0.2">
      <c r="A221" s="17"/>
      <c r="B221" s="13"/>
      <c r="C221" s="446"/>
      <c r="D221" s="783"/>
      <c r="E221" s="26"/>
      <c r="F221" s="19"/>
    </row>
    <row r="222" spans="1:6" s="642" customFormat="1" hidden="1" x14ac:dyDescent="0.2">
      <c r="B222" s="787"/>
      <c r="C222" s="550"/>
      <c r="D222" s="783"/>
      <c r="E222" s="26"/>
      <c r="F222" s="19"/>
    </row>
    <row r="223" spans="1:6" hidden="1" x14ac:dyDescent="0.2">
      <c r="B223" s="1095" t="s">
        <v>820</v>
      </c>
      <c r="C223" s="1096"/>
      <c r="D223" s="1096"/>
      <c r="E223" s="1096"/>
      <c r="F223" s="1097"/>
    </row>
    <row r="224" spans="1:6" ht="35.1" hidden="1" customHeight="1" x14ac:dyDescent="0.2">
      <c r="B224" s="1092" t="s">
        <v>822</v>
      </c>
      <c r="C224" s="1093"/>
      <c r="D224" s="1093"/>
      <c r="E224" s="1093"/>
      <c r="F224" s="1094"/>
    </row>
    <row r="225" spans="2:6" ht="15.75" thickBot="1" x14ac:dyDescent="0.25">
      <c r="B225" s="778"/>
      <c r="C225" s="779"/>
      <c r="D225" s="780"/>
      <c r="E225" s="779"/>
      <c r="F225" s="817"/>
    </row>
    <row r="228" spans="2:6" x14ac:dyDescent="0.2">
      <c r="E228" s="25"/>
    </row>
    <row r="236" spans="2:6" x14ac:dyDescent="0.2">
      <c r="D236" s="25"/>
      <c r="E236" s="25"/>
    </row>
    <row r="237" spans="2:6" x14ac:dyDescent="0.2">
      <c r="D237" s="25"/>
      <c r="E237" s="25"/>
    </row>
    <row r="238" spans="2:6" x14ac:dyDescent="0.2">
      <c r="D238" s="25"/>
      <c r="E238" s="25"/>
    </row>
    <row r="239" spans="2:6" x14ac:dyDescent="0.2">
      <c r="D239" s="25"/>
      <c r="E239" s="25"/>
    </row>
    <row r="240" spans="2:6" x14ac:dyDescent="0.2">
      <c r="D240" s="25"/>
      <c r="E240" s="25"/>
    </row>
    <row r="241" spans="4:5" x14ac:dyDescent="0.2">
      <c r="D241" s="25"/>
      <c r="E241" s="25"/>
    </row>
    <row r="242" spans="4:5" x14ac:dyDescent="0.2">
      <c r="D242" s="25"/>
      <c r="E242" s="25"/>
    </row>
    <row r="243" spans="4:5" x14ac:dyDescent="0.2">
      <c r="D243" s="25"/>
      <c r="E243" s="25"/>
    </row>
    <row r="244" spans="4:5" x14ac:dyDescent="0.2">
      <c r="D244" s="25"/>
      <c r="E244" s="25"/>
    </row>
    <row r="245" spans="4:5" x14ac:dyDescent="0.2">
      <c r="D245" s="25"/>
      <c r="E245" s="25"/>
    </row>
    <row r="246" spans="4:5" x14ac:dyDescent="0.2">
      <c r="D246" s="25"/>
      <c r="E246" s="25"/>
    </row>
    <row r="247" spans="4:5" x14ac:dyDescent="0.2">
      <c r="D247" s="25"/>
      <c r="E247" s="25"/>
    </row>
    <row r="248" spans="4:5" x14ac:dyDescent="0.2">
      <c r="D248" s="25"/>
      <c r="E248" s="25"/>
    </row>
    <row r="249" spans="4:5" x14ac:dyDescent="0.2">
      <c r="D249" s="25"/>
      <c r="E249" s="25"/>
    </row>
    <row r="250" spans="4:5" x14ac:dyDescent="0.2">
      <c r="D250" s="25"/>
      <c r="E250" s="13"/>
    </row>
    <row r="256" spans="4:5" x14ac:dyDescent="0.2">
      <c r="D256" s="12"/>
    </row>
  </sheetData>
  <dataConsolidate/>
  <mergeCells count="30">
    <mergeCell ref="B15:F15"/>
    <mergeCell ref="B47:F47"/>
    <mergeCell ref="B18:F19"/>
    <mergeCell ref="B48:F49"/>
    <mergeCell ref="B1:D1"/>
    <mergeCell ref="B14:F14"/>
    <mergeCell ref="B8:F8"/>
    <mergeCell ref="B13:F13"/>
    <mergeCell ref="B7:F7"/>
    <mergeCell ref="B9:E9"/>
    <mergeCell ref="B3:F3"/>
    <mergeCell ref="B2:C2"/>
    <mergeCell ref="B10:F11"/>
    <mergeCell ref="B5:C5"/>
    <mergeCell ref="B224:F224"/>
    <mergeCell ref="B223:F223"/>
    <mergeCell ref="B92:F92"/>
    <mergeCell ref="B16:F16"/>
    <mergeCell ref="B17:F17"/>
    <mergeCell ref="B102:F102"/>
    <mergeCell ref="B93:F94"/>
    <mergeCell ref="B103:F104"/>
    <mergeCell ref="B172:F172"/>
    <mergeCell ref="B143:C143"/>
    <mergeCell ref="B139:F141"/>
    <mergeCell ref="E106:E107"/>
    <mergeCell ref="B126:F126"/>
    <mergeCell ref="B127:F128"/>
    <mergeCell ref="B138:F138"/>
    <mergeCell ref="B171:F171"/>
  </mergeCells>
  <phoneticPr fontId="22" type="noConversion"/>
  <conditionalFormatting sqref="E30:F32 B42:C42 B33:C33">
    <cfRule type="expression" dxfId="364" priority="203" stopIfTrue="1">
      <formula>IF(numLagDBCopies=0,TRUE,FALSE)</formula>
    </cfRule>
  </conditionalFormatting>
  <conditionalFormatting sqref="E37:F37">
    <cfRule type="expression" dxfId="363" priority="293">
      <formula>IF(DBSizeOverride="Default",TRUE,FALSE)</formula>
    </cfRule>
  </conditionalFormatting>
  <conditionalFormatting sqref="E70:F71">
    <cfRule type="expression" dxfId="362" priority="292">
      <formula>IF(Tier3PredictIOPS="Yes",TRUE,FALSE)</formula>
    </cfRule>
  </conditionalFormatting>
  <conditionalFormatting sqref="B89:C90">
    <cfRule type="expression" dxfId="361" priority="291">
      <formula>IF(Tier2PredictIOPS="Yes",TRUE,FALSE)</formula>
    </cfRule>
  </conditionalFormatting>
  <conditionalFormatting sqref="B70:C71">
    <cfRule type="expression" dxfId="360" priority="290">
      <formula>IF(Tier1PredictIOPS="Yes",TRUE,FALSE)</formula>
    </cfRule>
  </conditionalFormatting>
  <conditionalFormatting sqref="C129:C136 F37">
    <cfRule type="expression" dxfId="359" priority="288">
      <formula>IF(AND(DBSizeOverride="Custom",CustomMaxDBSize=0),TRUE,FALSE)</formula>
    </cfRule>
  </conditionalFormatting>
  <conditionalFormatting sqref="B98:C98">
    <cfRule type="expression" dxfId="358" priority="285">
      <formula>IF(BackupMethod="Exchange Native Data Protection",TRUE,FALSE)</formula>
    </cfRule>
  </conditionalFormatting>
  <conditionalFormatting sqref="C31:C33 C27">
    <cfRule type="expression" dxfId="357" priority="294">
      <formula>IF(numLagDBCopies+NumDBCopies&gt;16,TRUE,FALSE)</formula>
    </cfRule>
  </conditionalFormatting>
  <conditionalFormatting sqref="B30:C33 E22:F26 B175:C190 E175:F176 B27:C27 B107:C112">
    <cfRule type="expression" dxfId="356" priority="283" stopIfTrue="1">
      <formula>IF(HAOption="No",TRUE,FALSE)</formula>
    </cfRule>
  </conditionalFormatting>
  <conditionalFormatting sqref="C97">
    <cfRule type="expression" dxfId="355" priority="267">
      <formula>IF(AND(BackupMethod="Exchange Native Data Protection",OR(AND(NumTier3MBX&lt;&gt;0,Tier3SIREnabled="Disabled"),AND(NumTier2MBX&lt;&gt;0,Tier2SIREnabled="Disabled"),AND(NumTier1MBX&lt;&gt;0,Tier1SIREnabled="Disabled"))),TRUE,FALSE)</formula>
    </cfRule>
    <cfRule type="expression" dxfId="354" priority="268">
      <formula>IF(AND(HAOption="Yes",NumDBCopies&lt;3,BackupMethod="Exchange Native Data Protection"),TRUE,FALSE)</formula>
    </cfRule>
    <cfRule type="expression" dxfId="353" priority="278">
      <formula>IF(AND(HAOption="No",BackupMethod="Exchange Native Data Protection"),TRUE,FALSE)</formula>
    </cfRule>
  </conditionalFormatting>
  <conditionalFormatting sqref="B32:C33">
    <cfRule type="expression" dxfId="352" priority="240">
      <formula>IF(EqualMBXDistSDC="Yes",TRUE,FALSE)</formula>
    </cfRule>
  </conditionalFormatting>
  <conditionalFormatting sqref="B117:D117">
    <cfRule type="expression" dxfId="351" priority="248">
      <formula>IF(VolArchitecture="1 LUN / Volume",TRUE,FALSE)</formula>
    </cfRule>
  </conditionalFormatting>
  <conditionalFormatting sqref="C118">
    <cfRule type="expression" dxfId="350" priority="246">
      <formula>IF(AND(JBODEvaluation="Yes",JBODRLCapCheckPDC),TRUE,FALSE)</formula>
    </cfRule>
  </conditionalFormatting>
  <conditionalFormatting sqref="C32">
    <cfRule type="expression" dxfId="349" priority="281">
      <formula>IF(AND(numDBCopiesSDC&gt;NumDBCopies-1,numMBXServers&gt;1),TRUE,FALSE)</formula>
    </cfRule>
  </conditionalFormatting>
  <conditionalFormatting sqref="C33">
    <cfRule type="expression" dxfId="348" priority="253">
      <formula>IF(numLaggedCopiesSDC&gt;numLagDBCopies,TRUE,FALSE)</formula>
    </cfRule>
  </conditionalFormatting>
  <conditionalFormatting sqref="C99">
    <cfRule type="expression" dxfId="347" priority="233">
      <formula>IF(AND(HAOption="Yes",BackupMethod="Exchange Native Data Protection",BackupFailureTol&lt;3),TRUE,FALSE)</formula>
    </cfRule>
  </conditionalFormatting>
  <conditionalFormatting sqref="C145">
    <cfRule type="expression" dxfId="346" priority="230">
      <formula>IF(AND(HAOption="Yes",SiteResilienceEnabled="Yes",$C145=0,$C$169&lt;&gt;1),TRUE,FALSE)</formula>
    </cfRule>
  </conditionalFormatting>
  <conditionalFormatting sqref="C146">
    <cfRule type="expression" dxfId="345" priority="228">
      <formula>IF(AND(HAOption="Yes",SiteResilienceEnabled="Yes",$C146=0,$C$169&lt;&gt;1),TRUE,FALSE)</formula>
    </cfRule>
  </conditionalFormatting>
  <conditionalFormatting sqref="C147">
    <cfRule type="expression" dxfId="344" priority="227">
      <formula>IF(AND(HAOption="Yes",SiteResilienceEnabled="Yes",$C147=0,$C$169&lt;&gt;1),TRUE,FALSE)</formula>
    </cfRule>
  </conditionalFormatting>
  <conditionalFormatting sqref="C148">
    <cfRule type="expression" dxfId="343" priority="226">
      <formula>IF(AND(HAOption="Yes",SiteResilienceEnabled="Yes",$C148=0,$C$169&lt;&gt;1),TRUE,FALSE)</formula>
    </cfRule>
  </conditionalFormatting>
  <conditionalFormatting sqref="C149">
    <cfRule type="expression" dxfId="342" priority="225">
      <formula>IF(AND(HAOption="Yes",SiteResilienceEnabled="Yes",$C149=0,$C$169&lt;&gt;1),TRUE,FALSE)</formula>
    </cfRule>
  </conditionalFormatting>
  <conditionalFormatting sqref="C150">
    <cfRule type="expression" dxfId="341" priority="224">
      <formula>IF(AND(HAOption="Yes",SiteResilienceEnabled="Yes",$C150=0,$C$169&lt;&gt;1),TRUE,FALSE)</formula>
    </cfRule>
  </conditionalFormatting>
  <conditionalFormatting sqref="C151">
    <cfRule type="expression" dxfId="340" priority="223">
      <formula>IF(AND(HAOption="Yes",SiteResilienceEnabled="Yes",$C151=0,$C$169&lt;&gt;1),TRUE,FALSE)</formula>
    </cfRule>
  </conditionalFormatting>
  <conditionalFormatting sqref="C152">
    <cfRule type="expression" dxfId="339" priority="222">
      <formula>IF(AND(HAOption="Yes",SiteResilienceEnabled="Yes",$C152=0,$C$169&lt;&gt;1),TRUE,FALSE)</formula>
    </cfRule>
  </conditionalFormatting>
  <conditionalFormatting sqref="C153">
    <cfRule type="expression" dxfId="338" priority="221">
      <formula>IF(AND(HAOption="Yes",SiteResilienceEnabled="Yes",$C153=0,$C$169&lt;&gt;1),TRUE,FALSE)</formula>
    </cfRule>
  </conditionalFormatting>
  <conditionalFormatting sqref="C154">
    <cfRule type="expression" dxfId="337" priority="220">
      <formula>IF(AND(HAOption="Yes",SiteResilienceEnabled="Yes",$C154=0,$C$169&lt;&gt;1),TRUE,FALSE)</formula>
    </cfRule>
  </conditionalFormatting>
  <conditionalFormatting sqref="C155">
    <cfRule type="expression" dxfId="336" priority="219">
      <formula>IF(AND(HAOption="Yes",SiteResilienceEnabled="Yes",$C155=0,$C$169&lt;&gt;1),TRUE,FALSE)</formula>
    </cfRule>
  </conditionalFormatting>
  <conditionalFormatting sqref="C156">
    <cfRule type="expression" dxfId="335" priority="218">
      <formula>IF(AND(HAOption="Yes",SiteResilienceEnabled="Yes",$C156=0,$C$169&lt;&gt;1),TRUE,FALSE)</formula>
    </cfRule>
  </conditionalFormatting>
  <conditionalFormatting sqref="C157">
    <cfRule type="expression" dxfId="334" priority="217">
      <formula>IF(AND(HAOption="Yes",SiteResilienceEnabled="Yes",$C157=0,$C$169&lt;&gt;1),TRUE,FALSE)</formula>
    </cfRule>
  </conditionalFormatting>
  <conditionalFormatting sqref="C158">
    <cfRule type="expression" dxfId="333" priority="216">
      <formula>IF(AND(HAOption="Yes",SiteResilienceEnabled="Yes",$C158=0,$C$169&lt;&gt;1),TRUE,FALSE)</formula>
    </cfRule>
  </conditionalFormatting>
  <conditionalFormatting sqref="C159">
    <cfRule type="expression" dxfId="332" priority="215">
      <formula>IF(AND(HAOption="Yes",SiteResilienceEnabled="Yes",$C159=0,$C$169&lt;&gt;1),TRUE,FALSE)</formula>
    </cfRule>
  </conditionalFormatting>
  <conditionalFormatting sqref="C160">
    <cfRule type="expression" dxfId="331" priority="214">
      <formula>IF(AND(HAOption="Yes",SiteResilienceEnabled="Yes",$C160=0,$C$169&lt;&gt;1),TRUE,FALSE)</formula>
    </cfRule>
  </conditionalFormatting>
  <conditionalFormatting sqref="C161">
    <cfRule type="expression" dxfId="330" priority="213">
      <formula>IF(AND(HAOption="Yes",SiteResilienceEnabled="Yes",$C161=0,$C$169&lt;&gt;1),TRUE,FALSE)</formula>
    </cfRule>
  </conditionalFormatting>
  <conditionalFormatting sqref="C162">
    <cfRule type="expression" dxfId="329" priority="212">
      <formula>IF(AND(HAOption="Yes",SiteResilienceEnabled="Yes",$C162=0,$C$169&lt;&gt;1),TRUE,FALSE)</formula>
    </cfRule>
  </conditionalFormatting>
  <conditionalFormatting sqref="C163">
    <cfRule type="expression" dxfId="328" priority="211">
      <formula>IF(AND(HAOption="Yes",SiteResilienceEnabled="Yes",$C163=0,$C$169&lt;&gt;1),TRUE,FALSE)</formula>
    </cfRule>
  </conditionalFormatting>
  <conditionalFormatting sqref="C164">
    <cfRule type="expression" dxfId="327" priority="210">
      <formula>IF(AND(HAOption="Yes",SiteResilienceEnabled="Yes",$C164=0,$C$169&lt;&gt;1),TRUE,FALSE)</formula>
    </cfRule>
  </conditionalFormatting>
  <conditionalFormatting sqref="C165">
    <cfRule type="expression" dxfId="326" priority="209">
      <formula>IF(AND(HAOption="Yes",SiteResilienceEnabled="Yes",$C165=0,$C$169&lt;&gt;1),TRUE,FALSE)</formula>
    </cfRule>
  </conditionalFormatting>
  <conditionalFormatting sqref="C166">
    <cfRule type="expression" dxfId="325" priority="208">
      <formula>IF(AND(HAOption="Yes",SiteResilienceEnabled="Yes",$C166=0,$C$169&lt;&gt;1),TRUE,FALSE)</formula>
    </cfRule>
  </conditionalFormatting>
  <conditionalFormatting sqref="C167">
    <cfRule type="expression" dxfId="324" priority="207">
      <formula>IF(AND(HAOption="Yes",SiteResilienceEnabled="Yes",$C167=0,$C$169&lt;&gt;1),TRUE,FALSE)</formula>
    </cfRule>
  </conditionalFormatting>
  <conditionalFormatting sqref="E144:F145 B145:C169 B132:D132 B121:D124 E23:F26 B32:C33 B40:C41">
    <cfRule type="expression" dxfId="323" priority="195" stopIfTrue="1">
      <formula>IF(OR(HAOption="No",SiteResilienceEnabled="No"),TRUE,FALSE)</formula>
    </cfRule>
  </conditionalFormatting>
  <conditionalFormatting sqref="C30:C33">
    <cfRule type="expression" dxfId="322" priority="235">
      <formula>DAGMemberValCheck=TRUE</formula>
    </cfRule>
  </conditionalFormatting>
  <conditionalFormatting sqref="E56:F71">
    <cfRule type="expression" dxfId="321" priority="202">
      <formula>IF(NumTier3MBX=0,TRUE,FALSE)</formula>
    </cfRule>
  </conditionalFormatting>
  <conditionalFormatting sqref="B75:C90">
    <cfRule type="expression" dxfId="320" priority="201">
      <formula>IF(NumTier2MBX=0,TRUE,FALSE)</formula>
    </cfRule>
  </conditionalFormatting>
  <conditionalFormatting sqref="B56:C71">
    <cfRule type="expression" dxfId="319" priority="200">
      <formula>IF(NumTier1MBX=0,TRUE,FALSE)</formula>
    </cfRule>
  </conditionalFormatting>
  <conditionalFormatting sqref="C70">
    <cfRule type="expression" dxfId="318" priority="308">
      <formula>IF(AND($C$69="No",$C$70=0),TRUE,FALSE)</formula>
    </cfRule>
  </conditionalFormatting>
  <conditionalFormatting sqref="F70">
    <cfRule type="expression" dxfId="317" priority="310">
      <formula>IF(AND($F$69="No",$F$70=0),TRUE,FALSE)</formula>
    </cfRule>
  </conditionalFormatting>
  <conditionalFormatting sqref="C89">
    <cfRule type="expression" dxfId="316" priority="312">
      <formula>IF(AND($C$88="No",$C$89=0),TRUE,FALSE)</formula>
    </cfRule>
  </conditionalFormatting>
  <conditionalFormatting sqref="C316">
    <cfRule type="expression" dxfId="315" priority="197">
      <formula>IF(AND(SiteResilienceEnabled="Yes",$C339=0,$C$169&lt;&gt;1),TRUE,FALSE)</formula>
    </cfRule>
  </conditionalFormatting>
  <conditionalFormatting sqref="C168">
    <cfRule type="expression" dxfId="314" priority="204">
      <formula>IF(AND(HAOption="Yes",SiteResilienceEnabled="Yes",$C168=0,$C$169&lt;&gt;1),TRUE,FALSE)</formula>
    </cfRule>
  </conditionalFormatting>
  <conditionalFormatting sqref="C169">
    <cfRule type="expression" dxfId="313" priority="196">
      <formula>IF(AND(SiteResilienceEnabled="Yes",HAOption="Yes",$C$169&lt;&gt;1),TRUE,FALSE)</formula>
    </cfRule>
  </conditionalFormatting>
  <conditionalFormatting sqref="B133:D133">
    <cfRule type="expression" dxfId="312" priority="190">
      <formula>IF(OR(calcDedLaggedCopyServer="No",numLagDBCopies=0),TRUE,FALSE)</formula>
    </cfRule>
  </conditionalFormatting>
  <conditionalFormatting sqref="B41:C41">
    <cfRule type="expression" dxfId="311" priority="189">
      <formula>NetworkCompression="Disabled"</formula>
    </cfRule>
  </conditionalFormatting>
  <conditionalFormatting sqref="C30">
    <cfRule type="expression" dxfId="310" priority="188">
      <formula>IF(HAOption="Yes",IF(OR(AND(calcNumDBCopyInSDC&gt;NumDBCopies-1,numMBXServers&gt;1),calcNumDBCopyInPDC+calcNumDBCopyInSDC&gt;TotNumMBXServersinDAG),TRUE,FALSE),FALSE)</formula>
    </cfRule>
  </conditionalFormatting>
  <conditionalFormatting sqref="E39:F39">
    <cfRule type="expression" dxfId="309" priority="187">
      <formula>IF(NumDBsOverride="Yes",TRUE,FALSE)</formula>
    </cfRule>
  </conditionalFormatting>
  <conditionalFormatting sqref="F39">
    <cfRule type="expression" dxfId="308" priority="9">
      <formula>IF(AND(NumDBsOverride="No",CustomNumDBs&lt;&gt;0,MOD(CustomNumDBs,varDiskGroup)&lt;&gt;0),TRUE,FALSE)</formula>
    </cfRule>
    <cfRule type="expression" dxfId="307" priority="165">
      <formula>IF(AND(NumDBsOverride="No",CustomNumDBs=0),TRUE,FALSE)</formula>
    </cfRule>
    <cfRule type="expression" dxfId="306" priority="186">
      <formula>IF(NumDBsOverride="No",IF(HAOption="Yes",IF(CustomNumDBs&gt;calcMaxNumDBDAG,TRUE,FALSE),IF(CustomNumDBs&gt;calcMaxNumDBs,TRUE,FALSE)))</formula>
    </cfRule>
  </conditionalFormatting>
  <conditionalFormatting sqref="C131">
    <cfRule type="expression" dxfId="305" priority="185">
      <formula>IF(AND(MultiRoleEnabled="Yes",numProcCoresPDC&lt;2),TRUE,FALSE)</formula>
    </cfRule>
  </conditionalFormatting>
  <conditionalFormatting sqref="C132">
    <cfRule type="expression" dxfId="304" priority="184">
      <formula>IF(AND(MultiRoleEnabled="Yes",AND(SiteResilienceEnabled="Yes",numProcCoresSDC&lt;2)),TRUE,FALSE)</formula>
    </cfRule>
  </conditionalFormatting>
  <conditionalFormatting sqref="C133">
    <cfRule type="expression" dxfId="303" priority="183">
      <formula>IF(AND(MultiRoleEnabled="Yes",AND(numLagDBCopies&gt;0,calcDedLaggedCopyServer="Yes",numProcCoresLCS&lt;2)),TRUE,FALSE)</formula>
    </cfRule>
  </conditionalFormatting>
  <conditionalFormatting sqref="D116">
    <cfRule type="expression" dxfId="302" priority="180">
      <formula>IF(AND(JBODEvaluation="Yes",JBODDBIOCheckPDC),TRUE,FALSE)</formula>
    </cfRule>
  </conditionalFormatting>
  <conditionalFormatting sqref="E89:F90">
    <cfRule type="expression" dxfId="301" priority="176">
      <formula>IF(Tier4PredictIOPS="Yes",TRUE,FALSE)</formula>
    </cfRule>
  </conditionalFormatting>
  <conditionalFormatting sqref="E75:F90">
    <cfRule type="expression" dxfId="300" priority="175">
      <formula>IF(NumTier4MBX=0,TRUE,FALSE)</formula>
    </cfRule>
  </conditionalFormatting>
  <conditionalFormatting sqref="F89">
    <cfRule type="expression" dxfId="299" priority="177">
      <formula>IF(AND($F$88="No",$F$89=0),TRUE,FALSE)</formula>
    </cfRule>
  </conditionalFormatting>
  <conditionalFormatting sqref="E26:F26">
    <cfRule type="expression" dxfId="298" priority="26">
      <formula>IF(VolArchitecture="Multiple DBs / Volume",TRUE,FALSE)</formula>
    </cfRule>
    <cfRule type="expression" dxfId="297" priority="169">
      <formula>IF(AND(HAOption="Yes",SiteResilienceEnabled="Yes",SRModel&lt;&gt;"Active/Active (Single DAG)"),TRUE,FALSE)</formula>
    </cfRule>
    <cfRule type="expression" dxfId="296" priority="170">
      <formula>IF(AND(HAOption="Yes",SiteResilienceEnabled="Yes",SRModel="Active/Active (Single DAG)",numMBXServers=1),TRUE,FALSE)</formula>
    </cfRule>
  </conditionalFormatting>
  <conditionalFormatting sqref="D132">
    <cfRule type="expression" dxfId="295" priority="167" stopIfTrue="1">
      <formula>IF(SiteResilienceEnabled="No",TRUE,FALSE)</formula>
    </cfRule>
  </conditionalFormatting>
  <conditionalFormatting sqref="D133">
    <cfRule type="expression" dxfId="294" priority="166">
      <formula>IF(OR(calcDedLaggedCopyServer="No",numLagDBCopies=0),TRUE,FALSE)</formula>
    </cfRule>
  </conditionalFormatting>
  <conditionalFormatting sqref="C123:D123">
    <cfRule type="expression" dxfId="293" priority="148">
      <formula>IF(VolArchitecture="1 LUN / DB",TRUE,FALSE)</formula>
    </cfRule>
  </conditionalFormatting>
  <conditionalFormatting sqref="D122">
    <cfRule type="expression" dxfId="292" priority="145">
      <formula>IF(AND(JBODEvaluation="Yes",JBODDBIOCheckSDC),TRUE,FALSE)</formula>
    </cfRule>
  </conditionalFormatting>
  <conditionalFormatting sqref="B123">
    <cfRule type="expression" dxfId="291" priority="144">
      <formula>IF(VolArchitecture="1 LUN / DB",TRUE,FALSE)</formula>
    </cfRule>
  </conditionalFormatting>
  <conditionalFormatting sqref="E40:F40">
    <cfRule type="expression" dxfId="290" priority="143">
      <formula>IF(NumDBsOverride="No",TRUE,FALSE)</formula>
    </cfRule>
  </conditionalFormatting>
  <conditionalFormatting sqref="B136:C136">
    <cfRule type="expression" dxfId="289" priority="142">
      <formula>IF(VirtualizationEnabled="No",TRUE,FALSE)</formula>
    </cfRule>
  </conditionalFormatting>
  <conditionalFormatting sqref="C26">
    <cfRule type="expression" dxfId="288" priority="141">
      <formula>IF(numLagDBCopies+NumDBCopies&gt;16,TRUE,FALSE)</formula>
    </cfRule>
  </conditionalFormatting>
  <conditionalFormatting sqref="B108:C109">
    <cfRule type="expression" dxfId="287" priority="139">
      <formula>IF(JBODEvaluation="No",TRUE,FALSE)</formula>
    </cfRule>
  </conditionalFormatting>
  <conditionalFormatting sqref="E106:E107">
    <cfRule type="expression" dxfId="286" priority="138">
      <formula>IF(AND(JBODEvaluation="Yes",OR(JBODDBCapCheckPDC,JBODRLCapCheckPDC,JBODDBCapCheckSDC,JBODRLCapCheckSDC)),TRUE,IF(AND(JBODEvaluation="Yes",OR(JBODDBIOCheckPDC,JBODRLIOCheckPDC,JBODDBIOCheckSDC,JBODRLIOCheckSDC)),TRUE,FALSE))</formula>
    </cfRule>
  </conditionalFormatting>
  <conditionalFormatting sqref="C198:C205">
    <cfRule type="expression" dxfId="285" priority="110">
      <formula>IF(calcFailureDomainServersDC1&lt;&gt;NumDAGServersPDC,1,0)</formula>
    </cfRule>
  </conditionalFormatting>
  <conditionalFormatting sqref="C211:C218">
    <cfRule type="expression" dxfId="284" priority="109">
      <formula>IF(calcFailureDomainServersDC2&lt;&gt;NumDAGServersSDC,1,0)</formula>
    </cfRule>
  </conditionalFormatting>
  <conditionalFormatting sqref="C194">
    <cfRule type="expression" dxfId="283" priority="108">
      <formula>IF(NumDAGServersPDC/2+0.5&lt;$C$194,1,0)</formula>
    </cfRule>
  </conditionalFormatting>
  <conditionalFormatting sqref="B194:C195 B198:D206 C207:D207 B211:D219 C220:D220">
    <cfRule type="expression" dxfId="282" priority="29" stopIfTrue="1">
      <formula>IF(FailureDomainsEnabled="Yes",FALSE,TRUE)</formula>
    </cfRule>
  </conditionalFormatting>
  <conditionalFormatting sqref="B211:C219">
    <cfRule type="expression" dxfId="281" priority="89" stopIfTrue="1">
      <formula>IF(LOWER(SiteResilienceEnabled)&lt;&gt;"yes",1,0)</formula>
    </cfRule>
  </conditionalFormatting>
  <conditionalFormatting sqref="C198">
    <cfRule type="expression" dxfId="280" priority="104">
      <formula>IF(AND(NumFailureDomainsPri&gt;0,$C$198=0),1,0)</formula>
    </cfRule>
  </conditionalFormatting>
  <conditionalFormatting sqref="C199">
    <cfRule type="expression" dxfId="279" priority="103">
      <formula>IF(AND(NumFailureDomainsPri&gt;1,$C$199=0),1,0)</formula>
    </cfRule>
  </conditionalFormatting>
  <conditionalFormatting sqref="C200">
    <cfRule type="expression" dxfId="278" priority="102">
      <formula>IF(AND(NumFailureDomainsPri&gt;2,$C$200=0),1,0)</formula>
    </cfRule>
  </conditionalFormatting>
  <conditionalFormatting sqref="C201">
    <cfRule type="expression" dxfId="277" priority="101">
      <formula>IF(AND(NumFailureDomainsPri&gt;3,$C$201=0),1,0)</formula>
    </cfRule>
  </conditionalFormatting>
  <conditionalFormatting sqref="C202">
    <cfRule type="expression" dxfId="276" priority="100">
      <formula>IF(AND(NumFailureDomainsPri&gt;4,$C$202=0),1,0)</formula>
    </cfRule>
  </conditionalFormatting>
  <conditionalFormatting sqref="C203">
    <cfRule type="expression" dxfId="275" priority="99">
      <formula>IF(AND(NumFailureDomainsPri&gt;5,$C$203=0),1,0)</formula>
    </cfRule>
  </conditionalFormatting>
  <conditionalFormatting sqref="C204">
    <cfRule type="expression" dxfId="274" priority="98">
      <formula>IF(AND(NumFailureDomainsPri&gt;6,$C$204=0),1,0)</formula>
    </cfRule>
  </conditionalFormatting>
  <conditionalFormatting sqref="C205">
    <cfRule type="expression" dxfId="273" priority="97">
      <formula>IF(AND(NumFailureDomainsPri&gt;7,$C$205=0),1,0)</formula>
    </cfRule>
  </conditionalFormatting>
  <conditionalFormatting sqref="C211">
    <cfRule type="expression" dxfId="272" priority="106">
      <formula>IF(AND(NumFailureDomainsSec&gt;0,$C$211=0,FailureDomainsEnabled="Yes"),1,0)</formula>
    </cfRule>
  </conditionalFormatting>
  <conditionalFormatting sqref="C212">
    <cfRule type="expression" dxfId="271" priority="96">
      <formula>IF(AND(NumFailureDomainsSec&gt;1,$C$212=0),1,0)</formula>
    </cfRule>
  </conditionalFormatting>
  <conditionalFormatting sqref="C213">
    <cfRule type="expression" dxfId="270" priority="95">
      <formula>IF(AND(NumFailureDomainsSec&gt;2,$C$213=0),1,0)</formula>
    </cfRule>
  </conditionalFormatting>
  <conditionalFormatting sqref="C214">
    <cfRule type="expression" dxfId="269" priority="94">
      <formula>IF(AND(NumFailureDomainsSec&gt;3,$C$214=0),1,0)</formula>
    </cfRule>
  </conditionalFormatting>
  <conditionalFormatting sqref="C215">
    <cfRule type="expression" dxfId="268" priority="93">
      <formula>IF(AND(NumFailureDomainsSec&gt;4,$C$215=0),1,0)</formula>
    </cfRule>
  </conditionalFormatting>
  <conditionalFormatting sqref="C216">
    <cfRule type="expression" dxfId="267" priority="92">
      <formula>IF(AND(NumFailureDomainsSec&gt;5,$C$216=0),1,0)</formula>
    </cfRule>
  </conditionalFormatting>
  <conditionalFormatting sqref="C217">
    <cfRule type="expression" dxfId="266" priority="91">
      <formula>IF(AND(NumFailureDomainsSec&gt;6,$C$217=0),1,0)</formula>
    </cfRule>
  </conditionalFormatting>
  <conditionalFormatting sqref="C218">
    <cfRule type="expression" dxfId="265" priority="90">
      <formula>IF(AND(NumFailureDomainsSec&gt;7,$C$218=0),1,0)</formula>
    </cfRule>
  </conditionalFormatting>
  <conditionalFormatting sqref="B224">
    <cfRule type="expression" dxfId="264" priority="88">
      <formula>IF(FailureDomainStatusField &lt;&gt; varStatusOK_FD,1,0)</formula>
    </cfRule>
  </conditionalFormatting>
  <conditionalFormatting sqref="B199:C199">
    <cfRule type="expression" dxfId="263" priority="87" stopIfTrue="1">
      <formula>IF(NumFailureDomainsPri&lt;2,1,0)</formula>
    </cfRule>
  </conditionalFormatting>
  <conditionalFormatting sqref="B200:C200">
    <cfRule type="expression" dxfId="262" priority="86" stopIfTrue="1">
      <formula>IF(NumFailureDomainsPri&lt;3,1,0)</formula>
    </cfRule>
  </conditionalFormatting>
  <conditionalFormatting sqref="B201:C201">
    <cfRule type="expression" dxfId="261" priority="85" stopIfTrue="1">
      <formula>IF(NumFailureDomainsPri&lt;4,1,0)</formula>
    </cfRule>
  </conditionalFormatting>
  <conditionalFormatting sqref="B202:C202">
    <cfRule type="expression" dxfId="260" priority="84" stopIfTrue="1">
      <formula>IF(NumFailureDomainsPri&lt;5,1,0)</formula>
    </cfRule>
  </conditionalFormatting>
  <conditionalFormatting sqref="B203:C203">
    <cfRule type="expression" dxfId="259" priority="83" stopIfTrue="1">
      <formula>IF(NumFailureDomainsPri&lt;6,1,0)</formula>
    </cfRule>
  </conditionalFormatting>
  <conditionalFormatting sqref="B204:C204">
    <cfRule type="expression" dxfId="258" priority="82" stopIfTrue="1">
      <formula>IF(NumFailureDomainsPri&lt;7,1,0)</formula>
    </cfRule>
  </conditionalFormatting>
  <conditionalFormatting sqref="B205:C205">
    <cfRule type="expression" dxfId="257" priority="81" stopIfTrue="1">
      <formula>IF(NumFailureDomainsPri&lt;8,1,0)</formula>
    </cfRule>
  </conditionalFormatting>
  <conditionalFormatting sqref="B211:C211">
    <cfRule type="expression" dxfId="256" priority="80" stopIfTrue="1">
      <formula>IF(NumFailureDomainsSec&lt;1,1,0)</formula>
    </cfRule>
  </conditionalFormatting>
  <conditionalFormatting sqref="B212:C212">
    <cfRule type="expression" dxfId="255" priority="79" stopIfTrue="1">
      <formula>IF(NumFailureDomainsSec&lt;2,1,0)</formula>
    </cfRule>
  </conditionalFormatting>
  <conditionalFormatting sqref="B213:C213">
    <cfRule type="expression" dxfId="254" priority="78" stopIfTrue="1">
      <formula>IF(NumFailureDomainsSec&lt;3,1,0)</formula>
    </cfRule>
  </conditionalFormatting>
  <conditionalFormatting sqref="B214:C214">
    <cfRule type="expression" dxfId="253" priority="77" stopIfTrue="1">
      <formula>IF(NumFailureDomainsSec&lt;4,1,0)</formula>
    </cfRule>
  </conditionalFormatting>
  <conditionalFormatting sqref="B215:C215">
    <cfRule type="expression" dxfId="252" priority="76" stopIfTrue="1">
      <formula>IF(NumFailureDomainsSec&lt;5,1,0)</formula>
    </cfRule>
  </conditionalFormatting>
  <conditionalFormatting sqref="B216:C216">
    <cfRule type="expression" dxfId="251" priority="75" stopIfTrue="1">
      <formula>IF(NumFailureDomainsSec&lt;6,1,0)</formula>
    </cfRule>
  </conditionalFormatting>
  <conditionalFormatting sqref="B217:C217">
    <cfRule type="expression" dxfId="250" priority="74" stopIfTrue="1">
      <formula>IF(NumFailureDomainsSec&lt;7,1,0)</formula>
    </cfRule>
  </conditionalFormatting>
  <conditionalFormatting sqref="B218:C218">
    <cfRule type="expression" dxfId="249" priority="73" stopIfTrue="1">
      <formula>IF(NumFailureDomainsSec&lt;8,1,0)</formula>
    </cfRule>
  </conditionalFormatting>
  <conditionalFormatting sqref="B176:C191 B222:C222">
    <cfRule type="expression" dxfId="248" priority="71" stopIfTrue="1">
      <formula>IF(NumDAGServersPDC+NumDAGServersSDC&lt;ROW(B176)-ROW($B$174),1,0)</formula>
    </cfRule>
  </conditionalFormatting>
  <conditionalFormatting sqref="D198:D205">
    <cfRule type="expression" dxfId="247" priority="105">
      <formula>IF(calcFailureDomainCopiesDC1&lt;&gt;calcFailureDomainTargetCopiesDC1,1,0)</formula>
    </cfRule>
  </conditionalFormatting>
  <conditionalFormatting sqref="D198">
    <cfRule type="expression" dxfId="246" priority="69">
      <formula>IF(AND(NumFailureDomainsPri&gt;0,$D$198=0),1,0)</formula>
    </cfRule>
  </conditionalFormatting>
  <conditionalFormatting sqref="D199">
    <cfRule type="expression" dxfId="245" priority="68">
      <formula>IF(AND(NumFailureDomainsPri&gt;1,$D$199=0),1,0)</formula>
    </cfRule>
  </conditionalFormatting>
  <conditionalFormatting sqref="D200">
    <cfRule type="expression" dxfId="244" priority="67">
      <formula>IF(AND(NumFailureDomainsPri&gt;2,$D$200=0),1,0)</formula>
    </cfRule>
  </conditionalFormatting>
  <conditionalFormatting sqref="D201">
    <cfRule type="expression" dxfId="243" priority="66">
      <formula>IF(AND(NumFailureDomainsPri&gt;3,$D$201=0),1,0)</formula>
    </cfRule>
  </conditionalFormatting>
  <conditionalFormatting sqref="D202">
    <cfRule type="expression" dxfId="242" priority="65">
      <formula>IF(AND(NumFailureDomainsPri&gt;4,$D$202=0),1,0)</formula>
    </cfRule>
  </conditionalFormatting>
  <conditionalFormatting sqref="D203">
    <cfRule type="expression" dxfId="241" priority="64">
      <formula>IF(AND(NumFailureDomainsPri&gt;5,$D$203=0),1,0)</formula>
    </cfRule>
  </conditionalFormatting>
  <conditionalFormatting sqref="D204">
    <cfRule type="expression" dxfId="240" priority="63">
      <formula>IF(AND(NumFailureDomainsPri&gt;6,$D$204=0),1,0)</formula>
    </cfRule>
  </conditionalFormatting>
  <conditionalFormatting sqref="D205">
    <cfRule type="expression" dxfId="239" priority="62">
      <formula>IF(AND(NumFailureDomainsPri&gt;7,$D$205=0),1,0)</formula>
    </cfRule>
  </conditionalFormatting>
  <conditionalFormatting sqref="D199">
    <cfRule type="expression" dxfId="238" priority="60" stopIfTrue="1">
      <formula>IF(NumFailureDomainsPri&lt;2,1,0)</formula>
    </cfRule>
  </conditionalFormatting>
  <conditionalFormatting sqref="D200">
    <cfRule type="expression" dxfId="237" priority="59" stopIfTrue="1">
      <formula>IF(NumFailureDomainsPri&lt;3,1,0)</formula>
    </cfRule>
  </conditionalFormatting>
  <conditionalFormatting sqref="D201">
    <cfRule type="expression" dxfId="236" priority="58" stopIfTrue="1">
      <formula>IF(NumFailureDomainsPri&lt;4,1,0)</formula>
    </cfRule>
  </conditionalFormatting>
  <conditionalFormatting sqref="D202">
    <cfRule type="expression" dxfId="235" priority="57" stopIfTrue="1">
      <formula>IF(NumFailureDomainsPri&lt;5,1,0)</formula>
    </cfRule>
  </conditionalFormatting>
  <conditionalFormatting sqref="D203">
    <cfRule type="expression" dxfId="234" priority="56" stopIfTrue="1">
      <formula>IF(NumFailureDomainsPri&lt;6,1,0)</formula>
    </cfRule>
  </conditionalFormatting>
  <conditionalFormatting sqref="D204">
    <cfRule type="expression" dxfId="233" priority="55" stopIfTrue="1">
      <formula>IF(NumFailureDomainsPri&lt;7,1,0)</formula>
    </cfRule>
  </conditionalFormatting>
  <conditionalFormatting sqref="D205">
    <cfRule type="expression" dxfId="232" priority="54" stopIfTrue="1">
      <formula>IF(NumFailureDomainsPri&lt;8,1,0)</formula>
    </cfRule>
  </conditionalFormatting>
  <conditionalFormatting sqref="D211:D218">
    <cfRule type="expression" dxfId="231" priority="61">
      <formula>IF(calcFailureDomainCopiesDC2&lt;&gt;calcFailureDomainTargetCopiesDC2,1,0)</formula>
    </cfRule>
  </conditionalFormatting>
  <conditionalFormatting sqref="D211:D219">
    <cfRule type="expression" dxfId="230" priority="44" stopIfTrue="1">
      <formula>IF(LOWER(SiteResilienceEnabled)&lt;&gt;"yes",1,0)</formula>
    </cfRule>
  </conditionalFormatting>
  <conditionalFormatting sqref="D211">
    <cfRule type="expression" dxfId="229" priority="53">
      <formula>IF(AND(NumFailureDomainsSec&gt;0,$D$211=0),1,0)</formula>
    </cfRule>
  </conditionalFormatting>
  <conditionalFormatting sqref="D212">
    <cfRule type="expression" dxfId="228" priority="52">
      <formula>IF(AND(NumFailureDomainsSec&gt;1,$D$212=0),1,0)</formula>
    </cfRule>
  </conditionalFormatting>
  <conditionalFormatting sqref="D213">
    <cfRule type="expression" dxfId="227" priority="51">
      <formula>IF(AND(NumFailureDomainsSec&gt;2,$D$213=0),1,0)</formula>
    </cfRule>
  </conditionalFormatting>
  <conditionalFormatting sqref="D214">
    <cfRule type="expression" dxfId="226" priority="50">
      <formula>IF(AND(NumFailureDomainsSec&gt;3,$D$214=0),1,0)</formula>
    </cfRule>
  </conditionalFormatting>
  <conditionalFormatting sqref="D215">
    <cfRule type="expression" dxfId="225" priority="49">
      <formula>IF(AND(NumFailureDomainsSec&gt;4,$D$215=0),1,0)</formula>
    </cfRule>
  </conditionalFormatting>
  <conditionalFormatting sqref="D216">
    <cfRule type="expression" dxfId="224" priority="48">
      <formula>IF(AND(NumFailureDomainsSec&gt;5,$D$216=0),1,0)</formula>
    </cfRule>
  </conditionalFormatting>
  <conditionalFormatting sqref="D217">
    <cfRule type="expression" dxfId="223" priority="47">
      <formula>IF(AND(NumFailureDomainsSec&gt;6,$D$217=0),1,0)</formula>
    </cfRule>
  </conditionalFormatting>
  <conditionalFormatting sqref="D218">
    <cfRule type="expression" dxfId="222" priority="46">
      <formula>IF(AND(NumFailureDomainsSec&gt;7,$D$218=0),1,0)</formula>
    </cfRule>
  </conditionalFormatting>
  <conditionalFormatting sqref="D211">
    <cfRule type="expression" dxfId="221" priority="43" stopIfTrue="1">
      <formula>IF(NumFailureDomainsSec&lt;1,1,0)</formula>
    </cfRule>
  </conditionalFormatting>
  <conditionalFormatting sqref="D212">
    <cfRule type="expression" dxfId="220" priority="42" stopIfTrue="1">
      <formula>IF(NumFailureDomainsSec&lt;2,1,0)</formula>
    </cfRule>
  </conditionalFormatting>
  <conditionalFormatting sqref="D213">
    <cfRule type="expression" dxfId="219" priority="41" stopIfTrue="1">
      <formula>IF(NumFailureDomainsSec&lt;3,1,0)</formula>
    </cfRule>
  </conditionalFormatting>
  <conditionalFormatting sqref="D214">
    <cfRule type="expression" dxfId="218" priority="40" stopIfTrue="1">
      <formula>IF(NumFailureDomainsSec&lt;4,1,0)</formula>
    </cfRule>
  </conditionalFormatting>
  <conditionalFormatting sqref="D215">
    <cfRule type="expression" dxfId="217" priority="39" stopIfTrue="1">
      <formula>IF(NumFailureDomainsSec&lt;5,1,0)</formula>
    </cfRule>
  </conditionalFormatting>
  <conditionalFormatting sqref="D216">
    <cfRule type="expression" dxfId="216" priority="38" stopIfTrue="1">
      <formula>IF(NumFailureDomainsSec&lt;6,1,0)</formula>
    </cfRule>
  </conditionalFormatting>
  <conditionalFormatting sqref="D217">
    <cfRule type="expression" dxfId="215" priority="37" stopIfTrue="1">
      <formula>IF(NumFailureDomainsSec&lt;7,1,0)</formula>
    </cfRule>
  </conditionalFormatting>
  <conditionalFormatting sqref="D218">
    <cfRule type="expression" dxfId="214" priority="36" stopIfTrue="1">
      <formula>IF(NumFailureDomainsSec&lt;8,1,0)</formula>
    </cfRule>
  </conditionalFormatting>
  <conditionalFormatting sqref="B117:D117 B123:D123">
    <cfRule type="expression" dxfId="213" priority="30">
      <formula>IF(AND(HAOption="Yes",DBLogIsolation="No"),TRUE,FALSE)</formula>
    </cfRule>
  </conditionalFormatting>
  <conditionalFormatting sqref="C195 C221">
    <cfRule type="expression" dxfId="212" priority="365">
      <formula>IF(NumDAGServersSDC/2+0.5&lt;$C$195,1,0)</formula>
    </cfRule>
  </conditionalFormatting>
  <conditionalFormatting sqref="B193:C193">
    <cfRule type="expression" dxfId="211" priority="28" stopIfTrue="1">
      <formula>IF(LOWER(HAOption)&lt;&gt;"yes",1,0)</formula>
    </cfRule>
  </conditionalFormatting>
  <conditionalFormatting sqref="C193">
    <cfRule type="expression" dxfId="210" priority="45">
      <formula>IF(NumDAGServersSDC/2+0.5&lt;$C$195,1,0)</formula>
    </cfRule>
  </conditionalFormatting>
  <conditionalFormatting sqref="E30:F30">
    <cfRule type="expression" dxfId="209" priority="27">
      <formula>IF(VolArchitecture="Multiple DBs / Volume",TRUE,FALSE)</formula>
    </cfRule>
  </conditionalFormatting>
  <conditionalFormatting sqref="B118:D118 B124:D124">
    <cfRule type="expression" dxfId="208" priority="21">
      <formula>IF(RestoreVol="No",TRUE,FALSE)</formula>
    </cfRule>
  </conditionalFormatting>
  <conditionalFormatting sqref="B111:C111">
    <cfRule type="expression" dxfId="207" priority="19">
      <formula>IF(calcDiskLimitOverride="Yes",TRUE,FALSE)</formula>
    </cfRule>
  </conditionalFormatting>
  <conditionalFormatting sqref="E20">
    <cfRule type="expression" dxfId="206" priority="17">
      <formula>IF(AND(LOWER(varWizardConfiguration)="yes",LOWER(varWizardTamperLock)="secure"),1,0)</formula>
    </cfRule>
    <cfRule type="expression" dxfId="205" priority="18">
      <formula>IF(AND(LOWER(varWizardConfiguration)="yes",LOWER(varWizardTamperLock)&lt;&gt;"secure"),1,0)</formula>
    </cfRule>
  </conditionalFormatting>
  <conditionalFormatting sqref="E45:F45">
    <cfRule type="expression" dxfId="204" priority="14" stopIfTrue="1">
      <formula>IF(HAOption="No",TRUE,FALSE)</formula>
    </cfRule>
  </conditionalFormatting>
  <conditionalFormatting sqref="E43">
    <cfRule type="expression" dxfId="203" priority="12" stopIfTrue="1">
      <formula>IF(HAOption="No",TRUE,FALSE)</formula>
    </cfRule>
  </conditionalFormatting>
  <conditionalFormatting sqref="F45">
    <cfRule type="expression" dxfId="202" priority="10">
      <formula>IF(AND(OR(calcNumLagCopyInPDC&gt;0,calcNumLagCopyInSDC&gt;0),SafetyNetTimeout&lt;ReplayLagTime),TRUE,FALSE)</formula>
    </cfRule>
  </conditionalFormatting>
  <conditionalFormatting sqref="B107:C109">
    <cfRule type="expression" dxfId="201" priority="194">
      <formula>IF(OR(HAOption="No",NumDBCopies&lt;3,DBLogIsolation="Yes"),TRUE,FALSE)</formula>
    </cfRule>
  </conditionalFormatting>
  <conditionalFormatting sqref="B109:C109">
    <cfRule type="expression" dxfId="200" priority="31">
      <formula>IF(calcMultipleDBVolume="No",TRUE,FALSE)</formula>
    </cfRule>
  </conditionalFormatting>
  <conditionalFormatting sqref="B195:C195">
    <cfRule type="expression" dxfId="199" priority="8" stopIfTrue="1">
      <formula>IF(SiteResilienceEnabled="No",1,0)</formula>
    </cfRule>
  </conditionalFormatting>
  <conditionalFormatting sqref="B192:F224">
    <cfRule type="expression" dxfId="198" priority="7">
      <formula>IF(TRUE,1,0)</formula>
    </cfRule>
  </conditionalFormatting>
  <conditionalFormatting sqref="C116">
    <cfRule type="expression" dxfId="197" priority="6">
      <formula>IF(AND(JBODEvaluation="Yes",JBODDBCapCheckPDC),TRUE,FALSE)</formula>
    </cfRule>
  </conditionalFormatting>
  <conditionalFormatting sqref="C122">
    <cfRule type="expression" dxfId="196" priority="5">
      <formula>IF(AND(JBODEvaluation="Yes",JBODDBCapCheckSDC),TRUE,FALSE)</formula>
    </cfRule>
  </conditionalFormatting>
  <conditionalFormatting sqref="B112:C112">
    <cfRule type="expression" dxfId="195" priority="1">
      <formula>IF(MultipleDBVolume &lt;&gt; "Yes",1,0)</formula>
    </cfRule>
  </conditionalFormatting>
  <dataValidations count="34">
    <dataValidation type="list" allowBlank="1" showInputMessage="1" showErrorMessage="1" sqref="F57 C76 C57 F76">
      <formula1>varUserProfile</formula1>
    </dataValidation>
    <dataValidation type="list" allowBlank="1" showInputMessage="1" showErrorMessage="1" sqref="C107:C110 F68:F69 C68:C69 C87:C88 C23:C25 F38 F30 C38 F87:F88 F25:F26 F22 F40">
      <formula1>varYNQuestion</formula1>
    </dataValidation>
    <dataValidation type="list" allowBlank="1" showInputMessage="1" showErrorMessage="1" sqref="F91 F24">
      <formula1>varHours</formula1>
    </dataValidation>
    <dataValidation type="decimal" operator="greaterThanOrEqual" allowBlank="1" showInputMessage="1" showErrorMessage="1" errorTitle="Input Error" error="The number entered must be greater than or equal to zero." sqref="F129 F75 C89 F89 F70 C56 C70 F56 C75 C145:C168 F145 C36:C37 C39 C44:C45">
      <formula1>0</formula1>
    </dataValidation>
    <dataValidation type="list" allowBlank="1" showInputMessage="1" showErrorMessage="1" sqref="C131:C134">
      <formula1>varNumCores</formula1>
    </dataValidation>
    <dataValidation operator="greaterThanOrEqual" allowBlank="1" showInputMessage="1" showErrorMessage="1" errorTitle="Input Error" error="The number entered must be greater than or equal to zero." sqref="F130 F132:F136"/>
    <dataValidation type="list" allowBlank="1" showInputMessage="1" showErrorMessage="1" sqref="F144">
      <formula1>varNetLinkType</formula1>
    </dataValidation>
    <dataValidation type="list" allowBlank="1" showInputMessage="1" showErrorMessage="1" sqref="D121:D125 D115:D118">
      <formula1>varDiskType</formula1>
    </dataValidation>
    <dataValidation type="list" allowBlank="1" showInputMessage="1" showErrorMessage="1" sqref="C121:C125 C115:C118">
      <formula1>varDiskSize</formula1>
    </dataValidation>
    <dataValidation type="list" allowBlank="1" showInputMessage="1" showErrorMessage="1" sqref="C82:C83 C63:C64 F63:F64 C40 F82:F83">
      <formula1>varEnabledQuestion</formula1>
    </dataValidation>
    <dataValidation type="whole" operator="greaterThanOrEqual" allowBlank="1" showInputMessage="1" showErrorMessage="1" errorTitle="Input Error" error="The number entered must be greater than or equal to zero." sqref="C100 F55 C74 C55 F74 C60:C62 C58 F60:F62 F58 C79:C81 C77 F79:F81 F77">
      <formula1>0</formula1>
    </dataValidation>
    <dataValidation type="list" operator="greaterThan" allowBlank="1" showInputMessage="1" showErrorMessage="1" sqref="C90 C71 F71 F90">
      <formula1>varRWRatio</formula1>
    </dataValidation>
    <dataValidation type="list" allowBlank="1" showInputMessage="1" showErrorMessage="1" sqref="C97">
      <formula1>varBackupMethod</formula1>
    </dataValidation>
    <dataValidation type="list" allowBlank="1" showInputMessage="1" showErrorMessage="1" sqref="C98">
      <formula1>varBackupFreq</formula1>
    </dataValidation>
    <dataValidation type="whole" operator="greaterThanOrEqual" allowBlank="1" showInputMessage="1" showErrorMessage="1" errorTitle="Input Error" error="You must enter a value of 1 or greater for the backup / truncation failure tolerance field." sqref="C99">
      <formula1>1</formula1>
    </dataValidation>
    <dataValidation type="list" allowBlank="1" showInputMessage="1" showErrorMessage="1" sqref="F23">
      <formula1>varSRModel</formula1>
    </dataValidation>
    <dataValidation type="whole" allowBlank="1" showInputMessage="1" showErrorMessage="1" errorTitle="Server Count" error="Choose a number between 1 and 16." sqref="C26">
      <formula1>1</formula1>
      <formula2>16</formula2>
    </dataValidation>
    <dataValidation type="list" allowBlank="1" showInputMessage="1" showErrorMessage="1" sqref="C22">
      <formula1>varServerArch</formula1>
    </dataValidation>
    <dataValidation type="decimal" operator="greaterThanOrEqual" allowBlank="1" showInputMessage="1" showErrorMessage="1" sqref="D131:D136">
      <formula1>0</formula1>
    </dataValidation>
    <dataValidation type="list" allowBlank="1" showInputMessage="1" showErrorMessage="1" sqref="F36 N42:N45">
      <formula1>varDefault</formula1>
    </dataValidation>
    <dataValidation type="list" allowBlank="1" showInputMessage="1" showErrorMessage="1" sqref="C30">
      <formula1>varNumDBCopyIn</formula1>
    </dataValidation>
    <dataValidation type="list" allowBlank="1" showInputMessage="1" showErrorMessage="1" sqref="C31">
      <formula1>varNumLaggedDBCopyIn</formula1>
    </dataValidation>
    <dataValidation type="list" showInputMessage="1" showErrorMessage="1" sqref="C32">
      <formula1>varNumDBCopyInSDC</formula1>
    </dataValidation>
    <dataValidation type="decimal" operator="greaterThanOrEqual" allowBlank="1" showInputMessage="1" showErrorMessage="1" errorTitle="Input Error" error="The number entered must be greater than or equal to 1." sqref="C66:C67 F66:F67 F85:F86 C85:C86">
      <formula1>1</formula1>
    </dataValidation>
    <dataValidation type="whole" allowBlank="1" showInputMessage="1" showErrorMessage="1" errorTitle="Lag Time Error" error="Supported lag times are between 0 seconds and 336 hours (14 days)." sqref="C42 F31:F32">
      <formula1>0</formula1>
      <formula2>336</formula2>
    </dataValidation>
    <dataValidation type="list" allowBlank="1" showInputMessage="1" showErrorMessage="1" sqref="C33">
      <formula1>varNumLaggedDBCopyInSDC</formula1>
    </dataValidation>
    <dataValidation type="whole" operator="greaterThanOrEqual" allowBlank="1" showInputMessage="1" showErrorMessage="1" sqref="C27">
      <formula1>1</formula1>
    </dataValidation>
    <dataValidation type="whole" showInputMessage="1" showErrorMessage="1" errorTitle="Number of Failure Domains" error="The number must be greater than or equal to 1 and less than or equal to half the number of mailbox servers in the site." sqref="C194">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21 C195:C196">
      <formula1>1</formula1>
      <formula2>NumDAGServersSDC / 2 +1</formula2>
    </dataValidation>
    <dataValidation showInputMessage="1" showErrorMessage="1" sqref="F175 C193"/>
    <dataValidation type="whole" allowBlank="1" showInputMessage="1" showErrorMessage="1" errorTitle="Input Error" error="You must enter a value of 1 or greater for the backup / truncation failure tolerance field." sqref="C111">
      <formula1>1</formula1>
      <formula2>100</formula2>
    </dataValidation>
    <dataValidation type="decimal" operator="greaterThan" showInputMessage="1" showErrorMessage="1" sqref="F37">
      <formula1>0</formula1>
    </dataValidation>
    <dataValidation type="list" allowBlank="1" showInputMessage="1" showErrorMessage="1" sqref="C52">
      <formula1>varWorkWeek</formula1>
    </dataValidation>
    <dataValidation type="list" showInputMessage="1" showErrorMessage="1" sqref="C112">
      <formula1>TblAutoReseedVolumes</formula1>
    </dataValidation>
  </dataValidations>
  <pageMargins left="0.75" right="0.75" top="1" bottom="1" header="0.5" footer="0.5"/>
  <pageSetup scale="19" orientation="portrait" horizontalDpi="4294967293" r:id="rId1"/>
  <headerFooter alignWithMargins="0"/>
  <ignoredErrors>
    <ignoredError sqref="B176:B190" calculatedColumn="1"/>
  </ignoredErrors>
  <legacyDrawing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16"/>
  <sheetViews>
    <sheetView showGridLines="0" showRowColHeaders="0" topLeftCell="B1" zoomScale="85" zoomScaleNormal="85" workbookViewId="0">
      <selection activeCell="B1" sqref="B1:I1"/>
    </sheetView>
  </sheetViews>
  <sheetFormatPr defaultColWidth="9.140625" defaultRowHeight="15" outlineLevelRow="1" x14ac:dyDescent="0.2"/>
  <cols>
    <col min="1" max="1" width="3.42578125" style="3" customWidth="1"/>
    <col min="2" max="2" width="77.5703125" style="3" customWidth="1"/>
    <col min="3" max="3" width="25.7109375" style="3" customWidth="1"/>
    <col min="4" max="4" width="28.42578125" style="3" bestFit="1" customWidth="1"/>
    <col min="5" max="5" width="25.85546875" style="3" bestFit="1" customWidth="1"/>
    <col min="6" max="6" width="17.28515625" style="3" bestFit="1" customWidth="1"/>
    <col min="7" max="7" width="17.28515625" style="3" customWidth="1"/>
    <col min="8" max="8" width="49" style="3" customWidth="1"/>
    <col min="9" max="9" width="11.5703125" style="3" customWidth="1"/>
    <col min="10" max="10" width="19.85546875" style="3" bestFit="1" customWidth="1"/>
    <col min="11" max="11" width="16.85546875" style="3" customWidth="1"/>
    <col min="12" max="12" width="9.85546875" style="3" customWidth="1"/>
    <col min="13" max="16384" width="9.140625" style="3"/>
  </cols>
  <sheetData>
    <row r="1" spans="1:10" x14ac:dyDescent="0.2">
      <c r="B1" s="1145" t="s">
        <v>270</v>
      </c>
      <c r="C1" s="1146"/>
      <c r="D1" s="1146"/>
      <c r="E1" s="1146"/>
      <c r="F1" s="1146"/>
      <c r="G1" s="1146"/>
      <c r="H1" s="1146"/>
      <c r="I1" s="1147"/>
    </row>
    <row r="2" spans="1:10" ht="15" customHeight="1" x14ac:dyDescent="0.2">
      <c r="B2" s="1148" t="s">
        <v>271</v>
      </c>
      <c r="C2" s="1149"/>
      <c r="D2" s="1149"/>
      <c r="E2" s="1149"/>
      <c r="F2" s="1149"/>
      <c r="G2" s="1149"/>
      <c r="H2" s="1149"/>
      <c r="I2" s="1150"/>
    </row>
    <row r="3" spans="1:10" ht="15" customHeight="1" x14ac:dyDescent="0.2">
      <c r="B3" s="1148" t="s">
        <v>631</v>
      </c>
      <c r="C3" s="1149"/>
      <c r="D3" s="1149"/>
      <c r="E3" s="1149"/>
      <c r="F3" s="1149"/>
      <c r="G3" s="1149"/>
      <c r="H3" s="1149"/>
      <c r="I3" s="1150"/>
    </row>
    <row r="4" spans="1:10" x14ac:dyDescent="0.2">
      <c r="B4" s="1148"/>
      <c r="C4" s="1149"/>
      <c r="D4" s="1149"/>
      <c r="E4" s="1149"/>
      <c r="F4" s="1149"/>
      <c r="G4" s="1149"/>
      <c r="H4" s="1149"/>
      <c r="I4" s="1150"/>
    </row>
    <row r="5" spans="1:10" ht="30.75" customHeight="1" x14ac:dyDescent="0.2">
      <c r="B5" s="1148" t="s">
        <v>687</v>
      </c>
      <c r="C5" s="1149"/>
      <c r="D5" s="1149"/>
      <c r="E5" s="1149"/>
      <c r="F5" s="1149"/>
      <c r="G5" s="1149"/>
      <c r="H5" s="1149"/>
      <c r="I5" s="1150"/>
    </row>
    <row r="6" spans="1:10" x14ac:dyDescent="0.2">
      <c r="B6" s="16"/>
      <c r="C6" s="13"/>
      <c r="D6" s="13"/>
      <c r="E6" s="13"/>
      <c r="F6" s="13"/>
      <c r="G6" s="13"/>
      <c r="H6" s="13"/>
      <c r="I6" s="17"/>
    </row>
    <row r="7" spans="1:10" x14ac:dyDescent="0.2">
      <c r="B7" s="196" t="s">
        <v>488</v>
      </c>
      <c r="C7" s="195"/>
      <c r="D7" s="195"/>
      <c r="E7" s="195"/>
      <c r="F7" s="195"/>
      <c r="G7" s="195"/>
      <c r="H7" s="195"/>
      <c r="I7" s="197"/>
    </row>
    <row r="8" spans="1:10" ht="15" hidden="1" customHeight="1" outlineLevel="1" x14ac:dyDescent="0.2">
      <c r="B8" s="15"/>
      <c r="C8" s="5"/>
      <c r="D8" s="5"/>
      <c r="E8" s="5"/>
      <c r="F8" s="5"/>
      <c r="G8" s="5"/>
      <c r="H8" s="5"/>
      <c r="I8" s="4"/>
    </row>
    <row r="9" spans="1:10" ht="15" hidden="1" customHeight="1" outlineLevel="1" x14ac:dyDescent="0.2">
      <c r="B9" s="198" t="s">
        <v>110</v>
      </c>
      <c r="C9" s="193" t="s">
        <v>249</v>
      </c>
      <c r="D9" s="643"/>
      <c r="E9" s="5"/>
      <c r="F9" s="5"/>
      <c r="G9" s="5"/>
      <c r="H9" s="172" t="s">
        <v>111</v>
      </c>
      <c r="I9" s="199" t="s">
        <v>249</v>
      </c>
    </row>
    <row r="10" spans="1:10" ht="15" hidden="1" customHeight="1" outlineLevel="1" x14ac:dyDescent="0.2">
      <c r="B10" s="23" t="s">
        <v>206</v>
      </c>
      <c r="C10" s="190">
        <f>NumTier1MBX+(NumTier1MBX*Tier1NumGrowth)</f>
        <v>45000</v>
      </c>
      <c r="D10" s="643"/>
      <c r="E10" s="5"/>
      <c r="F10" s="5"/>
      <c r="G10" s="5"/>
      <c r="H10" s="25" t="s">
        <v>208</v>
      </c>
      <c r="I10" s="188">
        <f>NumTier2MBX+(NumTier2MBX*Tier2NumGrowth)</f>
        <v>0</v>
      </c>
    </row>
    <row r="11" spans="1:10" ht="15" hidden="1" customHeight="1" outlineLevel="1" x14ac:dyDescent="0.2">
      <c r="B11" s="23" t="s">
        <v>17</v>
      </c>
      <c r="C11" s="190">
        <f>IF(calcTier1MBX&lt;&gt;0,VLOOKUP(Tier1SendReceive,TblSendReceive,3,FALSE),"--")</f>
        <v>200</v>
      </c>
      <c r="D11" s="643"/>
      <c r="E11" s="5"/>
      <c r="F11" s="5"/>
      <c r="G11" s="5"/>
      <c r="H11" s="25" t="s">
        <v>17</v>
      </c>
      <c r="I11" s="188">
        <f>IF(calcTier2MBX&lt;&gt;0,VLOOKUP(Tier2SendReceive,TblSendReceive,3,FALSE),0)</f>
        <v>0</v>
      </c>
    </row>
    <row r="12" spans="1:10" ht="15" hidden="1" customHeight="1" outlineLevel="1" x14ac:dyDescent="0.2">
      <c r="A12" s="17"/>
      <c r="B12" s="628" t="s">
        <v>1282</v>
      </c>
      <c r="C12" s="835">
        <f>IF(Tier1IOFactor&lt;&gt;1,((calcTier1MBX*Tier1UserMFPercentage*Tier1IOFactor*IF(Tier1PredictIOPS="Yes",Tier1BaseIOPS,Tier1IOPS))+((calcTier1MBX-(calcTier1MBX*Tier1UserMFPercentage))*IF(Tier1PredictIOPS="Yes",Tier1BaseIOPS,Tier1IOPS)))/calcTier1MBX/IF(Tier1PredictIOPS="Yes",Tier1BaseIOPS,Tier1IOPS),1)</f>
        <v>1</v>
      </c>
      <c r="D12" s="643"/>
      <c r="E12" s="5"/>
      <c r="F12" s="5"/>
      <c r="G12" s="5"/>
      <c r="H12" s="628" t="s">
        <v>1282</v>
      </c>
      <c r="I12" s="836">
        <f>IF(Tier2IOFactor&lt;&gt;1,((calcTier2MBX*Tier2UserMFPercentage*Tier2IOFactor*IF(Tier2PredictIOPS="Yes",Tier2BaseIOPS,Tier2IOPS))+((calcTier2MBX-(calcTier2MBX*Tier2UserMFPercentage))*IF(Tier2PredictIOPS="Yes",Tier2BaseIOPS,Tier2IOPS)))/calcTier2MBX/IF(Tier2PredictIOPS="Yes",Tier2BaseIOPS,Tier2IOPS),1)</f>
        <v>1</v>
      </c>
    </row>
    <row r="13" spans="1:10" ht="15" hidden="1" customHeight="1" outlineLevel="1" x14ac:dyDescent="0.2">
      <c r="A13" s="17"/>
      <c r="B13" s="628" t="s">
        <v>1283</v>
      </c>
      <c r="C13" s="191">
        <f>IF(Tier1MCFactor&lt;&gt;1,((calcTier1MBX*Tier1UserMFPercentage*Tier1MCFactor*VLOOKUP(Tier1SendReceive,TblSendReceive,5,FALSE))+((calcTier1MBX-(calcTier1MBX*Tier1UserMFPercentage))*VLOOKUP(Tier1SendReceive,TblSendReceive,5,FALSE)))/calcTier1MBX/VLOOKUP(Tier1SendReceive,TblSendReceive,5,FALSE),1)</f>
        <v>1</v>
      </c>
      <c r="D13" s="643"/>
      <c r="E13" s="5"/>
      <c r="F13" s="5"/>
      <c r="G13" s="5"/>
      <c r="H13" s="628" t="s">
        <v>1283</v>
      </c>
      <c r="I13" s="837">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10" ht="15" hidden="1" customHeight="1" outlineLevel="1" x14ac:dyDescent="0.2">
      <c r="A14" s="17"/>
      <c r="B14" s="25" t="s">
        <v>642</v>
      </c>
      <c r="C14" s="844">
        <f>IF(calcTier1MBX&lt;&gt;0,Tier1MessageProfile*0.0425*calcTier1MCFactor,0)</f>
        <v>8.5</v>
      </c>
      <c r="D14" s="643"/>
      <c r="E14" s="5"/>
      <c r="F14" s="5"/>
      <c r="G14" s="5"/>
      <c r="H14" s="25" t="s">
        <v>642</v>
      </c>
      <c r="I14" s="845">
        <f>IF(calcTier2MBX&lt;&gt;0,Tier2MessageProfile*0.0425*calcTier2MCFactor,0)</f>
        <v>0</v>
      </c>
    </row>
    <row r="15" spans="1:10" ht="15" hidden="1" customHeight="1" outlineLevel="1" x14ac:dyDescent="0.2">
      <c r="B15" s="846" t="s">
        <v>1286</v>
      </c>
      <c r="C15" s="844">
        <f>IF(calcTier1MBX&lt;&gt;0,Tier1MessageProfile*0.0137*calcTier1MCFactor,0)</f>
        <v>2.74</v>
      </c>
      <c r="D15" s="643"/>
      <c r="E15" s="5"/>
      <c r="F15" s="5"/>
      <c r="G15" s="5"/>
      <c r="H15" s="848" t="s">
        <v>1286</v>
      </c>
      <c r="I15" s="845">
        <f>IF(calcTier2MBX&lt;&gt;0,Tier2MessageProfile*0.0137*calcTier2MCFactor,0)</f>
        <v>0</v>
      </c>
    </row>
    <row r="16" spans="1:10" ht="15" hidden="1" customHeight="1" outlineLevel="1" x14ac:dyDescent="0.2">
      <c r="B16" s="846" t="s">
        <v>1298</v>
      </c>
      <c r="C16" s="850">
        <f>IF(calcTier1MBX&lt;&gt;0,Tier1ActiveMegacycles*varCASRatio,0)</f>
        <v>3.1875</v>
      </c>
      <c r="D16" s="643"/>
      <c r="E16" s="5"/>
      <c r="F16" s="5"/>
      <c r="G16" s="5"/>
      <c r="H16" s="848" t="s">
        <v>1298</v>
      </c>
      <c r="I16" s="851">
        <f>IF(calcTier2MBX&lt;&gt;0,Tier2ActiveMegacycles*varCASRatio,0)</f>
        <v>0</v>
      </c>
      <c r="J16" s="13"/>
    </row>
    <row r="17" spans="1:10" ht="15" hidden="1" customHeight="1" outlineLevel="1" x14ac:dyDescent="0.2">
      <c r="B17" s="846" t="s">
        <v>442</v>
      </c>
      <c r="C17" s="847">
        <f>IF(calcTier1MBX&lt;&gt;0,VLOOKUP(Tier1SendReceive,TblSendReceive,2,FALSE),0)</f>
        <v>12</v>
      </c>
      <c r="D17" s="643"/>
      <c r="E17" s="5"/>
      <c r="F17" s="5"/>
      <c r="G17" s="5"/>
      <c r="H17" s="849" t="s">
        <v>442</v>
      </c>
      <c r="I17" s="851">
        <f>IF(calcTier2MBX&lt;&gt;0,VLOOKUP(Tier2SendReceive,TblSendReceive,2,FALSE),0)</f>
        <v>0</v>
      </c>
    </row>
    <row r="18" spans="1:10" ht="15" hidden="1" customHeight="1" outlineLevel="1" x14ac:dyDescent="0.2">
      <c r="B18" s="846" t="s">
        <v>72</v>
      </c>
      <c r="C18" s="847">
        <f>IF(calcTier1MBX&lt;&gt;0,VLOOKUP(Tier1SendReceive,TblSendReceive,4,FALSE)*MROUND(Tier1AvgMessageSize/78.9473684210526,0.1),0)</f>
        <v>40</v>
      </c>
      <c r="D18" s="643"/>
      <c r="E18" s="5"/>
      <c r="F18" s="5"/>
      <c r="G18" s="5"/>
      <c r="H18" s="849" t="s">
        <v>72</v>
      </c>
      <c r="I18" s="851">
        <f>IF(calcTier2MBX&lt;&gt;0,VLOOKUP(Tier2SendReceive,TblSendReceive,4,FALSE)*MROUND(Tier2AvgMessageSize/78.9473684210526,0.1),0)</f>
        <v>0</v>
      </c>
    </row>
    <row r="19" spans="1:10" ht="15" hidden="1" customHeight="1" outlineLevel="1" x14ac:dyDescent="0.2">
      <c r="A19" s="17"/>
      <c r="B19" s="1063" t="s">
        <v>1824</v>
      </c>
      <c r="C19" s="518">
        <f>IF(calcTier1MBX&lt;&gt;0,Tier1InitialMBXSize,0)</f>
        <v>2048</v>
      </c>
      <c r="D19" s="643"/>
      <c r="E19" s="25"/>
      <c r="F19" s="25"/>
      <c r="G19" s="25"/>
      <c r="H19" s="1063" t="s">
        <v>1824</v>
      </c>
      <c r="I19" s="1083">
        <f>IF(calcTier2MBX&lt;&gt;0,Tier2InitialMBXSize,0)</f>
        <v>0</v>
      </c>
    </row>
    <row r="20" spans="1:10" ht="15" hidden="1" customHeight="1" outlineLevel="1" x14ac:dyDescent="0.2">
      <c r="A20" s="17"/>
      <c r="B20" s="1025" t="s">
        <v>456</v>
      </c>
      <c r="C20" s="192">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649.80656249999993</v>
      </c>
      <c r="D20" s="643"/>
      <c r="E20" s="5"/>
      <c r="F20" s="5"/>
      <c r="G20" s="5"/>
      <c r="H20" s="25" t="s">
        <v>456</v>
      </c>
      <c r="I20" s="1083">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2">
      <c r="A21" s="17"/>
      <c r="B21" s="23" t="s">
        <v>455</v>
      </c>
      <c r="C21" s="192">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328"/>
      <c r="E21" s="5"/>
      <c r="F21" s="5"/>
      <c r="G21" s="5"/>
      <c r="H21" s="25" t="s">
        <v>455</v>
      </c>
      <c r="I21" s="1083">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2">
      <c r="A22" s="17"/>
      <c r="B22" s="23" t="s">
        <v>369</v>
      </c>
      <c r="C22" s="192">
        <f>ROUNDUP(IF(calcTier1MBX&lt;&gt;0,Tier1MBXLimit+Tier1DumpsterSize+Tier1ArchiveMBXLimit+Tier1ArchiveDumpsterSize),0)</f>
        <v>10890</v>
      </c>
      <c r="D22" s="328"/>
      <c r="E22" s="5"/>
      <c r="F22" s="5"/>
      <c r="G22" s="5"/>
      <c r="H22" s="25" t="s">
        <v>369</v>
      </c>
      <c r="I22" s="1083">
        <f>ROUNDUP(IF(calcTier2MBX&lt;&gt;0,Tier2MBXLimit+Tier2DumpsterSize+Tier2ArchiveMBXLimit+Tier2ArchiveDumpsterSize),0)</f>
        <v>0</v>
      </c>
    </row>
    <row r="23" spans="1:10" ht="15" hidden="1" customHeight="1" outlineLevel="1" x14ac:dyDescent="0.2">
      <c r="A23" s="17"/>
      <c r="B23" s="23" t="s">
        <v>351</v>
      </c>
      <c r="C23" s="192">
        <f>IF(calcTier1MBX&lt;&gt;0,IF(Tier1PredictIOPS="Yes",Tier1MessageProfile*0.001*0.67,0),0)</f>
        <v>0.13400000000000001</v>
      </c>
      <c r="D23" s="328"/>
      <c r="E23" s="5"/>
      <c r="F23" s="5"/>
      <c r="G23" s="5"/>
      <c r="H23" s="25" t="s">
        <v>351</v>
      </c>
      <c r="I23" s="1083">
        <f>IF(calcTier2MBX&lt;&gt;0,IF(Tier2PredictIOPS="Yes",Tier2MessageProfile*0.001*0.67,0),0)</f>
        <v>0</v>
      </c>
    </row>
    <row r="24" spans="1:10" ht="15" hidden="1" customHeight="1" outlineLevel="1" x14ac:dyDescent="0.2">
      <c r="A24" s="17"/>
      <c r="B24" s="25" t="s">
        <v>352</v>
      </c>
      <c r="C24" s="1026">
        <f>Tier1BaseIOPS*calcTier1RWRatio</f>
        <v>8.0399999999999999E-2</v>
      </c>
      <c r="D24" s="328"/>
      <c r="E24" s="5"/>
      <c r="F24" s="5"/>
      <c r="G24" s="5"/>
      <c r="H24" s="25" t="s">
        <v>352</v>
      </c>
      <c r="I24" s="1083">
        <f>Tier2BaseIOPS*calcTier2RWRatio</f>
        <v>0</v>
      </c>
    </row>
    <row r="25" spans="1:10" ht="15" hidden="1" customHeight="1" outlineLevel="1" x14ac:dyDescent="0.2">
      <c r="A25" s="17"/>
      <c r="B25" s="25" t="s">
        <v>353</v>
      </c>
      <c r="C25" s="192">
        <f>Tier1BaseIOPS*(1-calcTier1RWRatio)</f>
        <v>5.3600000000000009E-2</v>
      </c>
      <c r="D25" s="328"/>
      <c r="E25" s="5"/>
      <c r="F25" s="5"/>
      <c r="G25" s="5"/>
      <c r="H25" s="25" t="s">
        <v>353</v>
      </c>
      <c r="I25" s="1083">
        <f>Tier2BaseIOPS*(1-calcTier2RWRatio)</f>
        <v>0</v>
      </c>
    </row>
    <row r="26" spans="1:10" ht="15" hidden="1" customHeight="1" outlineLevel="1" x14ac:dyDescent="0.2">
      <c r="A26" s="17"/>
      <c r="B26" s="25" t="s">
        <v>294</v>
      </c>
      <c r="C26" s="192">
        <f>IF(AND(Tier1DesktopSearch="Yes",Tier1MBXSize&gt;=128),MROUND(Tier1MBXSize/170.666666,0.5),1)</f>
        <v>1</v>
      </c>
      <c r="D26" s="328"/>
      <c r="E26" s="5"/>
      <c r="F26" s="5"/>
      <c r="G26" s="5"/>
      <c r="H26" s="25" t="s">
        <v>294</v>
      </c>
      <c r="I26" s="1083">
        <f>IF(AND(Tier2DesktopSearch="Yes",Tier2MBXSize&gt;=128),MROUND(Tier2MBXSize/170.666666,0.5),1)</f>
        <v>1</v>
      </c>
      <c r="J26" s="29"/>
    </row>
    <row r="27" spans="1:10" ht="15" hidden="1" customHeight="1" outlineLevel="1" x14ac:dyDescent="0.2">
      <c r="A27" s="17"/>
      <c r="B27" s="25" t="s">
        <v>354</v>
      </c>
      <c r="C27" s="192">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8.0399999999999999E-2</v>
      </c>
      <c r="D27" s="328"/>
      <c r="E27" s="5"/>
      <c r="F27" s="5"/>
      <c r="G27" s="5"/>
      <c r="H27" s="25" t="s">
        <v>354</v>
      </c>
      <c r="I27" s="1083">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29"/>
    </row>
    <row r="28" spans="1:10" ht="15" hidden="1" customHeight="1" outlineLevel="1" x14ac:dyDescent="0.2">
      <c r="A28" s="17"/>
      <c r="B28" s="23" t="s">
        <v>355</v>
      </c>
      <c r="C28" s="192">
        <f>IF(calcTier1MBX&lt;&gt;0,IF(Tier1PredictIOPS="Yes",Tier1BaseDBWrites*IF(Tier1IOFactor=1,1,calcTier1IOFactor),),0)</f>
        <v>5.3600000000000009E-2</v>
      </c>
      <c r="D28" s="328"/>
      <c r="E28" s="5"/>
      <c r="F28" s="5"/>
      <c r="G28" s="5"/>
      <c r="H28" s="25" t="s">
        <v>355</v>
      </c>
      <c r="I28" s="1083">
        <f>IF(calcTier2MBX&lt;&gt;0,IF(Tier2PredictIOPS="Yes",Tier2BaseDBWrites*IF(Tier2IOFactor=1,1,calcTier2IOFactor),0),0)</f>
        <v>0</v>
      </c>
      <c r="J28" s="29"/>
    </row>
    <row r="29" spans="1:10" s="642" customFormat="1" ht="15" hidden="1" customHeight="1" outlineLevel="1" x14ac:dyDescent="0.2">
      <c r="B29" s="23" t="s">
        <v>141</v>
      </c>
      <c r="C29" s="192">
        <f>IF(calcTier1MBX&lt;&gt;0,IF(Tier1PredictIOPS="Yes",IF(HAOption="Yes",IF(Tier1MessageProfile&lt;=250,0.6,0.5),IF(Tier1MessageProfile&lt;=250,0.5,0.4)),VLOOKUP(Tier1RWRatio,tblRWRatio,2,FALSE)),0)</f>
        <v>0.6</v>
      </c>
      <c r="D29" s="328"/>
      <c r="E29" s="831"/>
      <c r="F29" s="831"/>
      <c r="G29" s="831"/>
      <c r="H29" s="25" t="s">
        <v>141</v>
      </c>
      <c r="I29" s="1083">
        <f>IF(calcTier2MBX&lt;&gt;0,IF(Tier2PredictIOPS="Yes",IF(HAOption="Yes",IF(Tier2MessageProfile&lt;=250,0.6,0.5),IF(Tier2MessageProfile&lt;=250,0.5,0.4)),VLOOKUP(Tier2RWRatio,tblRWRatio,2,FALSE)),0)</f>
        <v>0</v>
      </c>
      <c r="J29" s="29"/>
    </row>
    <row r="30" spans="1:10" s="642" customFormat="1" ht="15" hidden="1" customHeight="1" outlineLevel="1" x14ac:dyDescent="0.2">
      <c r="B30" s="23" t="s">
        <v>16</v>
      </c>
      <c r="C30" s="192">
        <f>IF(calcTier1MBX&lt;&gt;0,IF(Tier1PredictIOPS="Yes",(calcTier1DBReads+calcTier1DBWrites),(Tier1IOPS*IF(Tier1IOFactor=0,1,calcTier1IOFactor))),0)</f>
        <v>0.13400000000000001</v>
      </c>
      <c r="D30" s="328"/>
      <c r="E30" s="831"/>
      <c r="F30" s="831"/>
      <c r="G30" s="831"/>
      <c r="H30" s="25" t="s">
        <v>16</v>
      </c>
      <c r="I30" s="1083">
        <f>IF(calcTier2MBX&lt;&gt;0,IF(Tier2PredictIOPS="Yes",(calcTier2DBReads+calcTier2DBWrites),(Tier2IOPS*IF(Tier2IOFactor=0,1,calcTier2IOFactor))),0)</f>
        <v>0</v>
      </c>
      <c r="J30" s="29"/>
    </row>
    <row r="31" spans="1:10" s="642" customFormat="1" ht="15" hidden="1" customHeight="1" outlineLevel="1" x14ac:dyDescent="0.2">
      <c r="B31" s="23" t="s">
        <v>143</v>
      </c>
      <c r="C31" s="192">
        <f>IF(HAOption="Yes",calcTier1MBX/calcNumDAGs*TotTier1IOPS,calcTier1MBX/numMBXServers*TotTier1IOPS)</f>
        <v>603</v>
      </c>
      <c r="D31" s="328"/>
      <c r="E31" s="832"/>
      <c r="F31" s="832"/>
      <c r="G31" s="832"/>
      <c r="H31" s="25" t="s">
        <v>143</v>
      </c>
      <c r="I31" s="1083">
        <f>IF(HAOption="Yes",calcTier2MBX/calcNumDAGs*TotTier2IOPS,calcTier2MBX/numMBXServers*TotTier2IOPS)</f>
        <v>0</v>
      </c>
      <c r="J31" s="29"/>
    </row>
    <row r="32" spans="1:10" s="642" customFormat="1" ht="15" hidden="1" customHeight="1" outlineLevel="1" x14ac:dyDescent="0.2">
      <c r="B32" s="23" t="s">
        <v>0</v>
      </c>
      <c r="C32" s="192">
        <f>Tier1DBTransfers*calcTier1RWRatio</f>
        <v>361.8</v>
      </c>
      <c r="D32" s="328"/>
      <c r="E32" s="857"/>
      <c r="F32" s="857"/>
      <c r="G32" s="857"/>
      <c r="H32" s="25" t="s">
        <v>0</v>
      </c>
      <c r="I32" s="1083">
        <f>Tier2DBTransfers*calcTier2RWRatio</f>
        <v>0</v>
      </c>
      <c r="J32" s="29"/>
    </row>
    <row r="33" spans="1:10" s="642" customFormat="1" ht="15" hidden="1" customHeight="1" outlineLevel="1" x14ac:dyDescent="0.2">
      <c r="B33" s="23" t="s">
        <v>1</v>
      </c>
      <c r="C33" s="192">
        <f>Tier1DBTransfers*(1-calcTier1RWRatio)</f>
        <v>241.20000000000002</v>
      </c>
      <c r="D33" s="328"/>
      <c r="E33" s="987"/>
      <c r="F33" s="987"/>
      <c r="G33" s="987"/>
      <c r="H33" s="25" t="s">
        <v>1</v>
      </c>
      <c r="I33" s="188">
        <f>Tier2DBTransfers*(1-calcTier2RWRatio)</f>
        <v>0</v>
      </c>
      <c r="J33" s="29"/>
    </row>
    <row r="34" spans="1:10" ht="15" hidden="1" customHeight="1" outlineLevel="1" x14ac:dyDescent="0.2">
      <c r="B34" s="16"/>
      <c r="D34" s="328"/>
      <c r="E34" s="5"/>
      <c r="F34" s="5"/>
      <c r="G34" s="5"/>
      <c r="I34" s="17"/>
      <c r="J34" s="13"/>
    </row>
    <row r="35" spans="1:10" ht="15" hidden="1" customHeight="1" outlineLevel="1" x14ac:dyDescent="0.2">
      <c r="B35" s="198" t="s">
        <v>109</v>
      </c>
      <c r="C35" s="193" t="s">
        <v>249</v>
      </c>
      <c r="D35" s="328"/>
      <c r="E35" s="5"/>
      <c r="F35" s="5"/>
      <c r="G35" s="5"/>
      <c r="H35" s="172" t="s">
        <v>624</v>
      </c>
      <c r="I35" s="199" t="s">
        <v>249</v>
      </c>
    </row>
    <row r="36" spans="1:10" ht="15" hidden="1" customHeight="1" outlineLevel="1" x14ac:dyDescent="0.2">
      <c r="B36" s="23" t="s">
        <v>207</v>
      </c>
      <c r="C36" s="190">
        <f>NumTier3MBX+(NumTier3MBX*Tier3NumGrowth)</f>
        <v>0</v>
      </c>
      <c r="D36" s="328"/>
      <c r="E36" s="5"/>
      <c r="F36" s="5"/>
      <c r="G36" s="5"/>
      <c r="H36" s="25" t="s">
        <v>625</v>
      </c>
      <c r="I36" s="188">
        <f>NumTier4MBX+(NumTier4MBX*Tier4NumGrowth)</f>
        <v>0</v>
      </c>
    </row>
    <row r="37" spans="1:10" ht="15" hidden="1" customHeight="1" outlineLevel="1" x14ac:dyDescent="0.2">
      <c r="B37" s="23" t="s">
        <v>17</v>
      </c>
      <c r="C37" s="190">
        <f>IF(calcTier3MBX&lt;&gt;0,VLOOKUP(Tier3SendReceive,TblSendReceive,3,FALSE),0)</f>
        <v>0</v>
      </c>
      <c r="D37" s="328"/>
      <c r="E37" s="5"/>
      <c r="F37" s="5"/>
      <c r="G37" s="5"/>
      <c r="H37" s="25" t="s">
        <v>17</v>
      </c>
      <c r="I37" s="188">
        <f>IF(calcTier4MBX&lt;&gt;0,VLOOKUP(Tier4SendReceive,TblSendReceive,3,FALSE),0)</f>
        <v>0</v>
      </c>
    </row>
    <row r="38" spans="1:10" ht="15" hidden="1" customHeight="1" outlineLevel="1" x14ac:dyDescent="0.2">
      <c r="A38" s="17"/>
      <c r="B38" s="628" t="s">
        <v>1282</v>
      </c>
      <c r="C38" s="835">
        <f>IF(Tier3IOFactor&lt;&gt;1,((calcTier3MBX*Tier3UserMFPercentage*Tier3IOFactor*IF(Tier3PredictIOPS="Yes",Tier3BaseIOPS,Tier3IOPS))+((calcTier3MBX-(calcTier3MBX*Tier3UserMFPercentage))*IF(Tier3PredictIOPS="Yes",Tier3BaseIOPS,Tier3IOPS)))/calcTier3MBX/IF(Tier3PredictIOPS="Yes",Tier3BaseIOPS,Tier3IOPS),1)</f>
        <v>1</v>
      </c>
      <c r="D38" s="328"/>
      <c r="E38" s="5"/>
      <c r="F38" s="5"/>
      <c r="G38" s="5"/>
      <c r="H38" s="628" t="s">
        <v>1282</v>
      </c>
      <c r="I38" s="836">
        <f>IF(Tier4IOFactor&lt;&gt;1,((calcTier4MBX*Tier4UserMFPercentage*Tier4IOFactor*IF(Tier4PredictIOPS="Yes",Tier4BaseIOPS,Tier4IOPS))+((calcTier4MBX-(calcTier4MBX*Tier4UserMFPercentage))*IF(Tier4PredictIOPS="Yes",Tier4BaseIOPS,Tier4IOPS)))/calcTier4MBX/IF(Tier4PredictIOPS="Yes",Tier4BaseIOPS,Tier4IOPS),1)</f>
        <v>1</v>
      </c>
      <c r="J38" s="13"/>
    </row>
    <row r="39" spans="1:10" ht="15" hidden="1" customHeight="1" outlineLevel="1" x14ac:dyDescent="0.2">
      <c r="A39" s="17"/>
      <c r="B39" s="628" t="s">
        <v>1283</v>
      </c>
      <c r="C39" s="191">
        <f>IF(Tier3MCFactor&lt;&gt;1,((calcTier3MBX*Tier3UserMFPercentage*Tier3MCFactor*VLOOKUP(Tier3SendReceive,TblSendReceive,5,FALSE))+((calcTier3MBX-(calcTier3MBX*Tier3UserMFPercentage))*VLOOKUP(Tier3SendReceive,TblSendReceive,5,FALSE)))/calcTier3MBX/VLOOKUP(Tier3SendReceive,TblSendReceive,5,FALSE),1)</f>
        <v>1</v>
      </c>
      <c r="D39" s="328"/>
      <c r="E39" s="5"/>
      <c r="F39" s="5"/>
      <c r="G39" s="5"/>
      <c r="H39" s="628" t="s">
        <v>1283</v>
      </c>
      <c r="I39" s="837">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2">
      <c r="A40" s="17"/>
      <c r="B40" s="25" t="s">
        <v>642</v>
      </c>
      <c r="C40" s="844">
        <f>IF(calcTier3MBX&lt;&gt;0,Tier3MessageProfile*0.0425*calcTier3MCFactor,0)</f>
        <v>0</v>
      </c>
      <c r="D40" s="328"/>
      <c r="E40" s="5"/>
      <c r="F40" s="5"/>
      <c r="G40" s="5"/>
      <c r="H40" s="25" t="s">
        <v>642</v>
      </c>
      <c r="I40" s="845">
        <f>IF(calcTier4MBX&lt;&gt;0,Tier4MessageProfile*0.0425*calcTier4MCFactor,0)</f>
        <v>0</v>
      </c>
    </row>
    <row r="41" spans="1:10" ht="15" hidden="1" customHeight="1" outlineLevel="1" x14ac:dyDescent="0.2">
      <c r="B41" s="846" t="s">
        <v>1286</v>
      </c>
      <c r="C41" s="844">
        <f>IF(calcTier3MBX&lt;&gt;0,Tier3MessageProfile*0.0137*calcTier3MCFactor,0)</f>
        <v>0</v>
      </c>
      <c r="D41" s="328"/>
      <c r="E41" s="5"/>
      <c r="F41" s="5"/>
      <c r="G41" s="5"/>
      <c r="H41" s="848" t="s">
        <v>1286</v>
      </c>
      <c r="I41" s="845">
        <f>IF(calcTier4MBX&lt;&gt;0,Tier4MessageProfile*0.0137*calcTier4MCFactor,0)</f>
        <v>0</v>
      </c>
    </row>
    <row r="42" spans="1:10" ht="15" hidden="1" customHeight="1" outlineLevel="1" x14ac:dyDescent="0.2">
      <c r="B42" s="846" t="s">
        <v>1298</v>
      </c>
      <c r="C42" s="850">
        <f>IF(calcTier3MBX&lt;&gt;0,Tier3ActiveMegacycles*varCASRatio,0)</f>
        <v>0</v>
      </c>
      <c r="D42" s="328"/>
      <c r="E42" s="5"/>
      <c r="F42" s="5"/>
      <c r="G42" s="5"/>
      <c r="H42" s="848" t="s">
        <v>1298</v>
      </c>
      <c r="I42" s="850">
        <f>IF(calcTier4MBX&lt;&gt;0,Tier4ActiveMegacycles*varCASRatio,0)</f>
        <v>0</v>
      </c>
      <c r="J42" s="16"/>
    </row>
    <row r="43" spans="1:10" ht="15" hidden="1" customHeight="1" outlineLevel="1" x14ac:dyDescent="0.2">
      <c r="A43" s="421"/>
      <c r="B43" s="846" t="s">
        <v>442</v>
      </c>
      <c r="C43" s="847">
        <f>IF(calcTier3MBX&lt;&gt;0,VLOOKUP(Tier3SendReceive,TblSendReceive,2,FALSE),0)</f>
        <v>0</v>
      </c>
      <c r="D43" s="328"/>
      <c r="E43" s="5"/>
      <c r="F43" s="5"/>
      <c r="G43" s="5"/>
      <c r="H43" s="849" t="s">
        <v>442</v>
      </c>
      <c r="I43" s="851">
        <f>IF(calcTier4MBX&lt;&gt;0,VLOOKUP(Tier4SendReceive,TblSendReceive,2,FALSE),0)</f>
        <v>0</v>
      </c>
    </row>
    <row r="44" spans="1:10" ht="15" hidden="1" customHeight="1" outlineLevel="1" x14ac:dyDescent="0.2">
      <c r="B44" s="846" t="s">
        <v>72</v>
      </c>
      <c r="C44" s="847">
        <f>IF(calcTier3MBX&lt;&gt;0,VLOOKUP(Tier3SendReceive,TblSendReceive,4,FALSE)*MROUND(Tier3AvgMessageSize/78.9473684210526,0.1),0)</f>
        <v>0</v>
      </c>
      <c r="D44" s="328"/>
      <c r="E44" s="5"/>
      <c r="F44" s="5"/>
      <c r="G44" s="5"/>
      <c r="H44" s="849" t="s">
        <v>72</v>
      </c>
      <c r="I44" s="851">
        <f>IF(calcTier4MBX&lt;&gt;0,VLOOKUP(Tier4SendReceive,TblSendReceive,4,FALSE)*MROUND(Tier4AvgMessageSize/78.9473684210526,0.1),0)</f>
        <v>0</v>
      </c>
    </row>
    <row r="45" spans="1:10" ht="15" hidden="1" customHeight="1" outlineLevel="1" x14ac:dyDescent="0.2">
      <c r="B45" s="344" t="s">
        <v>1824</v>
      </c>
      <c r="C45" s="518">
        <f>IF(calcTier3MBX&lt;&gt;0,Tier3InitialMBXSize,0)</f>
        <v>0</v>
      </c>
      <c r="D45" s="328"/>
      <c r="E45" s="5"/>
      <c r="F45" s="5"/>
      <c r="G45" s="5"/>
      <c r="H45" s="1063" t="s">
        <v>1824</v>
      </c>
      <c r="I45" s="518">
        <f>IF(calcTier4MBX&lt;&gt;0,Tier4InitialMBXSize,0)</f>
        <v>0</v>
      </c>
      <c r="J45" s="16"/>
    </row>
    <row r="46" spans="1:10" ht="15" hidden="1" customHeight="1" outlineLevel="1" x14ac:dyDescent="0.2">
      <c r="A46" s="17"/>
      <c r="B46" s="1025" t="s">
        <v>456</v>
      </c>
      <c r="C46" s="192">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8"/>
      <c r="E46" s="18"/>
      <c r="F46" s="18"/>
      <c r="G46" s="18"/>
      <c r="H46" s="25" t="s">
        <v>456</v>
      </c>
      <c r="I46" s="1083">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c r="J46" s="13"/>
    </row>
    <row r="47" spans="1:10" ht="15" hidden="1" customHeight="1" outlineLevel="1" x14ac:dyDescent="0.2">
      <c r="A47" s="17"/>
      <c r="B47" s="23" t="s">
        <v>455</v>
      </c>
      <c r="C47" s="192">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8"/>
      <c r="E47" s="18"/>
      <c r="F47" s="18"/>
      <c r="G47" s="18"/>
      <c r="H47" s="25" t="s">
        <v>455</v>
      </c>
      <c r="I47" s="1083">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c r="J47" s="13"/>
    </row>
    <row r="48" spans="1:10" ht="15" hidden="1" customHeight="1" outlineLevel="1" x14ac:dyDescent="0.2">
      <c r="A48" s="17"/>
      <c r="B48" s="23" t="s">
        <v>369</v>
      </c>
      <c r="C48" s="192">
        <f>ROUNDUP(IF(calcTier3MBX&lt;&gt;0,Tier3MBXLimit+Tier3DumpsterSize+Tier3ArchiveMBXLimit+Tier3ArchiveDumpsterSize),0)</f>
        <v>0</v>
      </c>
      <c r="D48" s="18"/>
      <c r="E48" s="18"/>
      <c r="F48" s="18"/>
      <c r="G48" s="18"/>
      <c r="H48" s="25" t="s">
        <v>369</v>
      </c>
      <c r="I48" s="1083">
        <f>ROUNDUP(IF(calcTier4MBX&lt;&gt;0,Tier4MBXLimit+Tier4DumpsterSize+Tier4ArchiveMBXLimit+Tier4ArchiveDumpsterSize),0)</f>
        <v>0</v>
      </c>
      <c r="J48" s="13"/>
    </row>
    <row r="49" spans="1:10" ht="15" hidden="1" customHeight="1" outlineLevel="1" x14ac:dyDescent="0.2">
      <c r="A49" s="17"/>
      <c r="B49" s="23" t="s">
        <v>351</v>
      </c>
      <c r="C49" s="192">
        <f>IF(calcTier3MBX&lt;&gt;0,IF(Tier3PredictIOPS="Yes",Tier3MessageProfile*0.001*0.67,0),0)</f>
        <v>0</v>
      </c>
      <c r="D49" s="5"/>
      <c r="E49" s="5"/>
      <c r="F49" s="5"/>
      <c r="G49" s="5"/>
      <c r="H49" s="25" t="s">
        <v>351</v>
      </c>
      <c r="I49" s="1083">
        <f>IF(calcTier4MBX&lt;&gt;0,IF(Tier4PredictIOPS="Yes",Tier4MessageProfile*0.001*0.67,0),0)</f>
        <v>0</v>
      </c>
      <c r="J49" s="13"/>
    </row>
    <row r="50" spans="1:10" ht="15" hidden="1" customHeight="1" outlineLevel="1" x14ac:dyDescent="0.2">
      <c r="A50" s="17"/>
      <c r="B50" s="23" t="s">
        <v>352</v>
      </c>
      <c r="C50" s="1026">
        <f>Tier3BaseIOPS*calcTier3RWRatio</f>
        <v>0</v>
      </c>
      <c r="D50" s="5"/>
      <c r="E50" s="5"/>
      <c r="F50" s="5"/>
      <c r="G50" s="5"/>
      <c r="H50" s="25" t="s">
        <v>352</v>
      </c>
      <c r="I50" s="1083">
        <f>Tier4BaseIOPS*calcTier4RWRatio</f>
        <v>0</v>
      </c>
      <c r="J50" s="13"/>
    </row>
    <row r="51" spans="1:10" ht="15" hidden="1" customHeight="1" outlineLevel="1" x14ac:dyDescent="0.2">
      <c r="A51" s="17"/>
      <c r="B51" s="25" t="s">
        <v>353</v>
      </c>
      <c r="C51" s="192">
        <f>Tier3BaseIOPS*(1-calcTier3RWRatio)</f>
        <v>0</v>
      </c>
      <c r="D51" s="5"/>
      <c r="E51" s="5"/>
      <c r="F51" s="5"/>
      <c r="G51" s="5"/>
      <c r="H51" s="25" t="s">
        <v>353</v>
      </c>
      <c r="I51" s="1083">
        <f>Tier4BaseIOPS*(1-calcTier4RWRatio)</f>
        <v>0</v>
      </c>
    </row>
    <row r="52" spans="1:10" ht="15" hidden="1" customHeight="1" outlineLevel="1" x14ac:dyDescent="0.2">
      <c r="A52" s="17"/>
      <c r="B52" s="25" t="s">
        <v>294</v>
      </c>
      <c r="C52" s="192">
        <f>IF(AND(Tier3DesktopSearch="Yes",Tier3MBXSize&gt;=128),MROUND(Tier3MBXSize/170.666666,0.5),1)</f>
        <v>1</v>
      </c>
      <c r="D52" s="5"/>
      <c r="E52" s="5"/>
      <c r="F52" s="5"/>
      <c r="G52" s="5"/>
      <c r="H52" s="25" t="s">
        <v>294</v>
      </c>
      <c r="I52" s="1083">
        <f>IF(AND(Tier4DesktopSearch="Yes",Tier4MBXSize&gt;=128),MROUND(Tier4MBXSize/170.666666,0.5),1)</f>
        <v>1</v>
      </c>
    </row>
    <row r="53" spans="1:10" ht="15" hidden="1" customHeight="1" outlineLevel="1" x14ac:dyDescent="0.2">
      <c r="A53" s="17"/>
      <c r="B53" s="25" t="s">
        <v>354</v>
      </c>
      <c r="C53" s="192">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5"/>
      <c r="E53" s="5"/>
      <c r="F53" s="5"/>
      <c r="G53" s="5"/>
      <c r="H53" s="25" t="s">
        <v>354</v>
      </c>
      <c r="I53" s="1083">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2">
      <c r="A54" s="17"/>
      <c r="B54" s="25" t="s">
        <v>355</v>
      </c>
      <c r="C54" s="192">
        <f>IF(calcTier3MBX&lt;&gt;0,IF(Tier3PredictIOPS="Yes",Tier3BaseDBWrites*IF(Tier3IOFactor=1,1,calcTier3IOFactor),0),0)</f>
        <v>0</v>
      </c>
      <c r="D54" s="5"/>
      <c r="E54" s="5"/>
      <c r="F54" s="5"/>
      <c r="G54" s="5"/>
      <c r="H54" s="25" t="s">
        <v>355</v>
      </c>
      <c r="I54" s="1083">
        <f>IF(calcTier4MBX&lt;&gt;0,IF(Tier4PredictIOPS="Yes",Tier4BaseDBWrites*IF(Tier4IOFactor=1,1,calcTier4IOFactor),0),0)</f>
        <v>0</v>
      </c>
      <c r="J54" s="13"/>
    </row>
    <row r="55" spans="1:10" s="642" customFormat="1" ht="15" hidden="1" customHeight="1" outlineLevel="1" x14ac:dyDescent="0.2">
      <c r="B55" s="23" t="s">
        <v>141</v>
      </c>
      <c r="C55" s="192">
        <f>IF(calcTier3MBX&lt;&gt;0,IF(Tier3PredictIOPS="Yes",IF(HAOption="Yes",IF(Tier3MessageProfile&lt;=250,0.6,0.5),IF(Tier3MessageProfile&lt;=250,0.5,0.4)),VLOOKUP(Tier3RWRatio,tblRWRatio,2,FALSE)),0)</f>
        <v>0</v>
      </c>
      <c r="D55" s="831"/>
      <c r="E55" s="831"/>
      <c r="F55" s="831"/>
      <c r="G55" s="831"/>
      <c r="H55" s="25" t="s">
        <v>141</v>
      </c>
      <c r="I55" s="1083">
        <f>IF(calcTier4MBX&lt;&gt;0,IF(Tier4PredictIOPS="Yes",IF(HAOption="Yes",IF(Tier4MessageProfile&lt;=250,0.6,0.5),IF(Tier4MessageProfile&lt;=250,0.5,0.4)),VLOOKUP(Tier4RWRatio,tblRWRatio,2,FALSE)),0)</f>
        <v>0</v>
      </c>
      <c r="J55" s="13"/>
    </row>
    <row r="56" spans="1:10" s="642" customFormat="1" ht="15" hidden="1" customHeight="1" outlineLevel="1" x14ac:dyDescent="0.2">
      <c r="B56" s="23" t="s">
        <v>16</v>
      </c>
      <c r="C56" s="192">
        <f>IF(calcTier3MBX&lt;&gt;0,IF(Tier3PredictIOPS="Yes",(calcTier3DBWrites+calcTier3DBReads),(Tier3IOPS*IF(Tier3IOFactor=0,1,calcTier3IOFactor))),0)</f>
        <v>0</v>
      </c>
      <c r="D56" s="831"/>
      <c r="E56" s="831"/>
      <c r="F56" s="831"/>
      <c r="G56" s="831"/>
      <c r="H56" s="25" t="s">
        <v>16</v>
      </c>
      <c r="I56" s="1083">
        <f>IF(calcTier4MBX&lt;&gt;0,IF(Tier4PredictIOPS="Yes",(calcTier4DBWrites+calcTier4DBReads),(Tier4IOPS*IF(Tier4IOFactor=0,1,calcTier4IOFactor))),0)</f>
        <v>0</v>
      </c>
      <c r="J56" s="13"/>
    </row>
    <row r="57" spans="1:10" s="642" customFormat="1" ht="15" hidden="1" customHeight="1" outlineLevel="1" x14ac:dyDescent="0.2">
      <c r="B57" s="23" t="s">
        <v>143</v>
      </c>
      <c r="C57" s="192">
        <f>IF(HAOption="Yes",calcTier3MBX/calcNumDAGs*TotTier3IOPS,calcTier3MBX/numMBXServers*TotTier3IOPS)</f>
        <v>0</v>
      </c>
      <c r="D57" s="832"/>
      <c r="E57" s="832"/>
      <c r="F57" s="832"/>
      <c r="G57" s="832"/>
      <c r="H57" s="25" t="s">
        <v>143</v>
      </c>
      <c r="I57" s="1083">
        <f>IF(HAOption="Yes",calcTier4MBX/calcNumDAGs*TotTier4IOPS,calcTier4MBX/numMBXServers*TotTier4IOPS)</f>
        <v>0</v>
      </c>
      <c r="J57" s="13"/>
    </row>
    <row r="58" spans="1:10" s="642" customFormat="1" ht="15" hidden="1" customHeight="1" outlineLevel="1" x14ac:dyDescent="0.2">
      <c r="B58" s="23" t="s">
        <v>0</v>
      </c>
      <c r="C58" s="192">
        <f>Tier3DBTransfers*calcTier3RWRatio</f>
        <v>0</v>
      </c>
      <c r="D58" s="857"/>
      <c r="E58" s="857"/>
      <c r="F58" s="857"/>
      <c r="G58" s="857"/>
      <c r="H58" s="25" t="s">
        <v>0</v>
      </c>
      <c r="I58" s="1083">
        <f>Tier4DBTransfers*calcTier4RWRatio</f>
        <v>0</v>
      </c>
      <c r="J58" s="13"/>
    </row>
    <row r="59" spans="1:10" s="642" customFormat="1" ht="15" hidden="1" customHeight="1" outlineLevel="1" x14ac:dyDescent="0.2">
      <c r="B59" s="23" t="s">
        <v>1</v>
      </c>
      <c r="C59" s="190">
        <f>Tier3DBTransfers*(1-calcTier3RWRatio)</f>
        <v>0</v>
      </c>
      <c r="D59" s="987"/>
      <c r="E59" s="987"/>
      <c r="F59" s="987"/>
      <c r="G59" s="987"/>
      <c r="H59" s="25" t="s">
        <v>1</v>
      </c>
      <c r="I59" s="188">
        <f>Tier4DBTransfers*(1-calcTier4RWRatio)</f>
        <v>0</v>
      </c>
      <c r="J59" s="13"/>
    </row>
    <row r="60" spans="1:10" ht="15" hidden="1" customHeight="1" outlineLevel="1" x14ac:dyDescent="0.2">
      <c r="A60" s="17"/>
      <c r="D60" s="5"/>
      <c r="E60" s="5"/>
      <c r="F60" s="5"/>
      <c r="G60" s="5"/>
      <c r="I60" s="13"/>
      <c r="J60" s="16"/>
    </row>
    <row r="61" spans="1:10" ht="15" hidden="1" customHeight="1" outlineLevel="1" x14ac:dyDescent="0.2">
      <c r="A61" s="17"/>
      <c r="B61" s="172" t="s">
        <v>14</v>
      </c>
      <c r="C61" s="193" t="s">
        <v>249</v>
      </c>
      <c r="D61" s="898"/>
      <c r="E61" s="798"/>
      <c r="F61" s="5"/>
      <c r="G61" s="5"/>
      <c r="H61" s="423" t="s">
        <v>491</v>
      </c>
      <c r="I61" s="445" t="s">
        <v>249</v>
      </c>
      <c r="J61" s="16"/>
    </row>
    <row r="62" spans="1:10" ht="15" hidden="1" customHeight="1" outlineLevel="1" x14ac:dyDescent="0.2">
      <c r="A62" s="17"/>
      <c r="B62" s="25" t="s">
        <v>317</v>
      </c>
      <c r="C62" s="24">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Volume",(calcTotNumHACopies+calcTotNumLagCopies)/IF(OR(NumDBperVolOverride="No",AND(SiteResilienceEnabled="Yes",SRModel="Active/Passive")),IF(ISEVEN(calcTotNumHACopies+calcTotNumLagCopies),2,1),1),1))*(1-VolGrowth)/(1+CIFactor+(CIFactor/(IF(VolArchitecture="Multiple DBs / Volume",(calcTotNumHACopies+calcTotNumLagCopies)/IF(OR(NumDBperVolOverride="No",AND(SiteResilienceEnabled="Yes",SRModel="Active/Passive")),IF(ISEVEN(calcTotNumHACopies+calcTotNumLagCopies),2,1),1),1)))),IF(DBRawDiskCap1&gt;2500,2000,ROUNDUP((IF(SiteResilienceEnabled="Yes",MIN(DBForDiskCap1,DBForDiskCap2),DBForDiskCap1)*(1-VolGrowth))/(1+CIFactor*2),0))),varMax2CopyDBSize),varMaxSADBSize),CustomMaxDBSize)</f>
        <v>707.80515670776367</v>
      </c>
      <c r="D62" s="25"/>
      <c r="E62" s="987">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Volume",(calcTotNumHACopies+calcTotNumLagCopies)/IF(NumDBperVolOverride="No",IF(ISEVEN(calcTotNumHACopies+calcTotNumLagCopies),2,1),1),1))*(1-VolGrowth)/(1+CIFactor+(CIFactor/(IF(VolArchitecture="Multiple DBs / Volume",(calcTotNumHACopies+calcTotNumLagCopies)/IF(NumDBperVolOverride="No",IF(ISEVEN(calcTotNumHACopies+calcTotNumLagCopies),2,1),1),1)))),IF(DBRawDiskCap1&gt;2500,2000,ROUNDUP((IF(SiteResilienceEnabled="Yes",MIN(DBForDiskCap1,DBForDiskCap2),DBForDiskCap1)*(1-VolGrowth))/(1+CIFactor*2),0))),varMax2CopyDBSize),varMaxSADBSize),CustomMaxDBSize)</f>
        <v>707.80515670776367</v>
      </c>
      <c r="F62" s="5"/>
      <c r="G62" s="5"/>
      <c r="H62" s="3" t="s">
        <v>633</v>
      </c>
      <c r="I62" s="17">
        <f>IF(HAOption="Yes",NumDBCopies-IF(SiteResilienceEnabled="Yes",numDBCopiesSDC,0),0)</f>
        <v>2</v>
      </c>
      <c r="J62" s="16"/>
    </row>
    <row r="63" spans="1:10" ht="15" hidden="1" customHeight="1" outlineLevel="1" x14ac:dyDescent="0.2">
      <c r="A63" s="17"/>
      <c r="B63" s="8" t="s">
        <v>382</v>
      </c>
      <c r="C63" s="607">
        <f>IF(VolDesign="1/7",varMaxNumDBVolBS,IF(VolArchitecture="Multiple DBs / Volume",IF(CEILING(varMaxNumDBs,RecDBperVolume)&gt;varMaxNumDBs,CEILING(varMaxNumDBs,RecDBperVolume)-(RecDBperVolume),CEILING(varMaxNumDBs,RecDBperVolume)),varMaxNumDBs))</f>
        <v>100</v>
      </c>
      <c r="D63" s="25"/>
      <c r="E63" s="855"/>
      <c r="F63" s="5"/>
      <c r="G63" s="5"/>
      <c r="H63" s="3" t="s">
        <v>634</v>
      </c>
      <c r="I63" s="428">
        <f>IF(AND(HAOption="Yes",SiteResilienceEnabled="Yes"),numDBCopiesSDC,0)</f>
        <v>1</v>
      </c>
      <c r="J63" s="16"/>
    </row>
    <row r="64" spans="1:10" ht="15" hidden="1" customHeight="1" outlineLevel="1" x14ac:dyDescent="0.2">
      <c r="A64" s="17"/>
      <c r="B64" s="628" t="s">
        <v>391</v>
      </c>
      <c r="C64" s="190">
        <f>IF(HAOption="Yes",ROUNDDOWN(calcMaxNumDBs*numActMBXSvrsPerDC/(calcNumDBCopyInPDC+IF(calcDedLaggedCopyServer="No",calcNumLagCopyInPDC,0)),0),"--")</f>
        <v>200</v>
      </c>
      <c r="D64" s="25"/>
      <c r="E64" s="855"/>
      <c r="F64" s="5"/>
      <c r="G64" s="5"/>
      <c r="H64" s="3" t="s">
        <v>635</v>
      </c>
      <c r="I64" s="17">
        <f>IF(AND(HAOption="Yes",numLagDBCopies&lt;&gt;0),numLagDBCopies-IF(SiteResilienceEnabled="Yes",numLaggedCopiesSDC,0),0)</f>
        <v>0</v>
      </c>
      <c r="J64" s="16"/>
    </row>
    <row r="65" spans="1:10" ht="15" hidden="1" customHeight="1" outlineLevel="1" x14ac:dyDescent="0.2">
      <c r="A65" s="17"/>
      <c r="B65" s="683" t="s">
        <v>138</v>
      </c>
      <c r="C65" s="685">
        <f>calcTier1MBX/TotalMBX</f>
        <v>1</v>
      </c>
      <c r="D65" s="25"/>
      <c r="E65" s="643"/>
      <c r="F65" s="5"/>
      <c r="G65" s="5"/>
      <c r="H65" s="13" t="s">
        <v>636</v>
      </c>
      <c r="I65" s="428">
        <f>IF(AND(HAOption="Yes",SiteResilienceEnabled="Yes",numLagDBCopies&gt;0),numLaggedCopiesSDC,0)</f>
        <v>1</v>
      </c>
      <c r="J65" s="16"/>
    </row>
    <row r="66" spans="1:10" ht="15" hidden="1" customHeight="1" outlineLevel="1" x14ac:dyDescent="0.2">
      <c r="A66" s="17"/>
      <c r="B66" s="683" t="s">
        <v>137</v>
      </c>
      <c r="C66" s="685">
        <f>calcTier2MBX/TotalMBX</f>
        <v>0</v>
      </c>
      <c r="D66" s="25"/>
      <c r="E66" s="5"/>
      <c r="F66" s="5"/>
      <c r="G66" s="5"/>
      <c r="H66" s="806" t="s">
        <v>1277</v>
      </c>
      <c r="I66" s="830">
        <f>calcNumDBCopyInPDC+calcNumDBCopyInSDC</f>
        <v>3</v>
      </c>
      <c r="J66" s="16"/>
    </row>
    <row r="67" spans="1:10" ht="15" hidden="1" customHeight="1" outlineLevel="1" x14ac:dyDescent="0.2">
      <c r="A67" s="17"/>
      <c r="B67" s="683" t="s">
        <v>136</v>
      </c>
      <c r="C67" s="685">
        <f>calcTier3MBX/TotalMBX</f>
        <v>0</v>
      </c>
      <c r="D67" s="25"/>
      <c r="F67" s="5"/>
      <c r="G67" s="5"/>
      <c r="H67" s="806" t="s">
        <v>1278</v>
      </c>
      <c r="I67" s="830">
        <f>calcNumLagCopyInPDC+calcNumLagCopyInSDC</f>
        <v>1</v>
      </c>
      <c r="J67" s="16"/>
    </row>
    <row r="68" spans="1:10" ht="15" hidden="1" customHeight="1" outlineLevel="1" x14ac:dyDescent="0.2">
      <c r="A68" s="17"/>
      <c r="B68" s="683" t="s">
        <v>626</v>
      </c>
      <c r="C68" s="685">
        <f>calcTier4MBX/TotalMBX</f>
        <v>0</v>
      </c>
      <c r="D68" s="25"/>
      <c r="F68" s="5"/>
      <c r="G68" s="5"/>
      <c r="J68" s="16"/>
    </row>
    <row r="69" spans="1:10" ht="15" hidden="1" customHeight="1" outlineLevel="1" x14ac:dyDescent="0.2">
      <c r="A69" s="17"/>
      <c r="B69" s="683" t="s">
        <v>112</v>
      </c>
      <c r="C69" s="685">
        <f>MBXPerDB*Tier1MBXRatio</f>
        <v>62.5</v>
      </c>
      <c r="D69" s="25"/>
      <c r="E69" s="798"/>
      <c r="F69" s="5"/>
      <c r="G69" s="5"/>
      <c r="H69" s="172" t="s">
        <v>5</v>
      </c>
      <c r="I69" s="193" t="s">
        <v>249</v>
      </c>
      <c r="J69" s="16"/>
    </row>
    <row r="70" spans="1:10" ht="15" hidden="1" customHeight="1" outlineLevel="1" x14ac:dyDescent="0.2">
      <c r="A70" s="17"/>
      <c r="B70" s="683" t="s">
        <v>113</v>
      </c>
      <c r="C70" s="685">
        <f>MBXPerDB*Tier2MBXRatio</f>
        <v>0</v>
      </c>
      <c r="D70" s="25"/>
      <c r="E70" s="5"/>
      <c r="F70" s="5"/>
      <c r="G70" s="5"/>
      <c r="H70" s="25" t="s">
        <v>142</v>
      </c>
      <c r="I70" s="192">
        <f>(Tier1ReadTransfers+Tier2ReadTransfers+Tier3ReadTransfers+Tier4ReadTransfers)/(Tier1DBTransfers+Tier2DBTransfers+Tier3DBTransfers+Tier4DBTransfers)</f>
        <v>0.6</v>
      </c>
      <c r="J70" s="16"/>
    </row>
    <row r="71" spans="1:10" ht="15" hidden="1" customHeight="1" outlineLevel="1" x14ac:dyDescent="0.2">
      <c r="A71" s="17"/>
      <c r="B71" s="683" t="s">
        <v>114</v>
      </c>
      <c r="C71" s="685">
        <f>MBXPerDB*Tier3MBXRatio</f>
        <v>0</v>
      </c>
      <c r="D71" s="25"/>
      <c r="E71" s="5"/>
      <c r="F71" s="5"/>
      <c r="G71" s="5"/>
      <c r="H71" s="25" t="s">
        <v>4</v>
      </c>
      <c r="I71" s="24">
        <f>(Tier1DBTransfers+Tier3DBTransfers+Tier2DBTransfers+Tier4DBTransfers+AdditionalIO)*(1+IOGrowth)</f>
        <v>723.6</v>
      </c>
      <c r="J71" s="16"/>
    </row>
    <row r="72" spans="1:10" ht="15" hidden="1" customHeight="1" outlineLevel="1" x14ac:dyDescent="0.2">
      <c r="A72" s="17"/>
      <c r="B72" s="683" t="s">
        <v>627</v>
      </c>
      <c r="C72" s="685">
        <f>MBXPerDB*Tier4MBXRatio</f>
        <v>0</v>
      </c>
      <c r="D72" s="25"/>
      <c r="E72" s="5"/>
      <c r="F72" s="5"/>
      <c r="G72" s="5"/>
      <c r="H72" s="25" t="s">
        <v>389</v>
      </c>
      <c r="I72" s="24">
        <f>IF(HAOption="Yes",EnvPeakIOPS/RecNumDBs*TotNumDBCopiesServer,EnvPeakIOPS)</f>
        <v>361.8</v>
      </c>
      <c r="J72" s="16"/>
    </row>
    <row r="73" spans="1:10" ht="15" hidden="1" customHeight="1" outlineLevel="1" x14ac:dyDescent="0.2">
      <c r="A73" s="17"/>
      <c r="B73" s="684" t="s">
        <v>372</v>
      </c>
      <c r="C73" s="943">
        <f>IF(PreferredStorageArch="JBOD",IF(MOD(ROUNDDOWN(RandDBDiskIO1/(EnvPeakIOPS/TotMBXPerDAG),0),2)=1,ROUNDDOWN(RandDBDiskIO1/(EnvPeakIOPS/TotMBXPerDAG),0)-1,ROUNDDOWN(RandDBDiskIO1/(EnvPeakIOPS/TotMBXPerDAG),0))/IF(VolArchitecture="Multiple DBs / Volume",RecDBperVolume,1),"--")</f>
        <v>89</v>
      </c>
      <c r="D73" s="25"/>
      <c r="E73" s="5"/>
      <c r="F73" s="5"/>
      <c r="G73" s="5"/>
      <c r="H73" s="25" t="s">
        <v>397</v>
      </c>
      <c r="I73" s="24">
        <f>PeakIOPS*aggRWRatio</f>
        <v>217.08</v>
      </c>
      <c r="J73" s="16"/>
    </row>
    <row r="74" spans="1:10" ht="15" hidden="1" customHeight="1" outlineLevel="1" x14ac:dyDescent="0.2">
      <c r="A74" s="17"/>
      <c r="B74" s="684" t="s">
        <v>373</v>
      </c>
      <c r="C74" s="685">
        <f>(calcMaxDBSize*(1-DataGrowth)*1024)/((Tier1MBXRatio*Tier1MBXSize)+(Tier3MBXRatio*Tier3MBXSize)+(Tier2MBXRatio*Tier2MBXSize)+(Tier4MBXRatio*Tier4MBXSize))</f>
        <v>66.555783330463726</v>
      </c>
      <c r="D74" s="25"/>
      <c r="E74" s="5"/>
      <c r="F74" s="5"/>
      <c r="G74" s="5"/>
      <c r="H74" s="25" t="s">
        <v>394</v>
      </c>
      <c r="I74" s="24">
        <f>PeakIOPS*(1-aggRWRatio)</f>
        <v>144.72</v>
      </c>
      <c r="J74" s="16"/>
    </row>
    <row r="75" spans="1:10" ht="15" hidden="1" customHeight="1" outlineLevel="1" x14ac:dyDescent="0.2">
      <c r="A75" s="17"/>
      <c r="B75" s="684" t="s">
        <v>316</v>
      </c>
      <c r="C75" s="685">
        <f>ROUNDUP(MIN(calcNumMBXPerDBIO,calcNumMBXPerDBCap),0)</f>
        <v>67</v>
      </c>
      <c r="D75" s="25"/>
      <c r="E75" s="5"/>
      <c r="F75" s="5"/>
      <c r="G75" s="5"/>
      <c r="H75" s="25" t="s">
        <v>395</v>
      </c>
      <c r="I75" s="24">
        <f>WriteTransfers *IF(HAOption="Yes",0.5,0.4)</f>
        <v>72.36</v>
      </c>
      <c r="J75" s="16"/>
    </row>
    <row r="76" spans="1:10" ht="15" hidden="1" customHeight="1" outlineLevel="1" x14ac:dyDescent="0.2">
      <c r="A76" s="17"/>
      <c r="B76" s="684" t="str">
        <f>IF(HAOption="Yes","Calculated Number of Databases / DAG","Calculated Number of Databases / Server")</f>
        <v>Calculated Number of Databases / DAG</v>
      </c>
      <c r="C76" s="685">
        <f>MIN(IF(ROUNDUP(IF(HAOption="Yes",TotMBXPerDAG,TotalMBXPerSvr)/calcMBXPerDB,0)&lt;2,ROUNDUP(IF(HAOption="Yes",TotMBXPerDAG,TotalMBXPerSvr)/calcMBXPerDB,0),CEILING(IF(HAOption="Yes",TotMBXPerDAG,TotalMBXPerSvr)/calcMBXPerDB,2)),IF(HAOption="Yes",calcMaxNumDBDAG,calcMaxNumDBs))</f>
        <v>68</v>
      </c>
      <c r="D76" s="25"/>
      <c r="E76" s="917"/>
      <c r="F76" s="5"/>
      <c r="G76" s="5"/>
      <c r="H76" s="25" t="s">
        <v>396</v>
      </c>
      <c r="I76" s="24">
        <f>IF(HAOption="Yes",EnvPeakIOPS/RecNumDBs*(1-aggRWRatio)*0.5*0.1*calcNumDBMemSizing,0)</f>
        <v>3.6180000000000008</v>
      </c>
      <c r="J76" s="16"/>
    </row>
    <row r="77" spans="1:10" ht="15" hidden="1" customHeight="1" outlineLevel="1" x14ac:dyDescent="0.2">
      <c r="A77" s="17"/>
      <c r="B77" s="684" t="s">
        <v>745</v>
      </c>
      <c r="C77" s="686">
        <f>CEILING(calcNumDBs,PERMUT(calcNumAMBXServersDC1,calcNumDBCopyInPDC+IF(calcDedLaggedCopyServer="No",calcNumLagCopyInPDC,0)))</f>
        <v>72</v>
      </c>
      <c r="D77" s="25"/>
      <c r="E77" s="5"/>
      <c r="F77" s="5"/>
      <c r="G77" s="5"/>
      <c r="H77" s="12" t="s">
        <v>542</v>
      </c>
      <c r="I77" s="30">
        <f>EnvPeakIOPS/RecNumDBs</f>
        <v>10.050000000000001</v>
      </c>
      <c r="J77" s="13"/>
    </row>
    <row r="78" spans="1:10" ht="15" hidden="1" customHeight="1" outlineLevel="1" x14ac:dyDescent="0.2">
      <c r="A78" s="17"/>
      <c r="B78" s="684" t="str">
        <f>IF(HAOption="Yes","Recommended Number of Databases / DAG","Recommended Number of Databases / Server")</f>
        <v>Recommended Number of Databases / DAG</v>
      </c>
      <c r="C78" s="24">
        <f>IF(NumDBsOverride="No",IF(HAOption="Yes",IF(CustomNumDBs&gt;calcMaxNumDBDAG,calcMaxNumDBDAG,CustomNumDBs+MOD(CustomNumDBs,varDiskGroup)),IF(CustomNumDBs&gt;calcMaxNumDBs,calcMaxNumDBs,CustomNumDBs)),MIN(varDBOverideLimit,RawNumDBs+IF(HAOption="Yes",MOD(RawNumDBs,varDiskGroup),0)))</f>
        <v>72</v>
      </c>
      <c r="D78" s="25"/>
      <c r="E78" s="917"/>
      <c r="F78" s="5"/>
      <c r="G78" s="5"/>
      <c r="H78" s="25" t="s">
        <v>543</v>
      </c>
      <c r="I78" s="30">
        <f>((I77*(1-aggRWRatio))*IF(HAOption="Yes",0.5,0.4))+IF(HAOption="Yes",EnvPeakIOPS/RecNumDBs*(1-aggRWRatio)*0.5*0.1,0)</f>
        <v>2.2110000000000003</v>
      </c>
    </row>
    <row r="79" spans="1:10" s="642" customFormat="1" ht="15" hidden="1" customHeight="1" outlineLevel="1" x14ac:dyDescent="0.2">
      <c r="A79" s="17"/>
      <c r="B79" s="918" t="str">
        <f>IF(HAOption="Yes","Raw Number of Databases / DAG","Raw Number of Databases / Server")</f>
        <v>Raw Number of Databases / DAG</v>
      </c>
      <c r="C79" s="919">
        <f>IFERROR(IF(NumDBsOverride="No",IF(HAOption="Yes",IF(CustomNumDBs&gt;calcMaxNumDBDAG,calcMaxNumDBDAG,CustomNumDBs),IF(CustomNumDBs&gt;calcMaxNumDBs,calcMaxNumDBs,CustomNumDBs)),IF(HAOption="Yes",IF(AND(DBPermOverride="Yes",calcMaxNumDBDAG&gt;calcDBPerm),calcDBPerm,IF(AND(DBPermOverride="Yes",calcMaxNumDBDAG&lt;calcDBPerm,calcDBPerm-calcMaxNumDBDAG&lt;PERMUT(calcNumAMBXServersDC1,calcNumDBCopyInPDC),calcDBPerm-PERMUT(calcNumAMBXServersDC1,calcNumDBCopyInPDC)&lt;&gt;0),calcDBPerm-PERMUT(calcNumAMBXServersDC1,calcNumDBCopyInPDC),IF(calcNumDBs=calcMaxNumDBDAG,calcNumDBs,IF(calcNumDBs&lt;=1,1,CEILING(calcNumDBs,numActMBXSvrsPerDC*IF(AND(HAOption="Yes",SiteResilienceEnabled="Yes",SRModel="Active/Active (Single DAG)"),2,1)))))),IF(calcNumDBs&lt;=1,1,calcNumDBs))),1)</f>
        <v>72</v>
      </c>
      <c r="D79" s="25"/>
      <c r="E79" s="917"/>
      <c r="F79" s="917"/>
      <c r="G79" s="917"/>
      <c r="H79" s="25"/>
      <c r="I79" s="30"/>
    </row>
    <row r="80" spans="1:10" s="642" customFormat="1" ht="15" hidden="1" customHeight="1" outlineLevel="1" x14ac:dyDescent="0.2">
      <c r="A80" s="17"/>
      <c r="B80" s="683" t="s">
        <v>98</v>
      </c>
      <c r="C80" s="685">
        <f>IF(HAOption="Yes",TotMBXPerDAG,TotalMBXPerSvr)/RecNumDBs</f>
        <v>62.5</v>
      </c>
      <c r="D80" s="25"/>
      <c r="E80" s="643"/>
      <c r="F80" s="643"/>
      <c r="G80" s="643"/>
      <c r="I80" s="17"/>
    </row>
    <row r="81" spans="1:9" s="642" customFormat="1" ht="15" hidden="1" customHeight="1" outlineLevel="1" x14ac:dyDescent="0.2">
      <c r="A81" s="17"/>
      <c r="B81" s="628" t="s">
        <v>872</v>
      </c>
      <c r="C81" s="24">
        <f>IF(VolArchitecture="Multiple DBs / Volume",MIN(ROUNDDOWN(IF(SiteResilienceEnabled="Yes",MIN(DBForDiskCap1,DBForDiskCap2),DBForDiskCap1)/calcMaxDBSize,0),calcTotNumHACopies+calcTotNumLagCopies),1)</f>
        <v>4</v>
      </c>
      <c r="D81" s="25"/>
      <c r="E81" s="855"/>
      <c r="F81" s="812"/>
      <c r="G81" s="812"/>
      <c r="I81" s="17"/>
    </row>
    <row r="82" spans="1:9" s="642" customFormat="1" ht="15" hidden="1" customHeight="1" outlineLevel="1" x14ac:dyDescent="0.2">
      <c r="A82" s="17"/>
      <c r="B82" s="628" t="s">
        <v>1312</v>
      </c>
      <c r="C82" s="24">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IF(AND(SiteResilienceEnabled="No",NumDBperVolOverride="No"),IF(ISEVEN(calcTotNumHACopies+calcTotNumLagCopies),2,1),1)),1)</f>
        <v>4</v>
      </c>
      <c r="D82" s="25"/>
      <c r="E82" s="987">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1)</f>
        <v>4</v>
      </c>
      <c r="F82" s="812"/>
      <c r="G82" s="812"/>
      <c r="I82" s="17"/>
    </row>
    <row r="83" spans="1:9" ht="15" hidden="1" customHeight="1" outlineLevel="1" x14ac:dyDescent="0.2">
      <c r="A83" s="17"/>
      <c r="B83" s="628"/>
      <c r="C83" s="518"/>
      <c r="D83" s="25"/>
      <c r="E83" s="5"/>
      <c r="F83" s="5"/>
      <c r="G83" s="5"/>
      <c r="I83" s="17"/>
    </row>
    <row r="84" spans="1:9" ht="15" hidden="1" customHeight="1" outlineLevel="1" x14ac:dyDescent="0.25">
      <c r="A84" s="17"/>
      <c r="B84" s="604" t="s">
        <v>707</v>
      </c>
      <c r="C84" s="604" t="s">
        <v>249</v>
      </c>
      <c r="D84" s="25"/>
      <c r="E84" s="5"/>
      <c r="F84" s="5"/>
      <c r="G84" s="5"/>
      <c r="H84" s="193" t="s">
        <v>30</v>
      </c>
      <c r="I84" s="199" t="s">
        <v>249</v>
      </c>
    </row>
    <row r="85" spans="1:9" ht="15" hidden="1" customHeight="1" outlineLevel="1" x14ac:dyDescent="0.2">
      <c r="A85" s="17"/>
      <c r="B85" s="8" t="str">
        <f>IF(HAOption="Yes","Number of Active Databases in Datacenter 1 / DAG","Number of Databases in Datacenter 1 / Server")</f>
        <v>Number of Active Databases in Datacenter 1 / DAG</v>
      </c>
      <c r="C85" s="607">
        <f>ROUNDUP(RecNumDBs*IF(AND(HAOption="Yes",SiteResilienceEnabled="Yes",SRModel="Active/Active (Single DAG)"),PercentUsersinDC1,1),0)</f>
        <v>36</v>
      </c>
      <c r="D85" s="25"/>
      <c r="E85" s="5"/>
      <c r="F85" s="5"/>
      <c r="G85" s="5"/>
      <c r="H85" s="350" t="s">
        <v>659</v>
      </c>
      <c r="I85" s="439">
        <f>numMBXServers</f>
        <v>4</v>
      </c>
    </row>
    <row r="86" spans="1:9" s="642" customFormat="1" ht="15" hidden="1" customHeight="1" outlineLevel="1" x14ac:dyDescent="0.2">
      <c r="A86" s="17"/>
      <c r="B86" s="25" t="s">
        <v>668</v>
      </c>
      <c r="C86" s="24">
        <f>IF(AND(HAOption="Yes",SiteResilienceEnabled="Yes",SRModel="Active/Active (Single DAG)"),RecNumDBs-RecNumDBsDC1,0)</f>
        <v>36</v>
      </c>
      <c r="D86" s="25"/>
      <c r="E86" s="882"/>
      <c r="F86" s="643"/>
      <c r="G86" s="643"/>
      <c r="H86" s="644" t="s">
        <v>711</v>
      </c>
      <c r="I86" s="439">
        <f>IF(AND(HAOption="Yes",SiteResilienceEnabled="Yes",numActMBXSvrsPerDC&gt;1,calcNumDBCopyInPDC&gt;=1,SRModel="Active/Active (Single DAG)",calcSRAASDDRServers="Yes"),ROUNDUP(calcTotNumPassiveCopiesDC2inDC1/TotNumDBCopiesServer,0),0)</f>
        <v>0</v>
      </c>
    </row>
    <row r="87" spans="1:9" s="642" customFormat="1" ht="15" hidden="1" customHeight="1" outlineLevel="1" x14ac:dyDescent="0.2">
      <c r="A87" s="17"/>
      <c r="B87" s="25" t="s">
        <v>713</v>
      </c>
      <c r="C87" s="24">
        <f>IF(HAOption="Yes",RecNumDBsDC1*calcNumDBCopyInPDC,0)</f>
        <v>72</v>
      </c>
      <c r="D87" s="25"/>
      <c r="E87" s="643"/>
      <c r="F87" s="643"/>
      <c r="G87" s="643"/>
      <c r="H87" s="645" t="s">
        <v>658</v>
      </c>
      <c r="I87" s="646">
        <f>IF(AND(HAOption="Yes",SiteResilienceEnabled="Yes",SRModel="Active/Active (Single DAG)"),MIN(numMBXServers,ROUNDUP((calcTotNumHACopiesDC2inDC2+IF(calcSRAASDDRServers="No",calcNumHAPassCopiesDC1inDC2,0)+IF(calcDedLaggedCopyServer="No",TotNumLagDBCopiesDC2,0))/TotNumDBCopiesServer,0)),0)</f>
        <v>4</v>
      </c>
    </row>
    <row r="88" spans="1:9" s="642" customFormat="1" ht="15" hidden="1" customHeight="1" outlineLevel="1" x14ac:dyDescent="0.2">
      <c r="A88" s="17"/>
      <c r="B88" s="25" t="s">
        <v>704</v>
      </c>
      <c r="C88" s="24">
        <f>IF(AND(HAOption="Yes",SiteResilienceEnabled="Yes",SRModel="Active/Active (Single DAG)"),RecNumDBsDC2*calcNumDBCopyInPDC,0)</f>
        <v>72</v>
      </c>
      <c r="D88" s="25"/>
      <c r="E88" s="643"/>
      <c r="F88" s="643"/>
      <c r="G88" s="643"/>
      <c r="H88" s="644" t="s">
        <v>710</v>
      </c>
      <c r="I88" s="647">
        <f>IF(AND(HAOption="Yes",SiteResilienceEnabled="Yes",numDBCopiesSDC&gt;0),IF(OR(AND(SRModel="Active/Active (Single DAG)",calcSRAASDDRServers="No"),AND(numActMBXSvrsPerDC=1,SRModel="Active/Active (Single DAG)")),0,MIN(numMBXServers,ROUNDUP(calcTotNumPassiveCopiesDC1inDC2/TotNumDBCopiesServer,0))),0)</f>
        <v>0</v>
      </c>
    </row>
    <row r="89" spans="1:9" s="642" customFormat="1" ht="15" hidden="1" customHeight="1" outlineLevel="1" x14ac:dyDescent="0.2">
      <c r="A89" s="17"/>
      <c r="B89" s="25" t="str">
        <f>IF(AND(HAOption="Yes",SiteResilienceEnabled="Yes",SRModel="Active/Active (Single DAG)"),"Number of DC1 Passive HA DB Copies in DC2 / DAG","Number of Passive HA DB Copies in DC2 / DAG")</f>
        <v>Number of DC1 Passive HA DB Copies in DC2 / DAG</v>
      </c>
      <c r="C89" s="24">
        <f>IF(AND(HAOption="Yes",SiteResilienceEnabled="Yes",numDBCopiesSDC&gt;0),calcNumDBCopyInSDC*RecNumDBsDC1,0)</f>
        <v>36</v>
      </c>
      <c r="D89" s="25"/>
      <c r="E89" s="643"/>
      <c r="F89" s="643"/>
      <c r="G89" s="643"/>
      <c r="H89" s="628" t="s">
        <v>660</v>
      </c>
      <c r="I89" s="439">
        <f>calcNumAMBXServersDC1+calcNumAMBXServersDC2</f>
        <v>8</v>
      </c>
    </row>
    <row r="90" spans="1:9" s="642" customFormat="1" ht="15" hidden="1" customHeight="1" outlineLevel="1" x14ac:dyDescent="0.2">
      <c r="A90" s="17"/>
      <c r="B90" s="25" t="str">
        <f>IF(AND(HAOption="Yes",SiteResilienceEnabled="Yes",SRModel="Active/Active (Single DAG)"),"Total Number of DC1 Passive DB Copies in DC2 / DAG","Total Number of Passive DB Copies in DC2 / DAG")</f>
        <v>Total Number of DC1 Passive DB Copies in DC2 / DAG</v>
      </c>
      <c r="C90" s="24">
        <f>calcNumHAPassCopiesDC1inDC2+IF(AND(numLaggedCopiesSDC&gt;0,calcDedLaggedCopyServer="No"),calcTotNumLagDBCopiesSDC,0)</f>
        <v>72</v>
      </c>
      <c r="D90" s="25"/>
      <c r="E90" s="643"/>
      <c r="F90" s="643"/>
      <c r="G90" s="643"/>
      <c r="H90" s="628" t="s">
        <v>1296</v>
      </c>
      <c r="I90" s="439">
        <f>IF(HAOption="Yes",IF(AND(SiteResilienceEnabled="Yes",SRModel="Active/Active (Multiple DAGs)"),calcNumAMBXServersDC1+calcNumPMBXServersDC2,(calcNumAMBXServersDC1+calcNumPMBXServersDC1)+(calcNumPMBXServersDC2+calcNumAMBXServersDC2)),"--")</f>
        <v>8</v>
      </c>
    </row>
    <row r="91" spans="1:9" s="642" customFormat="1" ht="15" hidden="1" customHeight="1" outlineLevel="1" x14ac:dyDescent="0.2">
      <c r="A91" s="17"/>
      <c r="B91" s="25" t="s">
        <v>708</v>
      </c>
      <c r="C91" s="13">
        <f>IF(AND(HAOption="Yes",SiteResilienceEnabled="Yes",SRModel="Active/Active (Single DAG)",numDBCopiesSDC&gt;0),calcNumDBCopyInSDC*RecNumDBsDC2,0)</f>
        <v>36</v>
      </c>
      <c r="D91" s="25"/>
      <c r="E91" s="643"/>
      <c r="F91" s="643"/>
      <c r="G91" s="643"/>
      <c r="I91" s="17"/>
    </row>
    <row r="92" spans="1:9" s="642" customFormat="1" ht="15" hidden="1" customHeight="1" outlineLevel="1" x14ac:dyDescent="0.2">
      <c r="A92" s="17"/>
      <c r="B92" s="25" t="s">
        <v>709</v>
      </c>
      <c r="C92" s="13">
        <f>calcNumHAPassCopiesDC2inDC1+IF(AND(numLaggedCopiesSDC&gt;0,calcDedLaggedCopyServer="No"),calcTotNumLagDBCopiesSDC,0)</f>
        <v>72</v>
      </c>
      <c r="D92" s="25"/>
      <c r="E92" s="643"/>
      <c r="F92" s="643"/>
      <c r="G92" s="643"/>
      <c r="I92" s="17"/>
    </row>
    <row r="93" spans="1:9" ht="15" hidden="1" customHeight="1" outlineLevel="1" x14ac:dyDescent="0.2">
      <c r="A93" s="17"/>
      <c r="B93" s="12"/>
      <c r="C93" s="25"/>
      <c r="D93" s="5"/>
      <c r="E93" s="5"/>
      <c r="F93" s="5"/>
      <c r="G93" s="5"/>
      <c r="I93" s="17"/>
    </row>
    <row r="94" spans="1:9" ht="15.75" hidden="1" customHeight="1" outlineLevel="1" thickBot="1" x14ac:dyDescent="0.25">
      <c r="A94" s="17"/>
      <c r="B94" s="352" t="s">
        <v>30</v>
      </c>
      <c r="C94" s="253" t="s">
        <v>249</v>
      </c>
      <c r="D94" s="609"/>
      <c r="E94" s="643"/>
      <c r="F94" s="5"/>
      <c r="G94" s="5"/>
      <c r="H94" s="172" t="s">
        <v>401</v>
      </c>
      <c r="I94" s="199" t="s">
        <v>249</v>
      </c>
    </row>
    <row r="95" spans="1:9" ht="15.75" hidden="1" customHeight="1" outlineLevel="1" thickTop="1" x14ac:dyDescent="0.2">
      <c r="A95" s="17"/>
      <c r="B95" s="410" t="s">
        <v>663</v>
      </c>
      <c r="C95" s="439">
        <f>numDAGs*IF(AND(HAOption="Yes",SiteResilienceEnabled="Yes",SRModel="Active/Active (Multiple DAGs)"),2,1)</f>
        <v>10</v>
      </c>
      <c r="D95" s="25"/>
      <c r="E95" s="5"/>
      <c r="F95" s="5"/>
      <c r="G95" s="5"/>
      <c r="H95" s="25" t="s">
        <v>289</v>
      </c>
      <c r="I95" s="200">
        <f>IF(numLagDBCopies&lt;&gt;0,MIN(ReplayLagHours/24,14),0)</f>
        <v>7</v>
      </c>
    </row>
    <row r="96" spans="1:9" ht="15.75" hidden="1" customHeight="1" outlineLevel="1" x14ac:dyDescent="0.2">
      <c r="A96" s="17"/>
      <c r="B96" s="442" t="s">
        <v>364</v>
      </c>
      <c r="C96" s="443">
        <f>calcTier1MBX+calcTier3MBX+calcTier2MBX+calcTier4MBX</f>
        <v>45000</v>
      </c>
      <c r="D96" s="23"/>
      <c r="E96" s="643"/>
      <c r="F96" s="5"/>
      <c r="G96" s="5"/>
      <c r="H96" s="25" t="s">
        <v>290</v>
      </c>
      <c r="I96" s="200">
        <f>IF(numLagDBCopies&lt;&gt;0,MIN(TruncationLagHours/24,14),0)</f>
        <v>0</v>
      </c>
    </row>
    <row r="97" spans="1:10" ht="15" hidden="1" customHeight="1" outlineLevel="1" x14ac:dyDescent="0.2">
      <c r="A97" s="17"/>
      <c r="B97" s="8" t="s">
        <v>315</v>
      </c>
      <c r="C97" s="440">
        <f>IF(HAOption="Yes",TotalMBX/calcNumDAGs,"--")</f>
        <v>4500</v>
      </c>
      <c r="D97" s="25"/>
      <c r="E97" s="5"/>
      <c r="F97" s="5"/>
      <c r="G97" s="5"/>
      <c r="H97" s="25" t="s">
        <v>451</v>
      </c>
      <c r="I97" s="276">
        <f>IF(AND(numLagDBCopies&gt;0,calcDedLaggedCopyServer="Yes",HAOption="Yes"),ROUNDUP(calcTotNumLagDBCopiesPDC/TotNumDBCopiesServer,0)+ROUNDUP(calcTotNumLagDBCopiesSDC/TotNumDBCopiesServer,0),0)</f>
        <v>0</v>
      </c>
    </row>
    <row r="98" spans="1:10" ht="15" hidden="1" customHeight="1" outlineLevel="1" x14ac:dyDescent="0.2">
      <c r="A98" s="17"/>
      <c r="B98" s="8" t="s">
        <v>655</v>
      </c>
      <c r="C98" s="444">
        <f>numMBXServers</f>
        <v>4</v>
      </c>
      <c r="D98" s="25"/>
      <c r="E98" s="5"/>
      <c r="F98" s="5"/>
      <c r="G98" s="5"/>
      <c r="H98" s="628" t="s">
        <v>657</v>
      </c>
      <c r="I98" s="276">
        <f>calcNumLagMBXServers-calcNumLagMBXServersSDC</f>
        <v>0</v>
      </c>
      <c r="J98" s="16"/>
    </row>
    <row r="99" spans="1:10" ht="15" hidden="1" customHeight="1" outlineLevel="1" x14ac:dyDescent="0.2">
      <c r="A99" s="17"/>
      <c r="B99" s="8" t="s">
        <v>508</v>
      </c>
      <c r="C99" s="441">
        <f>IF(HAOption="Yes",calcNumActiveDBs*MBXPerDB,TotalMBX/numMBXServers)</f>
        <v>562.5</v>
      </c>
      <c r="D99" s="25"/>
      <c r="E99" s="643"/>
      <c r="F99" s="5"/>
      <c r="G99" s="5"/>
      <c r="H99" s="628" t="s">
        <v>656</v>
      </c>
      <c r="I99" s="24">
        <f>IF(AND(HAOption="Yes",SiteResilienceEnabled="Yes",calcDedLaggedCopyServer="Yes",numLaggedCopiesSDC&gt;0),ROUNDUP(calcTotNumLagDBCopiesSDC/TotNumDBCopiesServer,0),0)</f>
        <v>0</v>
      </c>
      <c r="J99" s="16"/>
    </row>
    <row r="100" spans="1:10" ht="15" hidden="1" customHeight="1" outlineLevel="1" x14ac:dyDescent="0.2">
      <c r="A100" s="17"/>
      <c r="B100" s="410" t="s">
        <v>292</v>
      </c>
      <c r="C100" s="30">
        <f>IF(HAOption="Yes",MBXPerDB*TotNumDBCopiesServer,TotalMBX/numMBXServers)</f>
        <v>2250</v>
      </c>
      <c r="D100" s="25"/>
      <c r="E100" s="5"/>
      <c r="F100" s="5"/>
      <c r="G100" s="5"/>
      <c r="H100" s="628" t="s">
        <v>653</v>
      </c>
      <c r="I100" s="30">
        <f>IF(AND(HAOption="Yes",SiteResilienceEnabled="Yes",OR(SRModel="Active/Passive",SRModel="Active/Active (Multiple DAGs)")),calcNumLagCopyInPDC*RecNumDBs,(IF(calcNumLagCopyInPDC&gt;0,calcNumLagCopyInPDC,0)+calcNumLagCopyInSDC)*RecNumDBsDC1)</f>
        <v>36</v>
      </c>
    </row>
    <row r="101" spans="1:10" ht="15" hidden="1" customHeight="1" outlineLevel="1" x14ac:dyDescent="0.2">
      <c r="A101" s="17"/>
      <c r="B101" s="410" t="str">
        <f>IF(HAOption="Yes","Total Number of Database Copies per Server","Total Number of Databases per Server")</f>
        <v>Total Number of Database Copies per Server</v>
      </c>
      <c r="C101" s="440">
        <f>MIN(IF(HAOption="Yes",ROUND((calcTotNumHACopiesDC1inDC1+IF(AND(SiteResilienceEnabled="Yes",SRModel="Active/Active (Single DAG)",calcSRAASDDRServers="No"),calcNumHAPassCopiesDC2inDC1,0)+IF(calcDedLaggedCopyServer="No",TotNumLagDBCopiesDC1,0))/numActMBXSvrsPerDC,0),RecNumDBsDC1),IF(calcDiskLimitOverride="Yes",9999,NumDisksPerServer*RecDBperVolume))</f>
        <v>36</v>
      </c>
      <c r="D101" s="25"/>
      <c r="E101" s="915"/>
      <c r="F101" s="5"/>
      <c r="G101" s="5"/>
      <c r="H101" s="628" t="s">
        <v>654</v>
      </c>
      <c r="I101" s="30">
        <f>(IF(AND(calcNumLagCopyInPDC&gt;0,HAOption="Yes",SiteResilienceEnabled="Yes",SRModel="Active/Active (Single DAG)"),calcNumLagCopyInPDC,0)+calcNumLagCopyInSDC)*IF(AND(HAOption="Yes",SiteResilienceEnabled="Yes",OR(SRModel="Active/Passive",SRModel="Active/Active (Multiple DAGs)")),RecNumDBsDC1,RecNumDBsDC2)</f>
        <v>36</v>
      </c>
    </row>
    <row r="102" spans="1:10" ht="15" hidden="1" customHeight="1" outlineLevel="1" x14ac:dyDescent="0.2">
      <c r="A102" s="17"/>
      <c r="B102" s="410" t="s">
        <v>392</v>
      </c>
      <c r="C102" s="441">
        <f>IF(HAOption="Yes",IF(AND(calcNumActiveDBsFF="--",calcNumActiveDBsSF="--"),calcNumActiveDBs*IF(AND(calcNumAMBXServersDC1=1,calcNumDBCopyInPDC=1,SiteResilienceEnabled="Yes",SRModel="Active/Active (Single DAG)"),2,1),IF(AND(SiteResilienceEnabled="Yes",SRModel="Active/Active (Single DAG)",calcSRAASDDRServers="No"),MAX(calcNumActiveDBsFF,calcNumActiveDBsSF,calcNumDBMemSizingSDC),MAX(calcNumActiveDBsFF,calcNumActiveDBsSF))),RecNumDBsDC1)</f>
        <v>18</v>
      </c>
      <c r="D102" s="25"/>
      <c r="E102" s="643"/>
      <c r="F102" s="5"/>
      <c r="H102" s="25" t="s">
        <v>417</v>
      </c>
      <c r="I102" s="650" t="str">
        <f>IF(AND(numLagDBCopies&gt;0,calcDedLaggedCopyServer="Yes",HAOption="Yes"),ServerRAMConfig,"--")</f>
        <v>--</v>
      </c>
    </row>
    <row r="103" spans="1:10" ht="15" hidden="1" customHeight="1" outlineLevel="1" x14ac:dyDescent="0.2">
      <c r="A103" s="17"/>
      <c r="B103" s="678" t="s">
        <v>443</v>
      </c>
      <c r="C103" s="347">
        <f>calcDBCacheSize/calcNumDBMemSizing*1/MBXPerDB*1024</f>
        <v>21.845333333333333</v>
      </c>
      <c r="D103" s="25"/>
      <c r="E103" s="643"/>
      <c r="F103" s="5"/>
      <c r="G103" s="5"/>
      <c r="I103" s="17"/>
    </row>
    <row r="104" spans="1:10" ht="15" hidden="1" customHeight="1" outlineLevel="1" x14ac:dyDescent="0.2">
      <c r="A104" s="17"/>
      <c r="B104" s="803" t="s">
        <v>1833</v>
      </c>
      <c r="C104" s="30">
        <f>((NumTier1MBXDB*Tier1MBXSize/Tier1AvgMessageSize)+(NumTier2MBXDB*Tier2MBXSize/Tier2AvgMessageSize)+(NumTier3MBXDB*Tier3MBXSize/Tier3AvgMessageSize)+(NumTier4MBXDB*Tier4MBXSize/Tier4AvgMessageSize))*calcNumDBMemSizing</f>
        <v>163350</v>
      </c>
      <c r="D104" s="25"/>
      <c r="E104" s="5"/>
      <c r="F104" s="5"/>
      <c r="G104" s="5"/>
      <c r="H104" s="423"/>
      <c r="I104" s="445"/>
    </row>
    <row r="105" spans="1:10" s="642" customFormat="1" ht="15" hidden="1" customHeight="1" outlineLevel="1" x14ac:dyDescent="0.2">
      <c r="A105" s="17"/>
      <c r="B105" s="1074" t="s">
        <v>1834</v>
      </c>
      <c r="C105" s="439">
        <f>((NumTier1MBXDB*Tier1MBXSize/Tier1AvgMessageSize)+(NumTier2MBXDB*Tier2MBXSize/Tier2AvgMessageSize)+(NumTier3MBXDB*Tier3MBXSize/Tier3AvgMessageSize)+(NumTier4MBXDB*Tier4MBXSize/Tier4AvgMessageSize))*(TotNumDBCopiesServer-calcNumDBMemSizing)</f>
        <v>163350</v>
      </c>
      <c r="D105" s="25"/>
      <c r="E105" s="863"/>
      <c r="F105" s="863"/>
      <c r="G105" s="863"/>
      <c r="H105" s="3"/>
      <c r="I105" s="17"/>
    </row>
    <row r="106" spans="1:10" s="642" customFormat="1" ht="15" hidden="1" customHeight="1" outlineLevel="1" x14ac:dyDescent="0.2">
      <c r="A106" s="17"/>
      <c r="B106" s="1074" t="s">
        <v>1398</v>
      </c>
      <c r="C106" s="439">
        <f>IF(HAOption="Yes",((TotNumMBXServersinDAG+calcNumLagMBXServersPDC+calcNumLagMBXServersSDC)-IF(AND(HAOption="Yes",SiteResilienceEnabled="Yes",calcNumDBCopyInSDC&gt;0),(calcNumAMBXServersDC1+calcNumPMBXServersDC1+calcNumLagMBXServersPDC)+IF(calcNumActiveDBsSiteF2F&lt;&gt;"--",2,IF(calcNumActiveDBsSiteF1F&lt;&gt;"--",1,0)),IF(calcNumActiveDBsSF&lt;&gt;"--",2,IF(calcNumActiveDBsFF&lt;&gt;"--",1,0))))*numDAGs,numMBXServers)</f>
        <v>40</v>
      </c>
      <c r="D106" s="25"/>
      <c r="E106" s="863"/>
      <c r="F106" s="863"/>
      <c r="G106" s="863"/>
      <c r="I106" s="17"/>
    </row>
    <row r="107" spans="1:10" s="642" customFormat="1" ht="15" hidden="1" customHeight="1" outlineLevel="1" x14ac:dyDescent="0.2">
      <c r="A107" s="17"/>
      <c r="B107" s="1074" t="s">
        <v>703</v>
      </c>
      <c r="C107" s="188" t="str">
        <f>IF(VolArchitecture="Multiple DBs / Volume","No",SRAASDDRServers)</f>
        <v>No</v>
      </c>
      <c r="D107" s="25"/>
      <c r="E107" s="903"/>
      <c r="F107" s="882"/>
      <c r="G107" s="882"/>
      <c r="I107" s="17"/>
    </row>
    <row r="108" spans="1:10" s="642" customFormat="1" ht="15" hidden="1" customHeight="1" outlineLevel="1" x14ac:dyDescent="0.2">
      <c r="A108" s="17"/>
      <c r="B108" s="1074" t="s">
        <v>400</v>
      </c>
      <c r="C108" s="188" t="str">
        <f>IF(VolArchitecture="Multiple DBs / Volume","No",DedLaggedCopyServer)</f>
        <v>No</v>
      </c>
      <c r="D108" s="25"/>
      <c r="E108" s="936"/>
      <c r="F108" s="540"/>
      <c r="G108" s="936"/>
      <c r="I108" s="17"/>
    </row>
    <row r="109" spans="1:10" s="642" customFormat="1" ht="15" hidden="1" customHeight="1" outlineLevel="1" x14ac:dyDescent="0.2">
      <c r="A109" s="17"/>
      <c r="B109" s="1074" t="s">
        <v>789</v>
      </c>
      <c r="C109" s="188" t="str">
        <f>IF(AND(HAOption="Yes",calcTotNumHACopies+calcTotNumLagCopies&gt;=3,JBODEvaluation="Yes"),IF(AND(SiteResilienceEnabled="Yes",SRModel="Active/Active (Single DAG)",calcNumDBCopyInPDC+calcNumLagCopyInPDC&lt;&gt;calcNumDBCopyInSDC+calcNumLagCopyInSDC),"No",IF(AND(SiteResilienceEnabled="Yes",OR(SRModel="Active/Passive",SRModel="Active/Active (Multiple DAGs)"),IF(MOD(numActMBXSvrsPerDC/(calcNumDBCopyInPDC+calcNumLagCopyInPDC),1),TRUE,FALSE)=TRUE),"No",MultipleDBVolume)),"No")</f>
        <v>Yes</v>
      </c>
      <c r="D109" s="25"/>
      <c r="E109" s="945"/>
      <c r="F109" s="540"/>
      <c r="G109" s="945"/>
      <c r="I109" s="17"/>
    </row>
    <row r="110" spans="1:10" s="642" customFormat="1" ht="15" hidden="1" customHeight="1" outlineLevel="1" x14ac:dyDescent="0.2">
      <c r="A110" s="17"/>
      <c r="B110" s="942" t="s">
        <v>1350</v>
      </c>
      <c r="C110" s="188" t="str">
        <f>IF(HAOption="Yes",DiskLimitOverride,"Yes")</f>
        <v>Yes</v>
      </c>
      <c r="D110" s="25"/>
      <c r="E110" s="987"/>
      <c r="F110" s="540"/>
      <c r="G110" s="987"/>
      <c r="I110" s="17"/>
    </row>
    <row r="111" spans="1:10" s="642" customFormat="1" ht="15" hidden="1" customHeight="1" outlineLevel="1" x14ac:dyDescent="0.2">
      <c r="A111" s="17"/>
      <c r="B111" s="344" t="s">
        <v>487</v>
      </c>
      <c r="C111" s="188" t="str">
        <f>IF(OR(HAOption="No",BackupMethod="Hardware VSS Backup/Restore"),"Yes","No")</f>
        <v>No</v>
      </c>
      <c r="D111" s="25"/>
      <c r="E111" s="987"/>
      <c r="F111" s="540"/>
      <c r="G111" s="987"/>
      <c r="I111" s="17"/>
    </row>
    <row r="112" spans="1:10" s="642" customFormat="1" ht="15" hidden="1" customHeight="1" outlineLevel="1" x14ac:dyDescent="0.2">
      <c r="A112" s="17"/>
      <c r="B112" s="637"/>
      <c r="C112" s="347"/>
      <c r="D112" s="25"/>
      <c r="F112" s="643"/>
      <c r="G112" s="643"/>
      <c r="I112" s="17"/>
    </row>
    <row r="113" spans="1:11" s="642" customFormat="1" ht="15" hidden="1" customHeight="1" outlineLevel="1" x14ac:dyDescent="0.25">
      <c r="A113" s="13"/>
      <c r="B113" s="652" t="s">
        <v>714</v>
      </c>
      <c r="C113" s="653" t="s">
        <v>715</v>
      </c>
      <c r="D113" s="652" t="s">
        <v>716</v>
      </c>
      <c r="E113" s="603"/>
      <c r="F113" s="643"/>
      <c r="G113" s="643"/>
      <c r="H113" s="424" t="s">
        <v>648</v>
      </c>
      <c r="I113" s="654" t="s">
        <v>249</v>
      </c>
    </row>
    <row r="114" spans="1:11" s="642" customFormat="1" ht="15" hidden="1" customHeight="1" outlineLevel="1" x14ac:dyDescent="0.2">
      <c r="A114" s="13"/>
      <c r="B114" s="579" t="s">
        <v>603</v>
      </c>
      <c r="C114" s="540">
        <f>IF(HAOption="Yes",IF(RecNumDBsDC1=1,RecNumDBsDC1,RecNumDBsDC1/numActMBXSvrsPerDC),"--")</f>
        <v>9</v>
      </c>
      <c r="D114" s="190">
        <f>IF(AND(HAOption="Yes",SiteResilienceEnabled="Yes",SRModel="Active/Active (Single DAG)"),IF(RecNumDBsDC2=1,RecNumDBsDC2,RecNumDBsDC2/numActMBXSvrsPerDC),"--")</f>
        <v>9</v>
      </c>
      <c r="F114" s="643"/>
      <c r="G114" s="643"/>
      <c r="H114" s="13" t="s">
        <v>664</v>
      </c>
      <c r="I114" s="655">
        <f>IF(HAOption="Yes",IF(SiteResilienceEnabled="Yes",IF(OR(SRModel="Active/Passive",SRModel="Active/Active (Multiple DAGs)"),calcTotNumHACopiesDC1inDC1,calcTotNumHACopiesDC1inDC1+calcNumHAPassCopiesDC2inDC1),calcTotNumHACopiesDC1inDC1),0)</f>
        <v>108</v>
      </c>
    </row>
    <row r="115" spans="1:11" s="642" customFormat="1" ht="15" hidden="1" customHeight="1" outlineLevel="1" x14ac:dyDescent="0.2">
      <c r="A115" s="13"/>
      <c r="B115" s="579" t="s">
        <v>606</v>
      </c>
      <c r="C115" s="540">
        <f>IF(HAOption="Yes",IF(calcNumDBCopyInPDC&gt;1,IF(RecNumDBsDC1=1,RecNumDBsDC1,IF(ROUNDUP(calcNumActiveDBs+(calcNumActiveDBs/(numActMBXSvrsPerDC-1)),0)=calcNumActiveDBs,"--",ROUNDUP(calcNumActiveDBs+(calcNumActiveDBs/(numActMBXSvrsPerDC-1)),0))),IF(AND(SRActivationBlocked="No",numActMBXSvrsPerDC&gt;1),calcNumActiveDBs,"--")),"--")</f>
        <v>12</v>
      </c>
      <c r="D115" s="550">
        <f>IF(AND(HAOption="Yes",SiteResilienceEnabled="Yes",SRModel="Active/Active (Single DAG)"),IF(calcNumDBCopyInPDC&gt;1,IF(RecNumDBsDC2=1,RecNumDBsDC2,IF(ROUNDUP(calcNumActiveDBsDC2+(calcNumActiveDBsDC2/(numActMBXSvrsPerDC-1)),0)=calcNumActiveDBsDC2,"--",ROUNDUP(calcNumActiveDBsDC2+(calcNumActiveDBsDC2/(numActMBXSvrsPerDC-1)),0))),IF(AND(SRActivationBlocked="No",numActMBXSvrsPerDC&gt;1),calcNumActiveDBsDC2,"--")),"--")</f>
        <v>12</v>
      </c>
      <c r="F115" s="643"/>
      <c r="G115" s="643"/>
      <c r="H115" s="13" t="s">
        <v>665</v>
      </c>
      <c r="I115" s="655">
        <f>IF(AND(HAOption="Yes",SiteResilienceEnabled="Yes"),IF(OR(SRModel="Active/Passive",SRModel="Active/Active (Multiple DAGs)"),calcNumHAPassCopiesDC1inDC2,calcTotNumHACopiesDC2inDC2+calcNumHAPassCopiesDC1inDC2),0)</f>
        <v>108</v>
      </c>
    </row>
    <row r="116" spans="1:11" s="642" customFormat="1" ht="15" hidden="1" customHeight="1" outlineLevel="1" x14ac:dyDescent="0.2">
      <c r="A116" s="13"/>
      <c r="B116" s="410" t="s">
        <v>610</v>
      </c>
      <c r="C116" s="540">
        <f>IF(AND(HAOption="Yes",SiteResilienceEnabled="Yes",numDBCopiesSDC&gt;=1,calcNumDBCopyInPDC&lt;3,SRActivationBlocked="No",ValidationCheck=FALSE),ROUNDUP(IF(calcNumDBCopyInPDC=1,(RecNumDBsDC1-IF(calcNumActiveDBsFF="--",0,calcNumActiveDBsFF))/IF(AND(calcNumDBCopyInPDC=1,OR(numActMBXSvrsPerDC=1,calcSRAASDDRServers="No"),SiteResilienceEnabled="Yes",SRModel="Active/Active (Single DAG)"),calcNumAMBXServersDC2,calcNumPMBXServersDC2),0),0),"--")</f>
        <v>0</v>
      </c>
      <c r="D116" s="550">
        <f>IF(AND(HAOption="Yes",SiteResilienceEnabled="Yes",SRModel="Active/Active (Single DAG)",numDBCopiesSDC&gt;=1,calcNumDBCopyInPDC&lt;3,SRActivationBlocked="No",ValidationCheck=FALSE),ROUNDUP(IF(calcNumDBCopyInPDC=1,(RecNumDBsDC2-IF(calcNumActiveDBsFFDC2="--",0,calcNumActiveDBsFFDC2))/IF(AND(calcNumDBCopyInPDC=1,OR(numActMBXSvrsPerDC=1,calcSRAASDDRServers="No"),SiteResilienceEnabled="Yes",SRModel="Active/Active (Single DAG)"),calcNumAMBXServersDC1,calcNumPMBXServersDC1),0),0),"--")</f>
        <v>0</v>
      </c>
      <c r="F116" s="643"/>
      <c r="G116" s="643"/>
      <c r="H116" s="13" t="s">
        <v>666</v>
      </c>
      <c r="I116" s="655">
        <f>calcTotNumLagDBCopiesPDC</f>
        <v>36</v>
      </c>
    </row>
    <row r="117" spans="1:11" s="642" customFormat="1" ht="15" hidden="1" customHeight="1" outlineLevel="1" x14ac:dyDescent="0.2">
      <c r="A117" s="13"/>
      <c r="B117" s="579" t="s">
        <v>637</v>
      </c>
      <c r="C117" s="540" t="str">
        <f>IF(OR(calcNumActiveDBsPDCFFinSDC="--",calcNumActiveDBsPDCFFinSDC=0),"--",IF(AND(numActMBXSvrsPerDC&gt;1,calcNumDBCopyInPDC&gt;1),RecNumDBsDC1-(ROUNDUP((calcNumActiveDBs/(numActMBXSvrsPerDC-1)),0)),0))</f>
        <v>--</v>
      </c>
      <c r="D117" s="550" t="str">
        <f>IF(OR(calcNumActiveDBsPDCFFinSDCDC2="--",calcNumActiveDBsPDCFFinSDCDC2=0),"--",IF(AND(numActMBXSvrsPerDC&gt;1,calcNumDBCopyInPDC&gt;1),RecNumDBsDC2-(ROUNDUP((calcNumActiveDBsDC2/(numActMBXSvrsPerDC-1)),0)),0))</f>
        <v>--</v>
      </c>
      <c r="F117" s="643"/>
      <c r="G117" s="643"/>
      <c r="H117" s="13" t="s">
        <v>667</v>
      </c>
      <c r="I117" s="655">
        <f>calcTotNumLagDBCopiesSDC</f>
        <v>36</v>
      </c>
    </row>
    <row r="118" spans="1:11" s="642" customFormat="1" ht="15" hidden="1" customHeight="1" outlineLevel="1" x14ac:dyDescent="0.2">
      <c r="A118" s="13"/>
      <c r="B118" s="579" t="s">
        <v>638</v>
      </c>
      <c r="C118" s="540" t="str">
        <f>IF(OR(calcNumActiveDBsPDCFFinSDC="--",calcNumActiveDBsPDCFFinSDC=0),"--",RecNumDBsDC1-calcTotActiveDBsPDCFFinPDC)</f>
        <v>--</v>
      </c>
      <c r="D118" s="550" t="str">
        <f>IF(OR(calcNumActiveDBsPDCFFinSDCDC2="--",calcNumActiveDBsPDCFFinSDCDC2=0),"--",RecNumDBsDC2-calcTotActiveDBsPDCFFinPDCDC2)</f>
        <v>--</v>
      </c>
      <c r="F118" s="643"/>
      <c r="G118" s="643"/>
      <c r="I118" s="17"/>
    </row>
    <row r="119" spans="1:11" s="642" customFormat="1" ht="15" hidden="1" customHeight="1" outlineLevel="1" x14ac:dyDescent="0.2">
      <c r="A119" s="13"/>
      <c r="B119" s="579" t="s">
        <v>605</v>
      </c>
      <c r="C119" s="540">
        <f>IF(HAOption="Yes",IF(SiteResilienceEnabled="Yes",IF(SRActivationBlocked="No",IF(AND(NumDBCopies&gt;=3,numActMBXSvrsPerDC,IF(AND(SRModel="Active/Active (Single DAG)",calcSRAASDDRServers="No"),calcNumAMBXServersDC2,calcNumPMBXServersDC2)&gt;=4),IF(calcNumDBCopyInPDC&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IF(calcTotNumHACopiesDC1inDC1&lt;calcDBPerm,2,0)),0)),"--"),IF(AND(calcNumDBCopyInPDC&gt;=3,calcNumAMBXServersDC1+calcNumPMBXServersDC2&gt;=4),MIN(TotNumDBCopiesServer,ROUNDUP(calcNumActiveDBs+((calcNumActiveDBs*2)/(numActMBXSvrsPerDC-2)),0)+IF(calcTotNumHACopiesDC1inDC1&lt;calcDBPerm,2,0)),"--")),IF(AND(calcNumDBCopyInPDC&gt;=3,numActMBXSvrsPerDC&gt;=4),MIN(TotNumDBCopiesServer,IF(numActMBXSvrsPerDC-2=1,TotNumDBCopiesServer/2,ROUNDUP(calcNumActiveDBs+((calcNumActiveDBs*2)/(numActMBXSvrsPerDC-2)),0)+IF(calcTotNumHACopiesDC1inDC1&lt;calcDBPerm,2,0))),"--")),"--")</f>
        <v>15</v>
      </c>
      <c r="D119" s="550">
        <f>IF(AND(HAOption="Yes",SiteResilienceEnabled="Yes",SRModel="Active/Active (Single DAG)"),IF(SiteResilienceEnabled="Yes",IF(SRActivationBlocked="No",IF(AND(NumDBCopies&gt;=3,numActMBXSvrsPerDC+IF(AND(SRModel="Active/Active (Single DAG)",calcSRAASDDRServers="No"),calcNumAMBXServersDC1,calcNumPMBXServersDC1)&gt;=4),IF(calcNumDBCopyInPDC&gt;=3,MIN(TotNumDBCopiesServer,IF(numActMBXSvrsPerDC-2=1,TotNumDBCopiesServer/2,ROUNDUP(calcNumActiveDBsDC2+((calcNumActiveDBsDC2*2)/(numActMBXSvrsPerDC-2)),0))),IF(numActMBXSvrsPerDC&gt;2,MIN(TotNumDBCopiesServer,ROUNDUP((RecNumDBsDC2-(ROUNDUP((calcNumActiveDBsDC2/(numActMBXSvrsPerDC-1)),0)*2))/(numActMBXSvrsPerDC-2),0)),0)),"--"),IF(AND(calcNumDBCopyInPDC&gt;=3,numActMBXSvrsPerDC&gt;=4),MIN(TotNumDBCopiesServer,IF(numActMBXSvrsPerDC-2=1,TotNumDBCopiesServer/2,ROUNDUP(calcNumActiveDBsDC2+((calcNumActiveDBsDC2*2)/(numActMBXSvrsPerDC-2)),0))),"--")),IF(AND(calcNumDBCopyInPDC&gt;=3,numActMBXSvrsPerDC&gt;=4),MIN(TotNumDBCopiesServer,IF(numActMBXSvrsPerDC-2=1,TotNumDBCopiesServer/2,ROUNDUP(calcNumActiveDBsDC2+((calcNumActiveDBsDC2*2)/(numActMBXSvrsPerDC-2)),0))),"--")),"--")</f>
        <v>15</v>
      </c>
      <c r="F119" s="643"/>
      <c r="G119" s="643"/>
      <c r="I119" s="17"/>
    </row>
    <row r="120" spans="1:11" s="642" customFormat="1" ht="15" hidden="1" customHeight="1" outlineLevel="1" x14ac:dyDescent="0.2">
      <c r="A120" s="13"/>
      <c r="B120" s="579" t="s">
        <v>604</v>
      </c>
      <c r="C120" s="540">
        <f>IF(AND(HAOption="Yes",SiteResilienceEnabled="Yes",SRActivationBlocked="No",numDBCopiesSDC&gt;=1,OR(calcNumDBCopyInPDC&lt;3,numActMBXSvrsPerDC&lt;4),ValidationCheck=FALSE,calcNumActiveDBsSF&lt;&gt;"--"),ROUNDUP(((calcNumActiveDBsFF-calcNumActiveDBs)*2)/IF(AND(SRModel="Active/Active (Single DAG)",calcSRAASDDRServers="No"),calcNumAMBXServersDC2,calcNumPMBXServersDC2),0),"--")</f>
        <v>2</v>
      </c>
      <c r="D120" s="550">
        <f>IF(AND(HAOption="Yes",SiteResilienceEnabled="Yes",SRActivationBlocked="No",SRModel="Active/Active (Single DAG)",numDBCopiesSDC&gt;=1,OR(calcNumDBCopyInPDC&lt;3,numActMBXSvrsPerDC&lt;4),ValidationCheck=FALSE,calcNumActiveDBsSFDC2&lt;&gt;"--"),ROUNDUP(((calcNumActiveDBsFFDC2-calcNumActiveDBsDC2)*2)/IF(AND(SRModel="Active/Active (Single DAG)",calcSRAASDDRServers="No"),calcNumAMBXServersDC1,calcNumPMBXServersDC1),0),"--")</f>
        <v>2</v>
      </c>
      <c r="F120" s="643"/>
      <c r="G120" s="643"/>
      <c r="I120" s="17"/>
    </row>
    <row r="121" spans="1:11" s="642" customFormat="1" ht="15" hidden="1" customHeight="1" outlineLevel="1" x14ac:dyDescent="0.2">
      <c r="A121" s="13"/>
      <c r="B121" s="410" t="s">
        <v>639</v>
      </c>
      <c r="C121" s="540">
        <f>IF(calcNumActiveDBsPDCSFinSDC="--","--",RecNumDBsDC1-(IF(ROUNDUP((calcNumActiveDBs/(numActMBXSvrsPerDC-1)),0)*2&gt;=RecNumDBsDC1,RecNumDBsDC1,ROUNDUP((calcNumActiveDBs/(numActMBXSvrsPerDC-1)),0)*2)))</f>
        <v>30</v>
      </c>
      <c r="D121" s="550">
        <f>IF(calcNumActiveDBsPDCSFinSDCDC2="--","--",RecNumDBsDC2-(IF(ROUNDUP((calcNumActiveDBsDC2/(numActMBXSvrsPerDC-1)),0)*2&gt;=RecNumDBsDC2,RecNumDBsDC2,ROUNDUP((calcNumActiveDBsDC2/(numActMBXSvrsPerDC-1)),0)*2)))</f>
        <v>30</v>
      </c>
      <c r="F121" s="643"/>
      <c r="G121" s="643"/>
      <c r="I121" s="17"/>
    </row>
    <row r="122" spans="1:11" s="642" customFormat="1" ht="15" hidden="1" customHeight="1" outlineLevel="1" x14ac:dyDescent="0.2">
      <c r="A122" s="13"/>
      <c r="B122" s="579" t="s">
        <v>638</v>
      </c>
      <c r="C122" s="540">
        <f>IF(calcNumActiveDBsPDCSFinSDC="--","--",ROUNDUP((calcNumActiveDBs/(numActMBXSvrsPerDC-1)),0)*2)</f>
        <v>6</v>
      </c>
      <c r="D122" s="550">
        <f>IF(calcNumActiveDBsPDCSFinSDCDC2="--","--",ROUNDUP((calcNumActiveDBsDC2/(numActMBXSvrsPerDC-1)),0)*2)</f>
        <v>6</v>
      </c>
      <c r="F122" s="643"/>
      <c r="G122" s="643"/>
      <c r="I122" s="17"/>
    </row>
    <row r="123" spans="1:11" ht="15" hidden="1" customHeight="1" outlineLevel="1" x14ac:dyDescent="0.2">
      <c r="A123" s="17"/>
      <c r="B123" s="25"/>
      <c r="C123" s="643"/>
      <c r="D123" s="5"/>
      <c r="E123" s="5"/>
      <c r="F123" s="5"/>
      <c r="G123" s="5"/>
      <c r="I123" s="17"/>
    </row>
    <row r="124" spans="1:11" ht="15" hidden="1" customHeight="1" outlineLevel="1" thickBot="1" x14ac:dyDescent="0.25">
      <c r="A124" s="17"/>
      <c r="B124" s="172" t="s">
        <v>717</v>
      </c>
      <c r="C124" s="193" t="s">
        <v>249</v>
      </c>
      <c r="D124" s="5"/>
      <c r="E124" s="5"/>
      <c r="F124" s="5"/>
      <c r="G124" s="5"/>
      <c r="H124" s="447" t="s">
        <v>299</v>
      </c>
      <c r="I124" s="448" t="s">
        <v>249</v>
      </c>
      <c r="J124" s="665"/>
    </row>
    <row r="125" spans="1:11" ht="15" hidden="1" customHeight="1" outlineLevel="1" thickTop="1" x14ac:dyDescent="0.2">
      <c r="A125" s="17"/>
      <c r="B125" s="574" t="s">
        <v>567</v>
      </c>
      <c r="C125" s="606">
        <f>IF(AND(HAOption="Yes",SiteResilienceEnabled="Yes",numDBCopiesSDC&lt;&gt;0,ValidationCheck=FALSE),IF(OR(AND(SiteResilienceEnabled="Yes",SRModel="Active/Active (Single DAG)",calcSRAASDDRServers="No"),AND(calcNumDBCopyInPDC=1,numActMBXSvrsPerDC=1,SiteResilienceEnabled="Yes",SRModel="Active/Active (Single DAG)")),ROUNDUP(RecNumDBs/calcNumAMBXServersDC2,0),ROUNDUP(IF(numDBCopiesSDC=1,calcNumHAPassCopiesDC1inDC2/calcNumPMBXServersDC2,IF(SRModel="Active/Active (Single DAG)",RecNumDBsDC2,RecNumDBs)/calcNumPMBXServersDC2),0)),"--")</f>
        <v>18</v>
      </c>
      <c r="D125" s="5"/>
      <c r="E125" s="5"/>
      <c r="F125" s="5"/>
      <c r="G125" s="5"/>
      <c r="H125" s="648" t="s">
        <v>492</v>
      </c>
      <c r="I125" s="649" t="str">
        <f>IF(IF(calcDedLaggedCopyServer="No",AND(JBODEvaluation="Yes",OR(VolArchitecture="1 Volume / DB",VolArchitecture="Multiple DBs / Volume"),NumDBCopies&gt;=3,OR(calcNumLagCopyInPDC=0,IF(VolArchitecture="Multiple DBs / Volume",calcNumLagCopyInPDC&gt;=1,calcNumLagCopyInPDC&gt;=2))),AND(JBODEvaluation="Yes",OR(VolArchitecture="1 Volume / DB",VolArchitecture="Multiple DBs / Volume"),NumDBCopies&gt;=3)),IF(AND(SiteResilienceEnabled="Yes",SRModel="Active/Active (Single DAG)",calcSRAASDDRServers="No",IF(VolArchitecture="Multiple DBs / Volume",(calcNumLagCopyInSDC+calcNumDBCopyInSDC)=1,calcNumDBCopyInSDC=1)),"RAID","JBOD"),"RAID")</f>
        <v>JBOD</v>
      </c>
      <c r="J125" s="628"/>
    </row>
    <row r="126" spans="1:11" ht="15" hidden="1" customHeight="1" outlineLevel="1" x14ac:dyDescent="0.2">
      <c r="A126" s="17"/>
      <c r="B126" s="574" t="s">
        <v>565</v>
      </c>
      <c r="C126" s="606" t="str">
        <f>IF(AND(HAOption="Yes",SiteResilienceEnabled="Yes",numDBCopiesSDC&gt;=2,ValidationCheck=FALSE),IF(AND(SRModel="Active/Active (Single DAG)",calcSRAASDDRServers="No",calcNumAMBXServersDC2&gt;=2),IF(calcNumAMBXServersDC2=numActMBXSvrsPerDC,calcNumActiveDBsFF,ROUNDUP(RecNumDBs/(calcNumAMBXServersDC2-1),0))+calcNumActiveDBsFF,IF(calcNumPMBXServersDC2&gt;=2,IF(calcNumPMBXServersDC2=numActMBXSvrsPerDC,calcNumActiveDBsFF,ROUNDUP(RecNumDBs/(calcNumPMBXServersDC2-1),0)),"--")),"--")</f>
        <v>--</v>
      </c>
      <c r="D126" s="5"/>
      <c r="E126" s="5"/>
      <c r="F126" s="5"/>
      <c r="G126" s="5"/>
      <c r="H126" s="648" t="s">
        <v>495</v>
      </c>
      <c r="I126" s="649" t="str">
        <f>IF(AND(HAOption="Yes",SiteResilienceEnabled="Yes",ValidationCheck=FALSE,numDBCopiesSDC&gt;0),IF(IF(calcDedLaggedCopyServer="No",AND(JBODEvaluation="Yes",OR(VolArchitecture="1 Volume / DB",VolArchitecture="Multiple DBs / Volume"),IF(VolArchitecture="Multiple DBs / Volume",(calcNumLagCopyInSDC+calcNumDBCopyInSDC)&gt;=2,calcNumDBCopyInSDC&gt;=2),IF(VolArchitecture="Multiple DBs / Volume",TRUE,OR(calcNumLagCopyInSDC=0,calcNumLagCopyInSDC&gt;=2))),AND(JBODEvaluation="Yes",OR(VolArchitecture="1 Volume / DB",VolArchitecture="Multiple DBs / Volume"),IF(VolArchitecture="Multiple DBs / Volume",(calcNumLagCopyInSDC+calcNumDBCopyInSDC)&gt;=2,calcNumDBCopyInSDC&gt;=2))),"JBOD","RAID"),"--")</f>
        <v>JBOD</v>
      </c>
      <c r="J126" s="628"/>
      <c r="K126" s="642"/>
    </row>
    <row r="127" spans="1:11" ht="15" hidden="1" customHeight="1" outlineLevel="1" x14ac:dyDescent="0.2">
      <c r="A127" s="17"/>
      <c r="B127" s="574" t="s">
        <v>566</v>
      </c>
      <c r="C127" s="606" t="str">
        <f>IF(AND(HAOption="Yes",SiteResilienceEnabled="Yes",numDBCopiesSDC&gt;=3,ValidationCheck=FALSE),IF(AND(SRModel="Active/Active (Single DAG)",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f>
        <v>--</v>
      </c>
      <c r="D127" s="5"/>
      <c r="F127" s="5"/>
      <c r="G127" s="5"/>
      <c r="H127" s="648" t="s">
        <v>494</v>
      </c>
      <c r="I127" s="649" t="str">
        <f>IF(AND(calcDedLaggedCopyServer="Yes",numLagDBCopies&gt;0,ValidationCheck=FALSE,HAOption="Yes"),IF(AND(JBODEvaluation="Yes",OR(VolArchitecture="1 Volume / DB",VolArchitecture="Multiple DBs / Volume"),OR(calcNumLagCopyInPDC&gt;=2,calcNumLagCopyInSDC&gt;2)),"JBOD","RAID"),"--")</f>
        <v>--</v>
      </c>
      <c r="J127" s="628"/>
    </row>
    <row r="128" spans="1:11" ht="15" hidden="1" customHeight="1" outlineLevel="1" x14ac:dyDescent="0.2">
      <c r="A128" s="17"/>
      <c r="B128" s="25" t="s">
        <v>568</v>
      </c>
      <c r="C128" s="190">
        <f>IF(AND(HAOption="Yes",SiteResilienceEnabled="Yes"),IF(AND(calcNumAMBXServersDC1=1,calcNumDBCopyInPDC=1,SiteResilienceEnabled="Yes",SRModel="Active/Active (Single DAG)"),calcNumDBMemSizing,MAX(calcNumActiveDBsSiteF,calcNumActiveDBsSiteF1F,calcNumActiveDBsSiteF2F)),"--")</f>
        <v>18</v>
      </c>
      <c r="D128" s="5"/>
      <c r="E128" s="5"/>
      <c r="F128" s="5"/>
      <c r="G128" s="5"/>
      <c r="I128" s="17"/>
    </row>
    <row r="129" spans="1:10" ht="15" hidden="1" customHeight="1" outlineLevel="1" x14ac:dyDescent="0.2">
      <c r="A129" s="17"/>
      <c r="B129" s="628"/>
      <c r="C129" s="518"/>
      <c r="D129" s="5"/>
      <c r="E129" s="5"/>
      <c r="F129" s="5"/>
      <c r="G129" s="5"/>
      <c r="I129" s="17"/>
      <c r="J129" s="13"/>
    </row>
    <row r="130" spans="1:10" s="642" customFormat="1" ht="15" hidden="1" customHeight="1" outlineLevel="1" x14ac:dyDescent="0.2">
      <c r="A130" s="17"/>
      <c r="B130" s="172" t="s">
        <v>415</v>
      </c>
      <c r="C130" s="172" t="s">
        <v>249</v>
      </c>
      <c r="D130" s="5"/>
      <c r="E130" s="5">
        <f>IF(AND(HAOption="Yes",calcMultipleDBVolume="Yes"),IF(SiteResilienceEnabled="Yes",IF(calcNumActiveDBsSiteF2F&lt;&gt;"--",calcTotNumHACopies-2,IF(calcNumActiveDBsSiteF1F&lt;&gt;"--",calcTotNumHACopies-1,1)),IF(calcNumActiveDBsSF&lt;&gt;"--",calcTotNumHACopies-2,IF(calcNumActiveDBsFF&lt;&gt;"--",calcTotNumHACopies-1,1))),1)</f>
        <v>1</v>
      </c>
      <c r="F130" s="5"/>
      <c r="G130" s="5"/>
      <c r="H130" s="172" t="s">
        <v>416</v>
      </c>
      <c r="I130" s="250" t="s">
        <v>249</v>
      </c>
      <c r="J130" s="13"/>
    </row>
    <row r="131" spans="1:10" s="642" customFormat="1" ht="15" hidden="1" customHeight="1" outlineLevel="1" x14ac:dyDescent="0.2">
      <c r="A131" s="17"/>
      <c r="B131" s="25" t="s">
        <v>1432</v>
      </c>
      <c r="C131" s="194">
        <f>VLOOKUP(IF(HAOption="Yes",TotNumDBCopiesServer,RecNumDBs),tblMinESECacheReq,3,TRUE)</f>
        <v>14</v>
      </c>
      <c r="D131" s="5"/>
      <c r="E131" s="5"/>
      <c r="F131" s="5"/>
      <c r="G131" s="5"/>
      <c r="H131" s="25" t="s">
        <v>368</v>
      </c>
      <c r="I131" s="409">
        <f>IF(AND(OR(calcNumAMBXServersDC2&lt;&gt;0,calcNumPMBXServersDC2&gt;0),SiteResilienceEnabled="Yes",ValidationCheck=FALSE,calcNumDBMemSizingSDC&lt;&gt;"--"),ROUNDUP((NumTier1MBXDB*calcNumDBMemSizingSDC*Tier1MemoryProfile/1024)+(NumTier2MBXDB*calcNumDBMemSizingSDC*Tier2MemoryProfile/1024)+(NumTier3MBXDB*calcNumDBMemSizingSDC*Tier3MemoryProfile/1024)+(NumTier4MBXDB*calcNumDBMemSizingSDC*Tier4MemoryProfile/1024),0),"--")</f>
        <v>14</v>
      </c>
      <c r="J131" s="13"/>
    </row>
    <row r="132" spans="1:10" s="642" customFormat="1" ht="15" hidden="1" customHeight="1" outlineLevel="1" x14ac:dyDescent="0.2">
      <c r="A132" s="17"/>
      <c r="B132" s="25" t="s">
        <v>450</v>
      </c>
      <c r="C132" s="194">
        <f>IF(HAOption="Yes",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14</v>
      </c>
      <c r="D132" s="5"/>
      <c r="E132" s="5"/>
      <c r="F132" s="5"/>
      <c r="G132" s="5"/>
      <c r="H132" s="628" t="s">
        <v>796</v>
      </c>
      <c r="I132" s="650">
        <f>IF(AND(OR(calcNumAMBXServersDC2&lt;&gt;0,calcNumPMBXServersDC2&gt;0),SiteResilienceEnabled="Yes",ValidationCheck=FALSE,calcNumActiveDBsSiteF&lt;&gt;"--"),minDBCacheMemMBXSDC*1024*1024*1024/32768,"--")</f>
        <v>458752</v>
      </c>
      <c r="J132" s="13"/>
    </row>
    <row r="133" spans="1:10" s="642" customFormat="1" ht="15" hidden="1" customHeight="1" outlineLevel="1" x14ac:dyDescent="0.2">
      <c r="A133" s="17"/>
      <c r="B133" s="628" t="s">
        <v>796</v>
      </c>
      <c r="C133" s="550">
        <f>minDBCacheMemMBX*1024*1024*1024/32768</f>
        <v>458752</v>
      </c>
      <c r="D133" s="5"/>
      <c r="E133" s="863"/>
      <c r="F133" s="5"/>
      <c r="G133" s="987"/>
      <c r="H133" s="1075" t="s">
        <v>1833</v>
      </c>
      <c r="I133" s="30">
        <f>((NumTier1MBXDB*Tier1MBXSize/Tier1AvgMessageSize)+(NumTier2MBXDB*Tier2MBXSize/Tier2AvgMessageSize)+(NumTier3MBXDB*Tier3MBXSize/Tier3AvgMessageSize)+(NumTier4MBXDB*Tier4MBXSize/Tier4AvgMessageSize))*calcNumDBMemSizingSDC</f>
        <v>163350</v>
      </c>
      <c r="J133" s="13"/>
    </row>
    <row r="134" spans="1:10" s="642" customFormat="1" ht="15" hidden="1" customHeight="1" outlineLevel="1" x14ac:dyDescent="0.2">
      <c r="A134" s="17"/>
      <c r="B134" s="25" t="s">
        <v>794</v>
      </c>
      <c r="C134" s="190">
        <f>CachePages/((calcNumDBMemSizing*0.8)+(IF(HAOption="Yes",TotNumDBCopiesServer,RecNumDBs)*0.2))</f>
        <v>21238.518518518518</v>
      </c>
      <c r="D134" s="643"/>
      <c r="E134" s="643"/>
      <c r="F134" s="643"/>
      <c r="G134" s="987"/>
      <c r="H134" s="1076" t="s">
        <v>1834</v>
      </c>
      <c r="I134" s="439">
        <f>((NumTier1MBXDB*Tier1MBXSize/Tier1AvgMessageSize)+(NumTier2MBXDB*Tier2MBXSize/Tier2AvgMessageSize)+(NumTier3MBXDB*Tier3MBXSize/Tier3AvgMessageSize)+(NumTier4MBXDB*Tier4MBXSize/Tier4AvgMessageSize))*(TotNumDBCopiesServer-calcNumDBMemSizingSDC)</f>
        <v>163350</v>
      </c>
      <c r="J134" s="13"/>
    </row>
    <row r="135" spans="1:10" s="642" customFormat="1" ht="15" hidden="1" customHeight="1" outlineLevel="1" x14ac:dyDescent="0.2">
      <c r="A135" s="17"/>
      <c r="B135" s="25" t="s">
        <v>795</v>
      </c>
      <c r="C135" s="190">
        <f>IF(HAOption="No",0,CachePages/(((calcNumDBMemSizing*0.8)+(IF(HAOption="Yes",TotNumDBCopiesServer,RecNumDBs)*0.2))*5))</f>
        <v>4247.7037037037035</v>
      </c>
      <c r="D135" s="643"/>
      <c r="E135" s="643"/>
      <c r="F135" s="643"/>
      <c r="G135" s="643"/>
      <c r="H135" s="25" t="s">
        <v>827</v>
      </c>
      <c r="I135" s="1077">
        <f>7+((calcItemsPerServerActiveSDC*110)+(calcItemsPerServerPassiveSDC*24))/1073741824</f>
        <v>7.0203856267035007</v>
      </c>
      <c r="J135" s="13"/>
    </row>
    <row r="136" spans="1:10" s="642" customFormat="1" ht="15" hidden="1" customHeight="1" outlineLevel="1" x14ac:dyDescent="0.2">
      <c r="A136" s="17"/>
      <c r="B136" s="628" t="s">
        <v>1313</v>
      </c>
      <c r="C136" s="202">
        <f>MAX(minReqMemory,((100*CachePages*32768/25)/1024/1024/1024)+IF(MultiRoleEnabled="Yes",calcCASMemReq,0))</f>
        <v>64.400000000000006</v>
      </c>
      <c r="D136" s="643"/>
      <c r="E136" s="643"/>
      <c r="F136" s="643"/>
      <c r="G136" s="643"/>
      <c r="H136" s="628" t="s">
        <v>1313</v>
      </c>
      <c r="I136" s="409">
        <f>IF(AND(OR(calcNumAMBXServersDC2&lt;&gt;0,calcNumPMBXServersDC2&gt;0),SiteResilienceEnabled="Yes",ValidationCheck=FALSE,calcNumActiveDBsSiteF&lt;&gt;"--"),MAX(minReqMemory,((100*CachePagesDC2*32768/25)/1024/1024/1024)+IF(MultiRoleEnabled="Yes",calcCASMemReqSDC,0)),"--")</f>
        <v>64.400000000000006</v>
      </c>
      <c r="J136" s="13"/>
    </row>
    <row r="137" spans="1:10" s="642" customFormat="1" ht="15" hidden="1" customHeight="1" outlineLevel="1" x14ac:dyDescent="0.2">
      <c r="A137" s="17"/>
      <c r="B137" s="25" t="s">
        <v>827</v>
      </c>
      <c r="C137" s="267">
        <f>7+((calcItemsPerServerActive*110)+(calcItemsPerServerPassive*24))/1073741824</f>
        <v>7.0203856267035007</v>
      </c>
      <c r="D137" s="5"/>
      <c r="E137" s="5"/>
      <c r="F137" s="5"/>
      <c r="G137" s="5"/>
      <c r="H137" s="628" t="s">
        <v>828</v>
      </c>
      <c r="I137" s="409">
        <f>IF(AND(OR(calcNumAMBXServersDC2&lt;&gt;0,calcNumPMBXServersDC2&gt;0),SiteResilienceEnabled="Yes",ValidationCheck=FALSE,calcNumActiveDBsSiteF&lt;&gt;"--"),IF(numMCyclesPerCoreSDC&lt;&gt;0,ROUND(2+(calcCASCPUSDC/calcAvSvrMCyclesSDC*numProcCoresSDC*2),0),(numProcCoresSDC*2*0.2)+2),"--")</f>
        <v>8.4</v>
      </c>
      <c r="J137" s="13"/>
    </row>
    <row r="138" spans="1:10" s="642" customFormat="1" ht="15" hidden="1" customHeight="1" outlineLevel="1" x14ac:dyDescent="0.2">
      <c r="A138" s="17"/>
      <c r="B138" s="628" t="s">
        <v>828</v>
      </c>
      <c r="C138" s="267">
        <f>IF(numMCyclesPerCorePDC&lt;&gt;0,ROUND(2+(calcCASCPUPDC/calcAvSvrMCycles*numProcCoresPDC*2),0),(numProcCoresPDC*2*0.2)+2)</f>
        <v>8.4</v>
      </c>
      <c r="D138" s="5"/>
      <c r="E138" s="5"/>
      <c r="F138" s="5"/>
      <c r="G138" s="5"/>
      <c r="H138" s="628" t="s">
        <v>865</v>
      </c>
      <c r="I138" s="409">
        <f>IF(AND(OR(calcNumAMBXServersDC2&lt;&gt;0,calcNumPMBXServersDC2&gt;0),SiteResilienceEnabled="Yes",ValidationCheck=FALSE,calcNumActiveDBsSiteF&lt;&gt;"--"),IF((0.25*calcMBXSDCRAM)+calcCIMemReqSDC&gt;calcMBXSDCRAM,calcMBXSDCRAM+calcCIMemReqSDC,calcMBXSDCRAM),"--")</f>
        <v>64.400000000000006</v>
      </c>
      <c r="J138" s="13"/>
    </row>
    <row r="139" spans="1:10" ht="15" hidden="1" customHeight="1" outlineLevel="1" x14ac:dyDescent="0.2">
      <c r="A139" s="17"/>
      <c r="B139" s="628" t="s">
        <v>865</v>
      </c>
      <c r="C139" s="194">
        <f>IF((0.25*calcServerRAM)+calcCIMemReq&gt;calcServerRAM,calcServerRAM+calcCIMemReq,calcServerRAM)</f>
        <v>64.400000000000006</v>
      </c>
      <c r="D139" s="5"/>
      <c r="E139" s="5"/>
      <c r="F139" s="5"/>
      <c r="G139" s="5"/>
      <c r="H139" s="25" t="s">
        <v>374</v>
      </c>
      <c r="I139" s="409">
        <f>IF(AND(OR(calcNumAMBXServersDC2&lt;&gt;0,calcNumPMBXServersDC2&gt;0),SiteResilienceEnabled="Yes",ValidationCheck=FALSE,calcNumActiveDBsSiteF&lt;&gt;"--"),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f>
        <v>96</v>
      </c>
    </row>
    <row r="140" spans="1:10" s="642" customFormat="1" ht="15" hidden="1" customHeight="1" outlineLevel="1" x14ac:dyDescent="0.2">
      <c r="A140" s="17"/>
      <c r="B140" s="25" t="s">
        <v>374</v>
      </c>
      <c r="C140" s="194">
        <f>MAX(IF(calcTotServerRAM&gt;=64,CEILING(calcTotServerRAM,32),IF(calcTotServerRAM&gt;=32,CEILING(calcTotServerRAM,16),IF(calcTotServerRAM&gt;=16,CEILING(calcTotServerRAM,8),IF(calcTotServerRAM&gt;=4,CEILING(calcTotServerRAM,4),CEILING(calcTotServerRAM,2))))),8)</f>
        <v>96</v>
      </c>
      <c r="D140" s="798"/>
      <c r="E140" s="798"/>
      <c r="F140" s="798"/>
      <c r="G140" s="798"/>
      <c r="H140" s="628" t="s">
        <v>1314</v>
      </c>
      <c r="I140" s="409" t="str">
        <f>IF(AND(OR(calcNumAMBXServersDC2&lt;&gt;0,calcNumPMBXServersDC2&gt;0),MultiRoleEnabled="No",SiteResilienceEnabled="Yes",ValidationCheck=FALSE,calcNumActiveDBsSiteF&lt;&gt;"--"),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f>
        <v>--</v>
      </c>
    </row>
    <row r="141" spans="1:10" s="642" customFormat="1" ht="15" hidden="1" customHeight="1" outlineLevel="1" x14ac:dyDescent="0.2">
      <c r="A141" s="17"/>
      <c r="B141" s="25" t="s">
        <v>367</v>
      </c>
      <c r="C141" s="267">
        <f>ServerRAMConfig*0.25</f>
        <v>24</v>
      </c>
      <c r="D141" s="798"/>
      <c r="E141" s="798"/>
      <c r="F141" s="798"/>
      <c r="G141" s="798"/>
      <c r="H141" s="628"/>
      <c r="I141" s="1001"/>
    </row>
    <row r="142" spans="1:10" s="642" customFormat="1" ht="15" hidden="1" customHeight="1" outlineLevel="1" x14ac:dyDescent="0.2">
      <c r="A142" s="17"/>
      <c r="B142" s="628" t="s">
        <v>1314</v>
      </c>
      <c r="C142" s="290" t="str">
        <f>IF(MultiRoleEnabled="No",MAX(IF(calcCASMemReq&gt;=64,CEILING(calcCASMemReq,32),IF(calcCASMemReq&gt;=32,CEILING(calcCASMemReq,16),IF(calcCASMemReq&gt;=16,CEILING(calcCASMemReq,8),IF(calcCASMemReq&gt;=4,CEILING(calcCASMemReq,4),CEILING(calcCASMemReq,2))))),8),"--")</f>
        <v>--</v>
      </c>
      <c r="D142" s="798"/>
      <c r="E142" s="798"/>
      <c r="F142" s="798"/>
      <c r="G142" s="798"/>
      <c r="I142" s="17"/>
    </row>
    <row r="143" spans="1:10" ht="15" hidden="1" customHeight="1" outlineLevel="1" x14ac:dyDescent="0.2">
      <c r="A143" s="17"/>
      <c r="D143" s="5"/>
      <c r="E143" s="5"/>
      <c r="F143" s="5"/>
      <c r="G143" s="5"/>
      <c r="H143" s="12"/>
      <c r="I143" s="357"/>
    </row>
    <row r="144" spans="1:10" ht="15" hidden="1" customHeight="1" outlineLevel="1" x14ac:dyDescent="0.2">
      <c r="B144" s="198" t="s">
        <v>35</v>
      </c>
      <c r="C144" s="193" t="s">
        <v>249</v>
      </c>
      <c r="D144" s="5"/>
      <c r="E144" s="5"/>
      <c r="F144" s="5"/>
      <c r="G144" s="5"/>
      <c r="H144" s="172" t="s">
        <v>28</v>
      </c>
      <c r="I144" s="199" t="s">
        <v>249</v>
      </c>
    </row>
    <row r="145" spans="1:10" ht="15" hidden="1" customHeight="1" outlineLevel="1" x14ac:dyDescent="0.2">
      <c r="B145" s="23" t="s">
        <v>198</v>
      </c>
      <c r="C145" s="24">
        <f>IF(HAOption="Yes",((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180000</v>
      </c>
      <c r="D145" s="270"/>
      <c r="H145" s="25" t="s">
        <v>385</v>
      </c>
      <c r="I145" s="357">
        <f>DBSizeOverhead*RecNumDBs</f>
        <v>47856.4453125</v>
      </c>
    </row>
    <row r="146" spans="1:10" ht="15" hidden="1" customHeight="1" outlineLevel="1" x14ac:dyDescent="0.2">
      <c r="B146" s="23" t="s">
        <v>305</v>
      </c>
      <c r="C146" s="24">
        <f>CalcNumUserTLogs/RecNumDBs</f>
        <v>2500</v>
      </c>
      <c r="D146" s="5"/>
      <c r="E146" s="5"/>
      <c r="F146" s="5"/>
      <c r="G146" s="5"/>
      <c r="H146" s="12" t="s">
        <v>386</v>
      </c>
      <c r="I146" s="409">
        <f>IF(HAOption="Yes",TotDBDiskSpaceReq*(calcTotNumHACopies+calcTotNumLagCopies),"--")</f>
        <v>191425.78125</v>
      </c>
    </row>
    <row r="147" spans="1:10" ht="15" hidden="1" customHeight="1" outlineLevel="1" x14ac:dyDescent="0.2">
      <c r="B147" s="23" t="s">
        <v>95</v>
      </c>
      <c r="C147" s="267">
        <f>IF(AND(HAOption="Yes",BackupMethod="Exchange Native Data Protection",calcTotNumHACopies+calcTotNumLagCopies&gt;=3),CalcNumUserTLogs*MAX(MAX(BackupFailureTol,NetFailureTol),ReplayLagTime+TruncationLagTime,1)/1024,CalcNumUserTLogs*(IF(BackupFreq="Weekly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1230.46875</v>
      </c>
      <c r="D147" s="5"/>
      <c r="E147" s="25"/>
      <c r="F147" s="25"/>
      <c r="G147" s="25"/>
      <c r="H147" s="12" t="s">
        <v>383</v>
      </c>
      <c r="I147" s="409">
        <f>IF(HAOption="Yes",DBSizeOverhead*TotNumDBCopiesServer,"--")</f>
        <v>23928.22265625</v>
      </c>
    </row>
    <row r="148" spans="1:10" ht="15" hidden="1" customHeight="1" outlineLevel="1" x14ac:dyDescent="0.2">
      <c r="B148" s="23" t="s">
        <v>94</v>
      </c>
      <c r="C148" s="267">
        <f>IF(HAOption="Yes",(((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478.564453125</v>
      </c>
      <c r="D148" s="5"/>
      <c r="E148" s="25"/>
      <c r="F148" s="25"/>
      <c r="G148" s="25"/>
      <c r="H148" s="25" t="s">
        <v>387</v>
      </c>
      <c r="I148" s="409">
        <f>(LogDiskSpaceReqBackup+LogDiskSpaceReqMove)</f>
        <v>1709.033203125</v>
      </c>
    </row>
    <row r="149" spans="1:10" ht="15" hidden="1" customHeight="1" outlineLevel="1" x14ac:dyDescent="0.2">
      <c r="B149" s="23" t="s">
        <v>310</v>
      </c>
      <c r="C149" s="24">
        <f>LogDiskSpaceReqMove*1024</f>
        <v>490050</v>
      </c>
      <c r="D149" s="5"/>
      <c r="E149" s="345"/>
      <c r="F149" s="515"/>
      <c r="G149" s="515"/>
      <c r="H149" s="12" t="s">
        <v>388</v>
      </c>
      <c r="I149" s="409">
        <f>IF(HAOption="Yes",TotLogDiskSpace*(calcTotNumHACopies+calcTotNumLagCopies),"--")</f>
        <v>6836.1328125</v>
      </c>
    </row>
    <row r="150" spans="1:10" ht="15" hidden="1" customHeight="1" outlineLevel="1" x14ac:dyDescent="0.2">
      <c r="B150" s="23" t="s">
        <v>306</v>
      </c>
      <c r="C150" s="24">
        <f>NumMoveMBXTLogPerWk/RecNumDBs</f>
        <v>6806.25</v>
      </c>
      <c r="D150" s="5"/>
      <c r="E150" s="346"/>
      <c r="F150" s="516"/>
      <c r="G150" s="516"/>
      <c r="H150" s="12" t="s">
        <v>384</v>
      </c>
      <c r="I150" s="409">
        <f>IF(HAOption="Yes",LogSizeOverhead*TotNumDBCopiesServer,"--")</f>
        <v>854.5166015625</v>
      </c>
    </row>
    <row r="151" spans="1:10" ht="15" hidden="1" customHeight="1" outlineLevel="1" x14ac:dyDescent="0.2">
      <c r="B151" s="23" t="s">
        <v>311</v>
      </c>
      <c r="C151" s="24">
        <f>NumMoveMBXTLogPerWk/7</f>
        <v>70007.142857142855</v>
      </c>
      <c r="D151" s="5"/>
      <c r="E151" s="25"/>
      <c r="F151" s="25"/>
      <c r="G151" s="25"/>
      <c r="I151" s="17"/>
    </row>
    <row r="152" spans="1:10" ht="15" hidden="1" customHeight="1" outlineLevel="1" x14ac:dyDescent="0.2">
      <c r="B152" s="23" t="s">
        <v>307</v>
      </c>
      <c r="C152" s="24">
        <f>NumMoveMBXTLogPerWkPerDB/7</f>
        <v>972.32142857142856</v>
      </c>
      <c r="D152" s="5"/>
      <c r="E152" s="5"/>
      <c r="F152" s="5"/>
      <c r="G152" s="5"/>
      <c r="I152" s="17"/>
    </row>
    <row r="153" spans="1:10" ht="15" hidden="1" customHeight="1" outlineLevel="1" x14ac:dyDescent="0.2">
      <c r="B153" s="23" t="s">
        <v>308</v>
      </c>
      <c r="C153" s="24">
        <f>NumDBMoveMbxTLogs+CalcNumDBUserTLogs</f>
        <v>3472.3214285714284</v>
      </c>
      <c r="D153" s="5"/>
      <c r="E153" s="5"/>
      <c r="F153" s="5"/>
      <c r="G153" s="5"/>
      <c r="H153" s="12"/>
      <c r="I153" s="200"/>
    </row>
    <row r="154" spans="1:10" ht="15" hidden="1" customHeight="1" outlineLevel="1" x14ac:dyDescent="0.2">
      <c r="B154" s="23" t="s">
        <v>312</v>
      </c>
      <c r="C154" s="24">
        <f>NumMoveMBXTLogs+CalcNumUserTLogs</f>
        <v>250007.14285714284</v>
      </c>
      <c r="D154" s="5"/>
      <c r="E154" s="5"/>
      <c r="F154" s="5"/>
      <c r="G154" s="5"/>
      <c r="H154" s="13"/>
      <c r="I154" s="17"/>
    </row>
    <row r="155" spans="1:10" ht="15" hidden="1" customHeight="1" outlineLevel="1" x14ac:dyDescent="0.2">
      <c r="B155" s="23"/>
      <c r="C155" s="24"/>
      <c r="D155" s="5"/>
      <c r="E155" s="5"/>
      <c r="F155" s="5"/>
      <c r="G155" s="5"/>
      <c r="I155" s="17"/>
    </row>
    <row r="156" spans="1:10" ht="15" hidden="1" customHeight="1" outlineLevel="1" x14ac:dyDescent="0.2">
      <c r="A156" s="17"/>
      <c r="B156" s="423" t="s">
        <v>459</v>
      </c>
      <c r="C156" s="424" t="s">
        <v>249</v>
      </c>
      <c r="D156" s="5"/>
      <c r="E156" s="5"/>
      <c r="F156" s="5"/>
      <c r="G156" s="5"/>
      <c r="H156" s="423" t="s">
        <v>530</v>
      </c>
      <c r="I156" s="424" t="s">
        <v>249</v>
      </c>
    </row>
    <row r="157" spans="1:10" s="642" customFormat="1" ht="15" hidden="1" customHeight="1" outlineLevel="1" x14ac:dyDescent="0.2">
      <c r="A157" s="17"/>
      <c r="B157" s="642" t="s">
        <v>728</v>
      </c>
      <c r="C157" s="384">
        <f>numSpecRatePDC/numProcCoresPDC*2000/33.75</f>
        <v>0</v>
      </c>
      <c r="D157" s="643"/>
      <c r="E157" s="643"/>
      <c r="F157" s="643"/>
      <c r="G157" s="643"/>
      <c r="H157" s="501" t="s">
        <v>496</v>
      </c>
      <c r="I157" s="500" t="str">
        <f>IF(AND(numMCyclesPerCorePDC&lt;&gt;0,ValidationCheck=FALSE),(calcMBXServerACPU+calcMBXServerPCPU+IF(MultiRoleEnabled="Yes",calcCASCPUPDC,0))/calcAvSvrMCycles,"--")</f>
        <v>--</v>
      </c>
    </row>
    <row r="158" spans="1:10" s="642" customFormat="1" ht="15" hidden="1" customHeight="1" outlineLevel="1" x14ac:dyDescent="0.2">
      <c r="A158" s="17"/>
      <c r="B158" s="642" t="s">
        <v>726</v>
      </c>
      <c r="C158" s="384">
        <f>IF(AND(OR(calcNumAMBXServersDC2&lt;&gt;0,calcNumPMBXServersDC2&lt;&gt;0),ValidationCheck=FALSE),numSpecRateSDC/numProcCoresSDC*2000/33.75,0)</f>
        <v>0</v>
      </c>
      <c r="D158" s="643"/>
      <c r="E158" s="643"/>
      <c r="F158" s="643"/>
      <c r="G158" s="643"/>
      <c r="H158" s="501" t="s">
        <v>497</v>
      </c>
      <c r="I158" s="500" t="str">
        <f>IF(AND(OR(calcNumPMBXServersDC2&lt;&gt;0,calcNumAMBXServersDC2&lt;&gt;0),ValidationCheck=FALSE,numMCyclesPerCoreSDC&lt;&gt;0),(calcMBXServerACPUSDC+calcMBXServerPCPUSDC+IF(MultiRoleEnabled="Yes",calcCASCPUSDC,0))/calcAvSvrMCyclesSDC,"--")</f>
        <v>--</v>
      </c>
    </row>
    <row r="159" spans="1:10" s="642" customFormat="1" ht="15" hidden="1" customHeight="1" outlineLevel="1" x14ac:dyDescent="0.2">
      <c r="A159" s="17"/>
      <c r="B159" s="642" t="s">
        <v>727</v>
      </c>
      <c r="C159" s="384">
        <f>IF(AND(HAOption="Yes",calcDedLaggedCopyServer="Yes",numLagDBCopies&lt;&gt;0,ValidationCheck=FALSE),numSpecRateLCS/numProcCoresLCS*2000/33.75,0)</f>
        <v>0</v>
      </c>
      <c r="D159" s="643"/>
      <c r="E159" s="643"/>
      <c r="F159" s="643"/>
      <c r="G159" s="643"/>
      <c r="H159" s="501" t="s">
        <v>498</v>
      </c>
      <c r="I159" s="500" t="str">
        <f>IF(AND(calcNumLagMBXServers&lt;&gt;0,ValidationCheck=FALSE,numMCyclesPerCoreLCS&lt;&gt;0),calcLaggedServerCPU/calcAvSvrMCyclesLCS,"--")</f>
        <v>--</v>
      </c>
    </row>
    <row r="160" spans="1:10" ht="15" hidden="1" customHeight="1" outlineLevel="1" x14ac:dyDescent="0.2">
      <c r="A160" s="17"/>
      <c r="B160" s="3" t="s">
        <v>535</v>
      </c>
      <c r="C160" s="499" t="str">
        <f>IF(numMCyclesPerCorePDC&lt;&gt;0,numProcCoresPDC*numMCyclesPerCorePDC,"--")</f>
        <v>--</v>
      </c>
      <c r="D160" s="5"/>
      <c r="E160" s="5"/>
      <c r="F160" s="5"/>
      <c r="G160" s="5"/>
      <c r="I160" s="17"/>
      <c r="J160" s="13"/>
    </row>
    <row r="161" spans="1:12" ht="15" hidden="1" customHeight="1" outlineLevel="1" x14ac:dyDescent="0.2">
      <c r="A161" s="17"/>
      <c r="B161" s="3" t="s">
        <v>533</v>
      </c>
      <c r="C161" s="499">
        <f>IF(AND(OR(calcNumAMBXServersDC2&lt;&gt;0,calcNumPMBXServersDC2&lt;&gt;0),ValidationCheck=FALSE),numProcCoresSDC*numMCyclesPerCoreSDC,"--")</f>
        <v>0</v>
      </c>
      <c r="D161" s="5"/>
      <c r="E161" s="5"/>
      <c r="F161" s="5"/>
      <c r="G161" s="5"/>
      <c r="I161" s="17"/>
      <c r="J161" s="13"/>
    </row>
    <row r="162" spans="1:12" ht="15" hidden="1" customHeight="1" outlineLevel="1" x14ac:dyDescent="0.2">
      <c r="A162" s="17"/>
      <c r="B162" s="3" t="s">
        <v>534</v>
      </c>
      <c r="C162" s="499" t="str">
        <f>IF(AND(HAOption="Yes",calcDedLaggedCopyServer="Yes",numLagDBCopies&lt;&gt;0,ValidationCheck=FALSE),numProcCoresLCS*numMCyclesPerCoreLCS,"--")</f>
        <v>--</v>
      </c>
      <c r="D162" s="5"/>
      <c r="E162" s="5"/>
      <c r="F162" s="5"/>
      <c r="G162" s="5"/>
      <c r="H162" s="423" t="s">
        <v>737</v>
      </c>
      <c r="I162" s="445" t="s">
        <v>249</v>
      </c>
      <c r="J162" s="13"/>
    </row>
    <row r="163" spans="1:12" ht="15" hidden="1" customHeight="1" outlineLevel="1" x14ac:dyDescent="0.2">
      <c r="A163" s="17"/>
      <c r="B163" s="866" t="s">
        <v>462</v>
      </c>
      <c r="C163" s="865">
        <f>calcNumDBMemSizing*((NumTier1MBXDB*Tier1ActiveMegacycles)+(NumTier2MBXDB*Tier2ActiveMegacycles)+(NumTier3MBXDB*Tier3ActiveMegacycles)+(NumTier4MBXDB*Tier4ActiveMegacycles))*IF(VirtualizationEnabled="Yes",(1+VirtCPUFactor),1)</f>
        <v>9562.5</v>
      </c>
      <c r="D163" s="5"/>
      <c r="E163" s="832"/>
      <c r="F163" s="5"/>
      <c r="G163" s="5"/>
      <c r="H163" s="573" t="s">
        <v>404</v>
      </c>
      <c r="I163" s="676" t="b">
        <f>IF(HAOption="Yes",IF(calcNumAMBXServersDC1+calcNumPMBXServersDC1+calcNumLagMBXServers+calcNumPMBXServersDC2+calcNumAMBXServersDC2&gt;16,TRUE,FALSE),FALSE)</f>
        <v>0</v>
      </c>
      <c r="J163" s="13"/>
    </row>
    <row r="164" spans="1:12" ht="15" hidden="1" customHeight="1" outlineLevel="1" x14ac:dyDescent="0.2">
      <c r="A164" s="17"/>
      <c r="B164" s="866" t="s">
        <v>684</v>
      </c>
      <c r="C164" s="865">
        <f>IF(HAOption="Yes",(TotNumDBCopiesServer-calcNumDBMemSizing)*((NumTier1MBXDB*Tier1PassiveMegacycles)+(NumTier2MBXDB*Tier2PassiveMegacycles)+(NumTier3MBXDB*Tier3PassiveMegacycles)+(NumTier4MBXDB*Tier4PassiveMegacycles))*IF(VirtualizationEnabled="Yes",(1+VirtCPUFactor),1),0)</f>
        <v>3082.5</v>
      </c>
      <c r="D164" s="5"/>
      <c r="E164" s="643"/>
      <c r="F164" s="5"/>
      <c r="G164" s="5"/>
      <c r="H164" s="3" t="s">
        <v>738</v>
      </c>
      <c r="I164" s="677" t="b">
        <f>IF(HAOption="Yes",IF(SiteResilienceEnabled="Yes",IF(OR(AND(numDBCopiesSDC&gt;NumDBCopies-1,numMBXServers&gt;1),calcNumDBCopyInPDC+calcNumDBCopyInSDC&gt;TotNumMBXServersinDAG,numDBCopiesSDC+numLaggedCopiesSDC=0),TRUE,FALSE),IF(NumDBCopies+IF(calcDedLaggedCopyServer="No",numLagDBCopies,0)&gt;numMBXServers,TRUE,FALSE)),FALSE)</f>
        <v>0</v>
      </c>
      <c r="J164" s="13"/>
    </row>
    <row r="165" spans="1:12" ht="15" hidden="1" customHeight="1" outlineLevel="1" x14ac:dyDescent="0.2">
      <c r="A165" s="17"/>
      <c r="B165" s="866" t="s">
        <v>463</v>
      </c>
      <c r="C165" s="865">
        <f>IF(AND(OR(calcNumAMBXServersDC2&lt;&gt;0,calcNumPMBXServersDC2&lt;&gt;0),ValidationCheck=FALSE),IF(calcNumHAPassCopiesDC1inDC2&lt;&gt;0,calcNumDBMemSizingSDC*((NumTier1MBXDB*Tier1ActiveMegacycles)+(NumTier2MBXDB*Tier2ActiveMegacycles)+(NumTier3MBXDB*Tier3ActiveMegacycles)+(NumTier4MBXDB*Tier4ActiveMegacycles))*IF(VirtualizationEnabled="Yes",(1+VirtCPUFactor),1),0),"--")</f>
        <v>9562.5</v>
      </c>
      <c r="D165" s="5"/>
      <c r="E165" s="5"/>
      <c r="F165" s="5"/>
      <c r="G165" s="5"/>
      <c r="H165" s="573" t="s">
        <v>785</v>
      </c>
      <c r="I165" s="676" t="b">
        <f>IF(OR(AND(NumTier1MBX&lt;&gt;0,Tier1MBXLimit=0),AND(NumTier2MBX&lt;&gt;0,Tier2MBXLimit=0),AND(NumTier3MBX&lt;&gt;0,Tier3MBXLimit=0),AND(NumTier4MBX&lt;&gt;0,Tier4MBXLimit=0)),TRUE,FALSE)</f>
        <v>0</v>
      </c>
      <c r="J165" s="16"/>
      <c r="K165" s="642"/>
      <c r="L165" s="642"/>
    </row>
    <row r="166" spans="1:12" ht="15" hidden="1" customHeight="1" outlineLevel="1" x14ac:dyDescent="0.2">
      <c r="A166" s="17"/>
      <c r="B166" s="866" t="s">
        <v>685</v>
      </c>
      <c r="C166" s="865">
        <f>IF(AND(OR(calcNumAMBXServersDC2&lt;&gt;0,calcNumPMBXServersDC2&lt;&gt;0),ValidationCheck=FALSE),IF(calcNumHAPassCopiesDC1inDC2&lt;&gt;0,(TotNumDBCopiesServer-calcNumDBMemSizingSDC)*((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3082.5</v>
      </c>
      <c r="D166" s="5"/>
      <c r="E166" s="5"/>
      <c r="F166" s="5"/>
      <c r="G166" s="5"/>
      <c r="H166" s="642" t="s">
        <v>1451</v>
      </c>
      <c r="I166" s="676" t="b">
        <f>IF(IF(HAOption="Yes",RecNumDBs*(calcTotNumHACopies+calcTotNumLagCopies)/(TotNumMBXServersinDAG+calcNumLagMBXServers),RecNumDBs)&gt;varMaxNumDBs,TRUE,FALSE)</f>
        <v>0</v>
      </c>
      <c r="J166" s="13"/>
    </row>
    <row r="167" spans="1:12" ht="15" hidden="1" customHeight="1" outlineLevel="1" x14ac:dyDescent="0.2">
      <c r="A167" s="17"/>
      <c r="B167" s="864" t="s">
        <v>686</v>
      </c>
      <c r="C167" s="865" t="str">
        <f>IF(AND(HAOption="Yes",calcDedLaggedCopyServer="Yes",numLagDBCopies&lt;&gt;0,ValidationCheck=FALSE),TotNumDBCopiesServer*((NumTier1MBXDB*Tier1PassiveMegacycles)+(NumTier2MBXDB*Tier2PassiveMegacycles)+(NumTier3MBXDB*Tier3PassiveMegacycles)+(NumTier4MBXDB*Tier4PassiveMegacycles))*IF(VirtualizationEnabled="Yes",(1+VirtCPUFactor),1),"--")</f>
        <v>--</v>
      </c>
      <c r="D167" s="5"/>
      <c r="E167" s="5"/>
      <c r="F167" s="5"/>
      <c r="G167" s="5"/>
      <c r="H167" s="642" t="s">
        <v>823</v>
      </c>
      <c r="I167" s="676" t="b">
        <f>InValidFD()</f>
        <v>0</v>
      </c>
      <c r="J167" s="13"/>
      <c r="L167" s="642"/>
    </row>
    <row r="168" spans="1:12" s="642" customFormat="1" ht="15" hidden="1" customHeight="1" outlineLevel="1" x14ac:dyDescent="0.2">
      <c r="A168" s="17"/>
      <c r="B168" s="642" t="s">
        <v>1424</v>
      </c>
      <c r="C168" s="499">
        <f>((calcTier1MBX*Tier1CASMegacycles)+(calcTier2MBX*Tier2CASMegacycles)+(calcTier3MBX*Tier3CASMegacycles)+(calcTier4MBX*Tier4CASMegacycles))*IF(VirtualizationEnabled="Yes",(1+VirtCPUFactor),1)</f>
        <v>143437.5</v>
      </c>
      <c r="D168" s="857"/>
      <c r="E168" s="857"/>
      <c r="F168" s="857"/>
      <c r="G168" s="857"/>
      <c r="H168" s="642" t="s">
        <v>739</v>
      </c>
      <c r="I168" s="677" t="b">
        <f>IF(ISERROR(OR(DAGMemberValCheck=TRUE,DBCopyValCheck=TRUE,MailboxSizeCheck=TRUE,DBCountValCheck=TRUE,calcMaxDBSizeCheck=TRUE)),TRUE,IF(OR(DAGMemberValCheck=TRUE,DBCopyValCheck=TRUE,MailboxSizeCheck=TRUE,DBCountValCheck=TRUE,calcMaxDBSizeCheck=TRUE,calcCustomDiskCountCheck=TRUE),TRUE,FALSE))</f>
        <v>0</v>
      </c>
      <c r="J168" s="13"/>
    </row>
    <row r="169" spans="1:12" s="642" customFormat="1" ht="15" hidden="1" customHeight="1" outlineLevel="1" x14ac:dyDescent="0.2">
      <c r="A169" s="17"/>
      <c r="B169" s="866" t="s">
        <v>1300</v>
      </c>
      <c r="C169" s="867">
        <f>IF(MultiRoleEnabled="Yes",calcNumDBMemSizing*((NumTier1MBXDB*Tier1CASMegacycles)+(NumTier2MBXDB*Tier2CASMegacycles)+(NumTier3MBXDB*Tier3CASMegacycles)+(NumTier4MBXDB*Tier4CASMegacycles))*IF(VirtualizationEnabled="Yes",(1+VirtCPUFactor),1),calcTotCASReqMCycles/calcMinCASCountPDC)</f>
        <v>3585.9375</v>
      </c>
      <c r="D169" s="987"/>
      <c r="E169" s="987"/>
      <c r="F169" s="987"/>
      <c r="G169" s="987"/>
      <c r="H169" s="642" t="s">
        <v>1587</v>
      </c>
      <c r="I169" s="676" t="b">
        <f>IF(calcMaxDBSize&lt;=0,TRUE, FALSE)</f>
        <v>0</v>
      </c>
      <c r="J169" s="13"/>
    </row>
    <row r="170" spans="1:12" s="642" customFormat="1" ht="15" hidden="1" customHeight="1" outlineLevel="1" x14ac:dyDescent="0.2">
      <c r="A170" s="17"/>
      <c r="B170" s="866" t="s">
        <v>1301</v>
      </c>
      <c r="C170" s="867">
        <f>IF(AND(OR(calcNumAMBXServersDC2&lt;&gt;0,calcNumPMBXServersDC2&lt;&gt;0),ValidationCheck=FALSE),IF(MultiRoleEnabled="Yes",IF(calcNumHAPassCopiesDC1inDC2&lt;&gt;0,calcNumDBMemSizingSDC*((NumTier1MBXDB*Tier1CASMegacycles)+(NumTier2MBXDB*Tier2CASMegacycles)+(NumTier3MBXDB*Tier3CASMegacycles)+(NumTier4MBXDB*Tier4CASMegacycles))*IF(VirtualizationEnabled="Yes",(1+VirtCPUFactor),1),0),calcTotCASReqMCycles/calcMinCASCountSDC),"--")</f>
        <v>3585.9375</v>
      </c>
      <c r="D170" s="857"/>
      <c r="E170" s="857"/>
      <c r="F170" s="857"/>
      <c r="G170" s="857"/>
      <c r="H170" s="642" t="s">
        <v>1734</v>
      </c>
      <c r="I170" s="676" t="b">
        <f>IF(calcDiskLimitOverride="No",IF(TotNumMBXServersinDAG*NumDisksPerServer*RecDBperVolume&lt;TotNumDBCopiesDC1+TotNumLagDBCopiesDC1+TotNumLagDBCopiesDC2+TotNumDBCopiesDC2,TRUE,FALSE),FALSE)</f>
        <v>0</v>
      </c>
      <c r="J170" s="13"/>
    </row>
    <row r="171" spans="1:12" ht="15" hidden="1" customHeight="1" outlineLevel="1" x14ac:dyDescent="0.2">
      <c r="A171" s="17"/>
      <c r="B171" s="13"/>
      <c r="C171" s="446"/>
      <c r="D171" s="5"/>
      <c r="E171" s="5"/>
      <c r="F171" s="5"/>
      <c r="G171" s="5"/>
      <c r="I171" s="17"/>
      <c r="J171" s="13"/>
    </row>
    <row r="172" spans="1:12" ht="15" hidden="1" customHeight="1" outlineLevel="1" x14ac:dyDescent="0.25">
      <c r="A172" s="17"/>
      <c r="B172" s="424" t="s">
        <v>553</v>
      </c>
      <c r="C172" s="532" t="s">
        <v>249</v>
      </c>
      <c r="D172" s="611"/>
      <c r="E172" s="25"/>
      <c r="F172" s="25"/>
      <c r="G172" s="5"/>
      <c r="H172" s="603" t="s">
        <v>645</v>
      </c>
      <c r="I172" s="604" t="s">
        <v>249</v>
      </c>
      <c r="J172" s="13"/>
    </row>
    <row r="173" spans="1:12" ht="15" hidden="1" customHeight="1" outlineLevel="1" x14ac:dyDescent="0.2">
      <c r="A173" s="17"/>
      <c r="B173" s="866" t="s">
        <v>1297</v>
      </c>
      <c r="C173" s="867" t="str">
        <f>IF(numMCyclesPerCorePDC&lt;&gt;0,(calcMBXServerACPU+calcMBXServerPCPU)/numMCyclesPerCorePDC,"--")</f>
        <v>--</v>
      </c>
      <c r="D173" s="5"/>
      <c r="F173" s="540"/>
      <c r="G173" s="5"/>
      <c r="H173" s="574" t="s">
        <v>649</v>
      </c>
      <c r="I173" s="605">
        <f>IF(AND(HAOption="Yes",SiteResilienceEnabled="Yes"),RecNumDBsDC1,0)</f>
        <v>36</v>
      </c>
      <c r="J173" s="13"/>
    </row>
    <row r="174" spans="1:12" ht="15" hidden="1" customHeight="1" outlineLevel="1" x14ac:dyDescent="0.2">
      <c r="A174" s="17"/>
      <c r="B174" s="642" t="s">
        <v>1302</v>
      </c>
      <c r="C174" s="499" t="str">
        <f>IF(numMCyclesPerCorePDC&lt;&gt;0,(calcMBXServerACPU)/numMCyclesPerCorePDC,"--")</f>
        <v>--</v>
      </c>
      <c r="D174" s="5"/>
      <c r="F174" s="540"/>
      <c r="G174" s="5"/>
      <c r="H174" s="25" t="s">
        <v>650</v>
      </c>
      <c r="I174" s="605">
        <f>IF(AND(HAOption="Yes",SiteResilienceEnabled="Yes"),IF(SRModel="Active/Passive",0,calcNumSrcDBDC2*calcNumDBCopyInSDC),0)</f>
        <v>36</v>
      </c>
      <c r="J174" s="13"/>
    </row>
    <row r="175" spans="1:12" ht="15" hidden="1" customHeight="1" outlineLevel="1" x14ac:dyDescent="0.2">
      <c r="A175" s="17"/>
      <c r="B175" s="866" t="s">
        <v>1299</v>
      </c>
      <c r="C175" s="867" t="str">
        <f>IF(numMCyclesPerCorePDC&lt;&gt;0,calcCASCPUPDC/numMCyclesPerCorePDC,"--")</f>
        <v>--</v>
      </c>
      <c r="D175" s="5"/>
      <c r="E175" s="969"/>
      <c r="G175" s="5"/>
      <c r="H175" s="574" t="s">
        <v>646</v>
      </c>
      <c r="I175" s="591">
        <f>IF(AND(HAOption="Yes",SiteResilienceEnabled="Yes"),IF(SRModel="Active/Passive",0,RecNumDBsDC2),0)</f>
        <v>36</v>
      </c>
      <c r="J175" s="13"/>
    </row>
    <row r="176" spans="1:12" ht="15" hidden="1" customHeight="1" outlineLevel="1" x14ac:dyDescent="0.2">
      <c r="A176" s="17"/>
      <c r="B176" s="642" t="s">
        <v>1303</v>
      </c>
      <c r="C176" s="499" t="str">
        <f>IF(AND(HAOption="Yes",calcDedLaggedCopyServer="Yes",numLagDBCopies&lt;&gt;0,ValidationCheck=FALSE),calcLaggedServerCPU/numMCyclesPerCoreLCS,"--")</f>
        <v>--</v>
      </c>
      <c r="D176" s="5"/>
      <c r="E176" s="969"/>
      <c r="F176" s="540"/>
      <c r="G176" s="5"/>
      <c r="H176" s="25" t="s">
        <v>647</v>
      </c>
      <c r="I176" s="24">
        <f>IF(AND(HAOption="Yes",SiteResilienceEnabled="Yes"),calcNumSrcDBDC1*calcNumDBCopyInSDC,0)</f>
        <v>36</v>
      </c>
      <c r="J176" s="13"/>
      <c r="K176" s="642"/>
    </row>
    <row r="177" spans="1:11" ht="15" hidden="1" customHeight="1" outlineLevel="1" x14ac:dyDescent="0.2">
      <c r="A177" s="17"/>
      <c r="B177" s="642" t="s">
        <v>1304</v>
      </c>
      <c r="C177" s="867" t="str">
        <f>IF(numMCyclesPerCoreSDC&lt;&gt;0,(calcMBXServerACPUSDC+calcMBXServerPCPUSDC)/numMCyclesPerCoreSDC,"--")</f>
        <v>--</v>
      </c>
      <c r="D177" s="5"/>
      <c r="E177" s="540"/>
      <c r="F177" s="540"/>
      <c r="G177" s="5"/>
      <c r="H177" s="12" t="s">
        <v>652</v>
      </c>
      <c r="I177" s="24">
        <f>IF(AND(HAOption="Yes",SiteResilienceEnabled="Yes",numLaggedCopiesSDC&gt;0),IF(OR(SRModel="Active/Passive",SRModel="Active/Active (Multiple DAGs)"),0,calcNumLagCopyInSDC*RecNumDBsDC2),0)</f>
        <v>36</v>
      </c>
      <c r="J177" s="13"/>
      <c r="K177" s="642"/>
    </row>
    <row r="178" spans="1:11" ht="15" hidden="1" customHeight="1" outlineLevel="1" x14ac:dyDescent="0.2">
      <c r="A178" s="17"/>
      <c r="B178" s="642" t="s">
        <v>1305</v>
      </c>
      <c r="C178" s="499" t="str">
        <f>IF(numMCyclesPerCoreSDC&lt;&gt;0,(calcMBXServerACPUSDC)/numMCyclesPerCoreSDC,"--")</f>
        <v>--</v>
      </c>
      <c r="D178" s="5"/>
      <c r="E178" s="540"/>
      <c r="F178" s="540"/>
      <c r="G178" s="5"/>
      <c r="H178" s="12" t="s">
        <v>651</v>
      </c>
      <c r="I178" s="24">
        <f>IF(AND(HAOption="Yes",SiteResilienceEnabled="Yes",numLaggedCopiesSDC&gt;0),calcNumLagCopyInSDC*RecNumDBsDC1,0)</f>
        <v>36</v>
      </c>
      <c r="J178" s="13"/>
    </row>
    <row r="179" spans="1:11" ht="15" hidden="1" customHeight="1" outlineLevel="1" x14ac:dyDescent="0.2">
      <c r="A179" s="17"/>
      <c r="B179" s="642" t="s">
        <v>1306</v>
      </c>
      <c r="C179" s="867" t="str">
        <f>IF(numMCyclesPerCoreSDC&lt;&gt;0,calcCASCPUSDC/numMCyclesPerCoreSDC,"--")</f>
        <v>--</v>
      </c>
      <c r="D179" s="5"/>
      <c r="E179" s="540"/>
      <c r="F179" s="540"/>
      <c r="G179" s="5"/>
      <c r="H179" s="25" t="s">
        <v>490</v>
      </c>
      <c r="I179" s="24">
        <f>calcNumTgtDBDC2+calcNumTgtDBDC1+calcNumTgtLagDBDC2+calcNumTgtLagDBDC1</f>
        <v>144</v>
      </c>
      <c r="J179" s="13"/>
    </row>
    <row r="180" spans="1:11" s="642" customFormat="1" ht="15" hidden="1" customHeight="1" outlineLevel="1" x14ac:dyDescent="0.2">
      <c r="A180" s="17"/>
      <c r="B180" s="864" t="s">
        <v>588</v>
      </c>
      <c r="C180" s="865" t="str">
        <f>IF(numMCyclesPerCorePDC&lt;&gt;0,ROUNDUP(((calcTier1MBX*Tier1ActiveMegacycles)+(calcTier2MBX*Tier2ActiveMegacycles)+(calcTier3MBX*Tier3ActiveMegacycles)+(calcTier4MBX*Tier4ActiveMegacycles))/numMCyclesPerCorePDC/IF(GCServerArch="64-bit",8,4),0),"--")</f>
        <v>--</v>
      </c>
      <c r="D180" s="857"/>
      <c r="F180" s="540"/>
      <c r="G180" s="857"/>
      <c r="H180" s="25"/>
      <c r="I180" s="30"/>
      <c r="J180" s="13"/>
    </row>
    <row r="181" spans="1:11" s="642" customFormat="1" ht="15" hidden="1" customHeight="1" outlineLevel="1" x14ac:dyDescent="0.2">
      <c r="A181" s="17"/>
      <c r="B181" s="804" t="s">
        <v>589</v>
      </c>
      <c r="C181" s="805" t="str">
        <f>IF(numMCyclesPerCoreSDC&lt;&gt;0,ROUNDUP(((calcTier1MBX*Tier1ActiveMegacycles)+(calcTier2MBX*Tier2ActiveMegacycles)+(calcTier3MBX*Tier3ActiveMegacycles)+(calcTier4MBX*Tier4ActiveMegacycles))/numMCyclesPerCoreSDC/IF(GCServerArch="64-bit",8,4),0),"--")</f>
        <v>--</v>
      </c>
      <c r="D181" s="857"/>
      <c r="E181" s="540"/>
      <c r="F181" s="540"/>
      <c r="G181" s="857"/>
      <c r="H181" s="193" t="s">
        <v>1341</v>
      </c>
      <c r="I181" s="927" t="s">
        <v>249</v>
      </c>
      <c r="J181" s="13"/>
    </row>
    <row r="182" spans="1:11" s="642" customFormat="1" ht="15" hidden="1" customHeight="1" outlineLevel="1" x14ac:dyDescent="0.2">
      <c r="A182" s="17"/>
      <c r="B182" s="13"/>
      <c r="C182" s="446"/>
      <c r="D182" s="857"/>
      <c r="E182" s="540"/>
      <c r="F182" s="540"/>
      <c r="G182" s="857"/>
      <c r="H182" s="25" t="s">
        <v>1342</v>
      </c>
      <c r="I182" s="190" t="b">
        <f>IF(HAOption="Yes",IF(OR(RecJBODDiskTypePDC="Insufficient Disk Capacity",RecJBODDisksPDC="Insufficient Disk Capacity"),TRUE,FALSE),FALSE)</f>
        <v>0</v>
      </c>
      <c r="J182" s="13"/>
    </row>
    <row r="183" spans="1:11" s="642" customFormat="1" ht="15" hidden="1" customHeight="1" outlineLevel="1" x14ac:dyDescent="0.2">
      <c r="A183" s="17"/>
      <c r="B183" s="424" t="s">
        <v>1396</v>
      </c>
      <c r="C183" s="532" t="s">
        <v>249</v>
      </c>
      <c r="D183" s="857"/>
      <c r="E183" s="540"/>
      <c r="F183" s="540"/>
      <c r="G183" s="857"/>
      <c r="H183" s="25" t="s">
        <v>1343</v>
      </c>
      <c r="I183" s="190" t="b">
        <f>IF(HAOption="Yes",IF(OR(RecJBODDiskTypePDC="Insufficient Disk IO Capacity",RecJBODDisksPDC="Insufficient Disk IO Capacity"),TRUE,FALSE),FALSE)</f>
        <v>0</v>
      </c>
      <c r="J183" s="13"/>
    </row>
    <row r="184" spans="1:11" s="642" customFormat="1" ht="15" hidden="1" customHeight="1" outlineLevel="1" x14ac:dyDescent="0.2">
      <c r="A184" s="17"/>
      <c r="B184" s="13" t="s">
        <v>1434</v>
      </c>
      <c r="C184" s="805">
        <f>IF(AND(OR(calcNumLagCopyInPDC&gt;0,calcNumLagCopyInSDC&gt;0),SafetyNetTimeout&lt;ReplayLagTime),ReplayLagTime,SafetyNetTimeout)</f>
        <v>7</v>
      </c>
      <c r="D184" s="926"/>
      <c r="E184" s="540"/>
      <c r="F184" s="540"/>
      <c r="G184" s="926"/>
      <c r="H184" s="25" t="s">
        <v>1344</v>
      </c>
      <c r="I184" s="190" t="b">
        <f>IF(HAOption="Yes",IF(AND(RestoreVol="Yes",OR(RecJBODRLDiskTypePDC="Insufficient Disk Capacity",RecJBODRLDisksPDC="Insufficient Disk Capacity")),TRUE,FALSE),FALSE)</f>
        <v>0</v>
      </c>
      <c r="J184" s="13"/>
    </row>
    <row r="185" spans="1:11" s="642" customFormat="1" ht="15" hidden="1" customHeight="1" outlineLevel="1" x14ac:dyDescent="0.2">
      <c r="A185" s="13"/>
      <c r="B185" s="642" t="s">
        <v>1413</v>
      </c>
      <c r="C185" s="499">
        <f>(calcTier1MBX*Tier1MessageProfile)+(calcTier2MBX*Tier2MessageProfile)+(calcTier3MBX*Tier3MessageProfile)+(calcTier4MBX*Tier4MessageProfile)</f>
        <v>9000000</v>
      </c>
      <c r="D185" s="926"/>
      <c r="E185" s="540"/>
      <c r="F185" s="540"/>
      <c r="G185" s="926"/>
      <c r="H185" s="25" t="s">
        <v>1345</v>
      </c>
      <c r="I185" s="190" t="b">
        <f>IF(HAOption="Yes",IF(AND(RestoreVol="Yes",OR(RecJBODRLDiskTypePDC="Insufficient Disk IO Capacity",RecJBODRLDisksPDC="Insufficient Disk IO Capacity")),TRUE,FALSE),FALSE)</f>
        <v>0</v>
      </c>
      <c r="J185" s="13"/>
    </row>
    <row r="186" spans="1:11" s="642" customFormat="1" ht="15" hidden="1" customHeight="1" outlineLevel="1" x14ac:dyDescent="0.2">
      <c r="A186" s="13"/>
      <c r="B186" s="642" t="s">
        <v>1415</v>
      </c>
      <c r="C186" s="499">
        <f>calcMessagesPerDay/calcRemainingServers</f>
        <v>225000</v>
      </c>
      <c r="D186" s="926"/>
      <c r="E186" s="540"/>
      <c r="F186" s="540"/>
      <c r="G186" s="926"/>
      <c r="H186" s="25" t="s">
        <v>1346</v>
      </c>
      <c r="I186" s="190" t="b">
        <f>IF(HAOption="Yes",IF(OR(RecJBODDiskTypeSDC="Insufficient Disk Capacity",RecJBODDisksSDC="Insufficient Disk Capacity"),TRUE,FALSE),FALSE)</f>
        <v>0</v>
      </c>
      <c r="J186" s="13"/>
    </row>
    <row r="187" spans="1:11" s="642" customFormat="1" ht="15" hidden="1" customHeight="1" outlineLevel="1" x14ac:dyDescent="0.2">
      <c r="A187" s="13"/>
      <c r="B187" s="642" t="s">
        <v>1417</v>
      </c>
      <c r="C187" s="499">
        <f>calcServerMessagesPerDay*2</f>
        <v>450000</v>
      </c>
      <c r="D187" s="926"/>
      <c r="E187" s="540"/>
      <c r="F187" s="540"/>
      <c r="G187" s="926"/>
      <c r="H187" s="25" t="s">
        <v>1347</v>
      </c>
      <c r="I187" s="190" t="b">
        <f>IF(HAOption="Yes",IF(OR(RecJBODDiskTypeSDC="Insufficient Disk IO Capacity",RecJBODDisksSDC="Insufficient Disk IO Capacity"),TRUE,FALSE),FALSE)</f>
        <v>0</v>
      </c>
      <c r="J187" s="13"/>
    </row>
    <row r="188" spans="1:11" s="642" customFormat="1" ht="15" hidden="1" customHeight="1" outlineLevel="1" x14ac:dyDescent="0.2">
      <c r="A188" s="13"/>
      <c r="B188" s="642" t="s">
        <v>1416</v>
      </c>
      <c r="C188" s="499">
        <f>calcShadowMessages+(calcShadowMessages*varMessageQueueRate*QueueTimeout)+(calcShadowMessages*calcSafetyNetTimeout)</f>
        <v>4050000</v>
      </c>
      <c r="D188" s="926"/>
      <c r="E188" s="540"/>
      <c r="F188" s="540"/>
      <c r="G188" s="926"/>
      <c r="H188" s="25" t="s">
        <v>1348</v>
      </c>
      <c r="I188" s="190" t="b">
        <f>IF(HAOption="Yes",IF(AND(RestoreVol="Yes",OR(RecJBODRLDiskTypeSDC="Insufficient Disk Capacity",RecJBODRLDisksSDC="Insufficient Disk Capacity")),TRUE,FALSE),FALSE)</f>
        <v>0</v>
      </c>
      <c r="J188" s="13"/>
    </row>
    <row r="189" spans="1:11" s="642" customFormat="1" ht="15" hidden="1" customHeight="1" outlineLevel="1" x14ac:dyDescent="0.2">
      <c r="A189" s="13"/>
      <c r="B189" s="13" t="s">
        <v>1399</v>
      </c>
      <c r="C189" s="977">
        <f>((calcSafetyNetEffect*Tier1MBXRatio*Tier1AvgMessageSize)+(calcSafetyNetEffect*Tier2MBXRatio*Tier2AvgMessageSize)+(calcSafetyNetEffect*Tier3MBXRatio*Tier3AvgMessageSize)+(calcSafetyNetEffect*Tier4MBXRatio*Tier4AvgMessageSize))/1048576</f>
        <v>289.67857360839844</v>
      </c>
      <c r="D189" s="926"/>
      <c r="E189" s="540"/>
      <c r="F189" s="540"/>
      <c r="G189" s="926"/>
      <c r="H189" s="25" t="s">
        <v>1349</v>
      </c>
      <c r="I189" s="190" t="b">
        <f>IF(HAOption="Yes",IF(AND(RestoreVol="Yes",OR(RecJBODRLDiskTypePDC="Insufficient Disk IO Capacity",RecJBODRLDisksPDC="Insufficient Disk IO Capacity",RecJBODRLDiskTypeSDC="Insufficient Disk IO Capacity",RecJBODRLDisksSDC="Insufficient Disk IO Capacity")),TRUE,FALSE),FALSE)</f>
        <v>0</v>
      </c>
      <c r="J189" s="13"/>
    </row>
    <row r="190" spans="1:11" s="642" customFormat="1" ht="15" hidden="1" customHeight="1" outlineLevel="1" x14ac:dyDescent="0.2">
      <c r="A190" s="13"/>
      <c r="B190" s="13" t="s">
        <v>1403</v>
      </c>
      <c r="C190" s="446" t="str">
        <f>IF(calcTransportDBSize+150&lt;SysDiskForCapPDC,"System Disk","Dedicated RAID-1 Disk")</f>
        <v>System Disk</v>
      </c>
      <c r="D190" s="973"/>
      <c r="E190" s="540"/>
      <c r="F190" s="540"/>
      <c r="G190" s="973"/>
      <c r="H190" s="25"/>
      <c r="I190" s="188"/>
      <c r="J190" s="13"/>
    </row>
    <row r="191" spans="1:11" s="642" customFormat="1" ht="15" hidden="1" customHeight="1" outlineLevel="1" x14ac:dyDescent="0.2">
      <c r="A191" s="13"/>
      <c r="B191" s="13" t="s">
        <v>1404</v>
      </c>
      <c r="C191" s="446" t="str">
        <f>IF(AND(HAOption="Yes",SiteResilienceEnabled="Yes"),IF(calcTransportDBSize+150&lt;SysDiskForCapSDC,"System Disk","Dedicated RAID-1 Disk"),"--")</f>
        <v>System Disk</v>
      </c>
      <c r="D191" s="973"/>
      <c r="E191" s="540"/>
      <c r="F191" s="540"/>
      <c r="G191" s="973"/>
      <c r="H191" s="25"/>
      <c r="I191" s="188"/>
      <c r="J191" s="13"/>
    </row>
    <row r="192" spans="1:11" s="642" customFormat="1" ht="15" hidden="1" customHeight="1" outlineLevel="1" x14ac:dyDescent="0.2">
      <c r="A192" s="17"/>
      <c r="B192" s="13"/>
      <c r="C192" s="446"/>
      <c r="D192" s="987"/>
      <c r="E192" s="540"/>
      <c r="F192" s="540"/>
      <c r="G192" s="987"/>
      <c r="H192" s="25"/>
      <c r="I192" s="188"/>
      <c r="J192" s="13"/>
    </row>
    <row r="193" spans="1:13" s="642" customFormat="1" ht="15" hidden="1" customHeight="1" outlineLevel="1" x14ac:dyDescent="0.2">
      <c r="A193" s="17"/>
      <c r="B193" s="424" t="s">
        <v>1425</v>
      </c>
      <c r="C193" s="532" t="s">
        <v>249</v>
      </c>
      <c r="D193" s="987"/>
      <c r="E193" s="540"/>
      <c r="F193" s="540"/>
      <c r="G193" s="987"/>
      <c r="H193" s="25"/>
      <c r="I193" s="188"/>
      <c r="J193" s="13"/>
    </row>
    <row r="194" spans="1:13" s="642" customFormat="1" ht="15" hidden="1" customHeight="1" outlineLevel="1" x14ac:dyDescent="0.2">
      <c r="A194" s="17"/>
      <c r="B194" s="13" t="s">
        <v>1426</v>
      </c>
      <c r="C194" s="446" t="str">
        <f>IF(AND(MultiRoleEnabled="No",ValidationCheck=FALSE,numMCyclesPerCorePDC&lt;&gt;0),ROUNDUP(calcTotCASReqMCycles/(calcAvSvrMCycles*0.8),0),"--")</f>
        <v>--</v>
      </c>
      <c r="D194" s="987"/>
      <c r="E194" s="540"/>
      <c r="F194" s="540"/>
      <c r="G194" s="987"/>
      <c r="H194" s="25"/>
      <c r="I194" s="188"/>
      <c r="J194" s="13"/>
    </row>
    <row r="195" spans="1:13" s="642" customFormat="1" ht="15" hidden="1" customHeight="1" outlineLevel="1" x14ac:dyDescent="0.2">
      <c r="A195" s="17"/>
      <c r="B195" s="13" t="s">
        <v>1427</v>
      </c>
      <c r="C195" s="446" t="str">
        <f>IF(AND(MultiRoleEnabled="No",HAOption="Yes",SiteResilienceEnabled="Yes",numMCyclesPerCoreSDC&lt;&gt;0,ValidationCheck=FALSE),ROUNDUP(calcTotCASReqMCycles/(calcAvSvrMCyclesSDC*0.8),0),"--")</f>
        <v>--</v>
      </c>
      <c r="D195" s="987"/>
      <c r="E195" s="540"/>
      <c r="F195" s="540"/>
      <c r="G195" s="987"/>
      <c r="H195" s="25"/>
      <c r="I195" s="188"/>
      <c r="J195" s="13"/>
    </row>
    <row r="196" spans="1:13" s="642" customFormat="1" ht="15" hidden="1" customHeight="1" outlineLevel="1" x14ac:dyDescent="0.2">
      <c r="A196" s="17"/>
      <c r="B196" s="996" t="s">
        <v>1430</v>
      </c>
      <c r="C196" s="997" t="str">
        <f>IF(calcMinCASCountPDC&lt;&gt;"--",calcMinCASCountPDC+2,"--")</f>
        <v>--</v>
      </c>
      <c r="D196" s="987"/>
      <c r="E196" s="540"/>
      <c r="F196" s="540"/>
      <c r="G196" s="987"/>
      <c r="H196" s="25"/>
      <c r="I196" s="188"/>
      <c r="J196" s="13"/>
    </row>
    <row r="197" spans="1:13" s="642" customFormat="1" ht="15" hidden="1" customHeight="1" outlineLevel="1" x14ac:dyDescent="0.2">
      <c r="A197" s="17"/>
      <c r="B197" s="996" t="s">
        <v>1431</v>
      </c>
      <c r="C197" s="997" t="str">
        <f>IF(calcMinCASCountSDC&lt;&gt;"--",calcMinCASCountSDC+2,"--")</f>
        <v>--</v>
      </c>
      <c r="D197" s="987"/>
      <c r="E197" s="540"/>
      <c r="F197" s="540"/>
      <c r="G197" s="987"/>
      <c r="H197" s="25"/>
      <c r="I197" s="188"/>
      <c r="J197" s="13"/>
    </row>
    <row r="198" spans="1:13" collapsed="1" x14ac:dyDescent="0.2">
      <c r="A198" s="17"/>
      <c r="B198" s="18"/>
      <c r="C198" s="18"/>
      <c r="D198" s="5"/>
      <c r="E198" s="980"/>
      <c r="F198" s="5"/>
      <c r="G198" s="5"/>
      <c r="H198" s="18"/>
      <c r="I198" s="19"/>
    </row>
    <row r="199" spans="1:13" x14ac:dyDescent="0.2">
      <c r="A199" s="17"/>
      <c r="B199" s="1154" t="s">
        <v>558</v>
      </c>
      <c r="C199" s="1155"/>
      <c r="D199" s="1155"/>
      <c r="E199" s="1155"/>
      <c r="F199" s="1155"/>
      <c r="G199" s="1155"/>
      <c r="H199" s="1155"/>
      <c r="I199" s="1155"/>
      <c r="J199" s="16"/>
    </row>
    <row r="200" spans="1:13" customFormat="1" ht="15" customHeight="1" x14ac:dyDescent="0.2">
      <c r="A200" s="560"/>
      <c r="G200" s="572"/>
      <c r="I200" s="560"/>
      <c r="L200" s="3"/>
      <c r="M200" s="3"/>
    </row>
    <row r="201" spans="1:13" s="559" customFormat="1" ht="15" customHeight="1" thickBot="1" x14ac:dyDescent="0.25">
      <c r="A201" s="593"/>
      <c r="B201" s="291" t="s">
        <v>562</v>
      </c>
      <c r="C201" s="598" t="str">
        <f>IF(AND(HAOption="Yes",SiteResilienceEnabled="Yes",OR(SRModel="Active/Active (Single DAG)",SRModel="Active/Active (Multiple DAGs)")),"/ Datacenter 1","/ Primary Datacenter")</f>
        <v>/ Datacenter 1</v>
      </c>
      <c r="D201" s="599" t="str">
        <f>IF(AND(HAOption="Yes",SiteResilienceEnabled="Yes",OR(SRModel="Active/Active (Single DAG)",SRModel="Active/Active (Multiple DAGs)")),"/ Datacenter 2","/ Secondary Datacenter")</f>
        <v>/ Datacenter 2</v>
      </c>
      <c r="G201" s="1164"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then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to an insufficient number of disks to meet the copy count requirements.")))))</f>
        <v>ERROR: FALSE</v>
      </c>
      <c r="H201" s="1164"/>
      <c r="I201" s="621"/>
      <c r="J201" s="620"/>
      <c r="K201" s="620"/>
    </row>
    <row r="202" spans="1:13" s="559" customFormat="1" ht="15" customHeight="1" thickTop="1" x14ac:dyDescent="0.2">
      <c r="B202" s="13" t="s">
        <v>590</v>
      </c>
      <c r="C202" s="550" t="str">
        <f>IF(ValidationCheck=FALSE,calcRecGCCoresPDC,"--")</f>
        <v>--</v>
      </c>
      <c r="D202" s="550" t="str">
        <f>IF(ValidationCheck=FALSE,calcRecGCCoresSDC,"--")</f>
        <v>--</v>
      </c>
      <c r="G202" s="1164"/>
      <c r="H202" s="1164"/>
      <c r="I202" s="621"/>
      <c r="J202" s="620"/>
      <c r="K202" s="620"/>
    </row>
    <row r="203" spans="1:13" s="559" customFormat="1" ht="15" customHeight="1" x14ac:dyDescent="0.2">
      <c r="A203" s="856"/>
      <c r="B203" s="13"/>
      <c r="C203" s="538"/>
      <c r="D203" s="538"/>
      <c r="G203" s="1164"/>
      <c r="H203" s="1164"/>
      <c r="I203" s="621"/>
      <c r="J203" s="620"/>
      <c r="K203" s="620"/>
    </row>
    <row r="204" spans="1:13" s="719" customFormat="1" ht="15" customHeight="1" thickBot="1" x14ac:dyDescent="0.25">
      <c r="A204" s="856"/>
      <c r="B204" s="291" t="s">
        <v>1308</v>
      </c>
      <c r="C204" s="598" t="str">
        <f>IF(AND(HAOption="Yes",SiteResilienceEnabled="Yes",OR(SRModel="Active/Active (Single DAG)",SRModel="Active/Active (Multiple DAGs)")),"/ Datacenter 1 Server","/ Primary Datacenter Server")</f>
        <v>/ Datacenter 1 Server</v>
      </c>
      <c r="D204" s="599" t="str">
        <f>IF(AND(HAOption="Yes",SiteResilienceEnabled="Yes",OR(SRModel="Active/Active (Single DAG)",SRModel="Active/Active (Multiple DAGs)")),"/ Datacenter 2 Server","/ Secondary Datacenter Server")</f>
        <v>/ Datacenter 2 Server</v>
      </c>
      <c r="G204" s="858"/>
      <c r="H204" s="858"/>
      <c r="I204" s="621"/>
      <c r="J204" s="620"/>
      <c r="K204" s="620"/>
    </row>
    <row r="205" spans="1:13" s="559" customFormat="1" ht="15" customHeight="1" thickTop="1" x14ac:dyDescent="0.2">
      <c r="A205" s="856"/>
      <c r="B205" s="13" t="s">
        <v>1307</v>
      </c>
      <c r="C205" s="550" t="str">
        <f>IF(AND(ValidationCheck=FALSE,MultiRoleEnabled="No",calcReqCASCoresPDCServer&lt;&gt;"--"),ROUNDUP(calcReqCASCoresPDCServer,0),"--")</f>
        <v>--</v>
      </c>
      <c r="D205" s="550" t="str">
        <f>IF(AND(ValidationCheck=FALSE,MultiRoleEnabled="No",SiteResilienceEnabled="Yes",calcReqCASCoresSDCServer&lt;&gt;"--"),ROUNDUP(calcReqCASCoresSDCServer,0),"--")</f>
        <v>--</v>
      </c>
      <c r="G205" s="572"/>
      <c r="I205" s="613"/>
    </row>
    <row r="206" spans="1:13" s="719" customFormat="1" ht="15" customHeight="1" x14ac:dyDescent="0.2">
      <c r="B206" s="25" t="s">
        <v>1309</v>
      </c>
      <c r="C206" s="873" t="str">
        <f>IF(AND(ValidationCheck=FALSE,MultiRoleEnabled="No",numMCyclesPerCorePDC&lt;&gt;0),calcTotCASMemReq,"--")</f>
        <v>--</v>
      </c>
      <c r="D206" s="873" t="str">
        <f>IF(AND(ValidationCheck=FALSE,MultiRoleEnabled="No",SiteResilienceEnabled="Yes",numMCyclesPerCoreSDC&lt;&gt;0),calcTotCASMemReqSDC,"--")</f>
        <v>--</v>
      </c>
      <c r="I206" s="856"/>
    </row>
    <row r="207" spans="1:13" x14ac:dyDescent="0.2">
      <c r="A207" s="17"/>
      <c r="B207" s="351"/>
      <c r="C207" s="355"/>
      <c r="D207" s="355"/>
      <c r="E207" s="355"/>
      <c r="F207" s="355"/>
      <c r="G207" s="355"/>
      <c r="H207" s="355"/>
      <c r="I207" s="17"/>
    </row>
    <row r="208" spans="1:13" ht="15.75" thickBot="1" x14ac:dyDescent="0.25">
      <c r="A208" s="17"/>
      <c r="B208" s="291" t="s">
        <v>407</v>
      </c>
      <c r="C208" s="598" t="str">
        <f>IF(AND(HAOption="Yes",SiteResilienceEnabled="Yes",OR(SRModel="Active/Active (Single DAG)",SRModel="Active/Active (Multiple DAGs)")),"/ Datacenter 1","/ Primary Datacenter")</f>
        <v>/ Datacenter 1</v>
      </c>
      <c r="D208" s="598" t="str">
        <f>IF(AND(HAOption="Yes",SiteResilienceEnabled="Yes",OR(SRModel="Active/Active (Single DAG)",SRModel="Active/Active (Multiple DAGs)")),"/ Datacenter 2","/ Secondary Datacenter")</f>
        <v>/ Datacenter 2</v>
      </c>
      <c r="E208" s="291" t="s">
        <v>327</v>
      </c>
      <c r="F208" s="598" t="s">
        <v>328</v>
      </c>
      <c r="G208" s="542"/>
      <c r="H208" s="355"/>
      <c r="I208" s="17"/>
    </row>
    <row r="209" spans="1:9" ht="15.75" thickTop="1" x14ac:dyDescent="0.2">
      <c r="A209" s="17"/>
      <c r="B209" s="992" t="s">
        <v>1429</v>
      </c>
      <c r="C209" s="995" t="str">
        <f>IF(ValidationCheck=FALSE,calcRecCASCountPDC,"--")</f>
        <v>--</v>
      </c>
      <c r="D209" s="995" t="str">
        <f>IF(ValidationCheck=FALSE,calcRecCASCountSDC,"--")</f>
        <v>--</v>
      </c>
      <c r="E209" s="993" t="s">
        <v>25</v>
      </c>
      <c r="F209" s="995">
        <f>SUM(Table24[[#This Row],[ / Primary Datacenter]:[/ Secondary Datacenter]])</f>
        <v>0</v>
      </c>
      <c r="G209" s="190"/>
      <c r="H209" s="355"/>
      <c r="I209" s="17"/>
    </row>
    <row r="210" spans="1:9" x14ac:dyDescent="0.2">
      <c r="A210" s="17"/>
      <c r="B210" s="991" t="s">
        <v>574</v>
      </c>
      <c r="C210" s="993" t="s">
        <v>25</v>
      </c>
      <c r="D210" s="993" t="s">
        <v>25</v>
      </c>
      <c r="E210" s="993" t="s">
        <v>25</v>
      </c>
      <c r="F210" s="994">
        <f>IF(AND(HAOption="Yes",ValidationCheck=FALSE),calcNumDAGs,"--")</f>
        <v>10</v>
      </c>
      <c r="G210" s="518"/>
      <c r="H210" s="355"/>
      <c r="I210" s="17"/>
    </row>
    <row r="211" spans="1:9" x14ac:dyDescent="0.2">
      <c r="A211" s="17"/>
      <c r="B211" s="991" t="str">
        <f>IF(HAOption="Yes","Number of Active Mailboxes (Normal Run Time)","Number of Mailboxes")</f>
        <v>Number of Active Mailboxes (Normal Run Time)</v>
      </c>
      <c r="C211" s="993">
        <f>IF(ValidationCheck=FALSE,IF(HAOption="Yes",IF(SiteResilienceEnabled="Yes",IF(SRModel="Active/Passive",TotalMBX,TotalMBX*PercentUsersinDC1),TotalMBX),TotalMBX),"--")</f>
        <v>22500</v>
      </c>
      <c r="D211" s="993">
        <f>IF(AND(HAOption="Yes",ValidationCheck=FALSE),IF(SiteResilienceEnabled="Yes",IF(SRModel="Active/Passive","--",TotalMBX*(1-PercentUsersinDC1)),"--"),"--")</f>
        <v>22500</v>
      </c>
      <c r="E211" s="995">
        <f>IF(ValidationCheck=FALSE,IF(HAOption="Yes",TotMBXPerDAG,"--"),"--")</f>
        <v>4500</v>
      </c>
      <c r="F211" s="995">
        <f>IF(ValidationCheck=FALSE,TotalMBX,"--")</f>
        <v>45000</v>
      </c>
      <c r="G211" s="478"/>
      <c r="H211" s="355"/>
      <c r="I211" s="17"/>
    </row>
    <row r="212" spans="1:9" x14ac:dyDescent="0.2">
      <c r="A212" s="17"/>
      <c r="B212" s="991" t="str">
        <f>IF(HAOption="Yes","Number of Mailbox Servers / DAG","Number of Mailbox Servers")</f>
        <v>Number of Mailbox Servers / DAG</v>
      </c>
      <c r="C212" s="994">
        <f>IF(ValidationCheck=FALSE,IF(HAOption="Yes",IF(AND(SiteResilienceEnabled="Yes",SRModel="Active/Active (Multiple DAGs)"),calcNumAMBXServersDC1,(calcNumAMBXServersDC1+calcNumPMBXServersDC1)),numMBXServers),"--")</f>
        <v>4</v>
      </c>
      <c r="D212" s="994">
        <f>IF(AND(HAOption="Yes",SiteResilienceEnabled="Yes",ValidationCheck=FALSE),IF(SRModel="Active/Active (Multiple DAGs)",calcNumPMBXServersDC2,(calcNumPMBXServersDC2+calcNumAMBXServersDC2)),"--")</f>
        <v>4</v>
      </c>
      <c r="E212" s="995">
        <f>IF(HAOption="Yes",SUM(Table24[[#This Row],[ / Primary Datacenter]:[/ Secondary Datacenter]]),"--")</f>
        <v>8</v>
      </c>
      <c r="F212" s="994">
        <f>IF(HAOption="Yes",calcNumDAGs*Table24[[#This Row],[/ DAG]],Table24[[#This Row],[ / Primary Datacenter]])</f>
        <v>80</v>
      </c>
      <c r="G212" s="543"/>
      <c r="H212" s="355"/>
      <c r="I212" s="17"/>
    </row>
    <row r="213" spans="1:9" x14ac:dyDescent="0.2">
      <c r="A213" s="17"/>
      <c r="B213" s="479" t="s">
        <v>451</v>
      </c>
      <c r="C213" s="544">
        <f>IF(AND(HAOption="Yes",ValidationCheck=FALSE,numLagDBCopies&lt;&gt;0,calcDedLaggedCopyServer="Yes"),calcNumLagMBXServersPDC,0)</f>
        <v>0</v>
      </c>
      <c r="D213" s="544">
        <f>IF(AND(HAOption="Yes",numLagDBCopies&lt;&gt;0,calcDedLaggedCopyServer="Yes",numLaggedCopiesSDC&lt;&gt;0,ValidationCheck=FALSE),calcNumLagMBXServersSDC,0)</f>
        <v>0</v>
      </c>
      <c r="E213" s="543">
        <f>IF(HAOption="Yes",SUM(Table24[[#This Row],[ / Primary Datacenter]:[/ Secondary Datacenter]]),"--")</f>
        <v>0</v>
      </c>
      <c r="F213" s="543">
        <f>IF(HAOption="Yes",calcNumDAGs*Table24[[#This Row],[/ DAG]],"--")</f>
        <v>0</v>
      </c>
      <c r="G213" s="577"/>
      <c r="H213" s="355"/>
      <c r="I213" s="17"/>
    </row>
    <row r="214" spans="1:9" s="642" customFormat="1" x14ac:dyDescent="0.2">
      <c r="A214" s="17"/>
      <c r="B214" s="481" t="s">
        <v>689</v>
      </c>
      <c r="C214" s="547">
        <f>SUM(C212,C213)</f>
        <v>4</v>
      </c>
      <c r="D214" s="547">
        <f>IF(HAOption="Yes",SUM(D212,D213),"--")</f>
        <v>4</v>
      </c>
      <c r="E214" s="547">
        <f>IF(HAOption="Yes",SUM(E212,E213),"--")</f>
        <v>8</v>
      </c>
      <c r="F214" s="547">
        <f>SUM(F212,F213)</f>
        <v>80</v>
      </c>
      <c r="G214" s="577"/>
      <c r="H214" s="355"/>
      <c r="I214" s="17"/>
    </row>
    <row r="215" spans="1:9" x14ac:dyDescent="0.2">
      <c r="A215" s="17"/>
      <c r="B215" s="480"/>
      <c r="C215" s="554"/>
      <c r="D215" s="554"/>
      <c r="E215" s="554"/>
      <c r="F215" s="554"/>
      <c r="G215" s="554"/>
      <c r="H215" s="355"/>
      <c r="I215" s="17"/>
    </row>
    <row r="216" spans="1:9" x14ac:dyDescent="0.2">
      <c r="A216" s="17"/>
      <c r="B216" s="172" t="s">
        <v>203</v>
      </c>
      <c r="C216" s="172" t="s">
        <v>200</v>
      </c>
      <c r="D216" s="172" t="s">
        <v>201</v>
      </c>
      <c r="E216" s="172" t="s">
        <v>202</v>
      </c>
      <c r="F216" s="564" t="s">
        <v>628</v>
      </c>
      <c r="G216" s="564"/>
      <c r="H216" s="355"/>
      <c r="I216" s="17"/>
    </row>
    <row r="217" spans="1:9" x14ac:dyDescent="0.2">
      <c r="A217" s="17"/>
      <c r="B217" s="25" t="s">
        <v>575</v>
      </c>
      <c r="C217" s="190">
        <f>IF(ValidationCheck=FALSE,IF(calcTier1MBX=0,"--",calcTier1MBX),"--")</f>
        <v>45000</v>
      </c>
      <c r="D217" s="190" t="str">
        <f>IF(calcTier2MBX=0,"--",calcTier2MBX)</f>
        <v>--</v>
      </c>
      <c r="E217" s="190" t="str">
        <f>IF(calcTier3MBX=0,"--",calcTier3MBX)</f>
        <v>--</v>
      </c>
      <c r="F217" s="190" t="str">
        <f>IF(calcTier4MBX=0,"--",calcTier4MBX)</f>
        <v>--</v>
      </c>
      <c r="G217" s="190"/>
      <c r="H217" s="355"/>
      <c r="I217" s="17"/>
    </row>
    <row r="218" spans="1:9" x14ac:dyDescent="0.2">
      <c r="A218" s="17"/>
      <c r="B218" s="25" t="s">
        <v>557</v>
      </c>
      <c r="C218" s="190">
        <f>IF(OR(ValidationCheck=TRUE,NumTier1MBXDB=0),"--",NumTier1MBXDB)</f>
        <v>62.5</v>
      </c>
      <c r="D218" s="190" t="str">
        <f>IF(OR(ValidationCheck=TRUE,NumTier2MBXDB=0),"--",NumTier2MBXDB)</f>
        <v>--</v>
      </c>
      <c r="E218" s="190" t="str">
        <f>IF(OR(ValidationCheck=TRUE,NumTier3MBXDB=0),"--",NumTier3MBXDB)</f>
        <v>--</v>
      </c>
      <c r="F218" s="190" t="str">
        <f>IF(OR(ValidationCheck=TRUE,NumTier4MBXDB=0),"--",NumTier4MBXDB)</f>
        <v>--</v>
      </c>
      <c r="G218" s="190"/>
      <c r="H218" s="355"/>
      <c r="I218" s="17"/>
    </row>
    <row r="219" spans="1:9" x14ac:dyDescent="0.2">
      <c r="A219" s="17"/>
      <c r="B219" s="25" t="s">
        <v>410</v>
      </c>
      <c r="C219" s="201">
        <f>IF(OR(ValidationCheck=TRUE,Tier1MBXSize=0),"--",Tier1MBXSize)</f>
        <v>10890</v>
      </c>
      <c r="D219" s="201" t="str">
        <f>IF(OR(ValidationCheck=TRUE,Tier2MBXSize=0),"--",Tier2MBXSize)</f>
        <v>--</v>
      </c>
      <c r="E219" s="201" t="str">
        <f>IF(OR(ValidationCheck=TRUE,Tier3MBXSize=0),"--",Tier3MBXSize)</f>
        <v>--</v>
      </c>
      <c r="F219" s="201" t="str">
        <f>IF(OR(ValidationCheck=TRUE,Tier4MBXSize=0),"--",Tier4MBXSize)</f>
        <v>--</v>
      </c>
      <c r="G219" s="201"/>
      <c r="H219" s="355"/>
      <c r="I219" s="17"/>
    </row>
    <row r="220" spans="1:9" x14ac:dyDescent="0.2">
      <c r="A220" s="17"/>
      <c r="B220" s="25" t="s">
        <v>72</v>
      </c>
      <c r="C220" s="190">
        <f>IF(OR(ValidationCheck=TRUE,Tier1LogGen=0),"--",Tier1LogGen)</f>
        <v>40</v>
      </c>
      <c r="D220" s="190" t="str">
        <f>IF(OR(ValidationCheck=TRUE,Tier2LogGen=0),"--",Tier2LogGen)</f>
        <v>--</v>
      </c>
      <c r="E220" s="190" t="str">
        <f>IF(OR(ValidationCheck=TRUE,Tier3LogGen=0),"--",Tier3LogGen)</f>
        <v>--</v>
      </c>
      <c r="F220" s="190" t="str">
        <f>IF(OR(ValidationCheck=TRUE,Tier4LogGen=0),"--",Tier4LogGen)</f>
        <v>--</v>
      </c>
      <c r="G220" s="190"/>
      <c r="H220" s="355"/>
      <c r="I220" s="17"/>
    </row>
    <row r="221" spans="1:9" x14ac:dyDescent="0.2">
      <c r="A221" s="17"/>
      <c r="B221" s="25" t="s">
        <v>16</v>
      </c>
      <c r="C221" s="191">
        <f>IF(OR(ValidationCheck=TRUE,TotTier1IOPS=0),"--",TotTier1IOPS)</f>
        <v>0.13400000000000001</v>
      </c>
      <c r="D221" s="191" t="str">
        <f>IF(OR(ValidationCheck=TRUE,TotTier2IOPS=0),"--",TotTier2IOPS)</f>
        <v>--</v>
      </c>
      <c r="E221" s="191" t="str">
        <f>IF(OR(ValidationCheck=TRUE,TotTier3IOPS=0),"--",TotTier3IOPS)</f>
        <v>--</v>
      </c>
      <c r="F221" s="191" t="str">
        <f>IF(OR(ValidationCheck=TRUE,TotTier4IOPS=0),"--",TotTier4IOPS)</f>
        <v>--</v>
      </c>
      <c r="G221" s="191"/>
      <c r="H221" s="355"/>
      <c r="I221" s="17"/>
    </row>
    <row r="222" spans="1:9" x14ac:dyDescent="0.2">
      <c r="A222" s="17"/>
      <c r="B222" s="25" t="s">
        <v>264</v>
      </c>
      <c r="C222" s="191" t="str">
        <f>IF(OR(ValidationCheck=TRUE,calcTier1RWRatio=0),"--",VLOOKUP(calcTier1RWRatio,tblReadPercentage,2,FALSE))</f>
        <v>3:2</v>
      </c>
      <c r="D222" s="191" t="str">
        <f>IF(OR(ValidationCheck=TRUE,calcTier2RWRatio=0),"--",VLOOKUP(calcTier2RWRatio,tblReadPercentage,2,FALSE))</f>
        <v>--</v>
      </c>
      <c r="E222" s="191" t="str">
        <f>IF(OR(ValidationCheck=TRUE,calcTier3RWRatio=0),"--",VLOOKUP(calcTier3RWRatio,tblReadPercentage,2,FALSE))</f>
        <v>--</v>
      </c>
      <c r="F222" s="191" t="str">
        <f>IF(OR(ValidationCheck=TRUE,calcTier4RWRatio=0),"--",VLOOKUP(calcTier4RWRatio,tblReadPercentage,2,FALSE))</f>
        <v>--</v>
      </c>
      <c r="G222" s="191"/>
      <c r="H222" s="355"/>
      <c r="I222" s="17"/>
    </row>
    <row r="223" spans="1:9" s="642" customFormat="1" x14ac:dyDescent="0.2">
      <c r="A223" s="17"/>
      <c r="B223" s="25"/>
      <c r="C223" s="191"/>
      <c r="D223" s="191"/>
      <c r="E223" s="191"/>
      <c r="F223" s="191"/>
      <c r="G223" s="191"/>
      <c r="H223" s="355"/>
      <c r="I223" s="17"/>
    </row>
    <row r="224" spans="1:9" ht="15.75" thickBot="1" x14ac:dyDescent="0.25">
      <c r="A224" s="17"/>
      <c r="B224" s="291" t="s">
        <v>491</v>
      </c>
      <c r="C224" s="598" t="str">
        <f>IF(AND(HAOption="Yes",SiteResilienceEnabled="Yes",OR(SRModel="Active/Active (Single DAG)",SRModel="Active/Active (Multiple DAGs)")),"/ Datacenter 1","/ Primary Datacenter")</f>
        <v>/ Datacenter 1</v>
      </c>
      <c r="D224" s="598" t="str">
        <f>IF(AND(HAOption="Yes",SiteResilienceEnabled="Yes",OR(SRModel="Active/Active (Single DAG)",SRModel="Active/Active (Multiple DAGs)")),"/ Datacenter 2","/ Secondary Datacenter")</f>
        <v>/ Datacenter 2</v>
      </c>
      <c r="E224" s="291" t="s">
        <v>489</v>
      </c>
      <c r="F224" s="355"/>
      <c r="G224" s="355"/>
      <c r="H224" s="355"/>
      <c r="I224" s="17"/>
    </row>
    <row r="225" spans="1:10" ht="15.75" thickTop="1" x14ac:dyDescent="0.2">
      <c r="A225" s="17"/>
      <c r="B225" s="25" t="s">
        <v>690</v>
      </c>
      <c r="C225" s="190">
        <f>IF(ValidationCheck=TRUE,"--",calcNumDBCopyInPDC)</f>
        <v>2</v>
      </c>
      <c r="D225" s="190">
        <f>IF(ValidationCheck=TRUE,"--",calcNumDBCopyInSDC)</f>
        <v>1</v>
      </c>
      <c r="E225" s="190">
        <f>IF(HAOption="Yes",SUM(Table2433[[#This Row],[ / Primary Datacenter]:[/ Secondary Datacenter]]),"--")</f>
        <v>3</v>
      </c>
      <c r="F225" s="355"/>
      <c r="G225" s="355"/>
      <c r="H225" s="355"/>
      <c r="I225" s="17"/>
    </row>
    <row r="226" spans="1:10" x14ac:dyDescent="0.2">
      <c r="A226" s="17"/>
      <c r="B226" s="25" t="s">
        <v>691</v>
      </c>
      <c r="C226" s="190">
        <f>IF(ValidationCheck=TRUE,"--",calcNumLagCopyInPDC)</f>
        <v>0</v>
      </c>
      <c r="D226" s="190">
        <f>IF(ValidationCheck=TRUE,"--",calcNumLagCopyInSDC)</f>
        <v>1</v>
      </c>
      <c r="E226" s="190">
        <f>IF(HAOption="Yes",SUM(Table2433[[#This Row],[ / Primary Datacenter]:[/ Secondary Datacenter]]),"--")</f>
        <v>1</v>
      </c>
      <c r="F226" s="355"/>
      <c r="G226" s="355"/>
      <c r="H226" s="355"/>
      <c r="I226" s="17"/>
    </row>
    <row r="227" spans="1:10" x14ac:dyDescent="0.2">
      <c r="A227" s="17"/>
      <c r="B227" s="481" t="s">
        <v>506</v>
      </c>
      <c r="C227" s="547">
        <f>SUM(C225:C226)</f>
        <v>2</v>
      </c>
      <c r="D227" s="547">
        <f>SUM(D225:D226)</f>
        <v>2</v>
      </c>
      <c r="E227" s="547">
        <f>IF(HAOption="Yes",SUM(E225:E226),"--")</f>
        <v>4</v>
      </c>
      <c r="F227" s="355"/>
      <c r="G227" s="355"/>
      <c r="H227" s="355"/>
      <c r="I227" s="17"/>
    </row>
    <row r="228" spans="1:10" x14ac:dyDescent="0.2">
      <c r="A228" s="17"/>
      <c r="B228" s="25"/>
      <c r="C228" s="191"/>
      <c r="D228" s="191"/>
      <c r="E228" s="191"/>
      <c r="F228" s="355"/>
      <c r="G228" s="355"/>
      <c r="H228" s="355"/>
      <c r="I228" s="17"/>
    </row>
    <row r="229" spans="1:10" x14ac:dyDescent="0.2">
      <c r="A229" s="17"/>
      <c r="B229" s="172" t="s">
        <v>29</v>
      </c>
      <c r="C229" s="31" t="s">
        <v>333</v>
      </c>
      <c r="D229" s="191"/>
      <c r="E229" s="191"/>
      <c r="F229" s="355"/>
      <c r="G229" s="355"/>
      <c r="H229" s="355"/>
      <c r="I229" s="17"/>
    </row>
    <row r="230" spans="1:10" x14ac:dyDescent="0.2">
      <c r="A230" s="17"/>
      <c r="B230" s="25" t="str">
        <f>"Number of Databases" &amp; IF(HAOption="Yes"," / DAG"," in the Environment")</f>
        <v>Number of Databases / DAG</v>
      </c>
      <c r="C230" s="190">
        <f>IF(ValidationCheck=FALSE,IF(HAOption="Yes",RecNumDBs,RecNumDBs*numMBXServers),"--")</f>
        <v>72</v>
      </c>
      <c r="D230" s="191"/>
      <c r="E230" s="191"/>
      <c r="F230" s="355"/>
      <c r="G230" s="355"/>
      <c r="H230" s="355"/>
      <c r="I230" s="17"/>
    </row>
    <row r="231" spans="1:10" x14ac:dyDescent="0.2">
      <c r="A231" s="17"/>
      <c r="B231" s="25" t="s">
        <v>115</v>
      </c>
      <c r="C231" s="190">
        <f>IF(ValidationCheck=FALSE,MBXPerDB,"--")</f>
        <v>62.5</v>
      </c>
      <c r="D231" s="191"/>
      <c r="E231" s="191"/>
      <c r="F231" s="355"/>
      <c r="G231" s="355"/>
      <c r="H231" s="355"/>
      <c r="I231" s="17"/>
    </row>
    <row r="232" spans="1:10" x14ac:dyDescent="0.2">
      <c r="A232" s="17"/>
      <c r="B232" s="23" t="s">
        <v>445</v>
      </c>
      <c r="C232" s="347">
        <f>IF(ValidationCheck=FALSE,calcAvDBCache,"--")</f>
        <v>21.845333333333333</v>
      </c>
      <c r="D232" s="191"/>
      <c r="E232" s="191"/>
      <c r="F232" s="355"/>
      <c r="G232" s="355"/>
      <c r="H232" s="355"/>
      <c r="I232" s="17"/>
    </row>
    <row r="233" spans="1:10" x14ac:dyDescent="0.2">
      <c r="A233" s="17"/>
      <c r="B233" s="25"/>
      <c r="C233" s="190"/>
      <c r="D233" s="190"/>
      <c r="E233" s="190"/>
      <c r="F233" s="355"/>
      <c r="G233" s="355"/>
      <c r="H233" s="355"/>
      <c r="I233" s="17"/>
    </row>
    <row r="234" spans="1:10" x14ac:dyDescent="0.2">
      <c r="A234" s="17"/>
      <c r="B234" s="172" t="s">
        <v>405</v>
      </c>
      <c r="C234" s="31" t="s">
        <v>326</v>
      </c>
      <c r="D234" s="31" t="s">
        <v>327</v>
      </c>
      <c r="E234" s="31" t="s">
        <v>328</v>
      </c>
      <c r="F234" s="355"/>
      <c r="G234" s="355"/>
      <c r="H234" s="355"/>
      <c r="I234" s="17"/>
    </row>
    <row r="235" spans="1:10" x14ac:dyDescent="0.2">
      <c r="A235" s="17"/>
      <c r="B235" s="25" t="str">
        <f>IF(HAOption="Yes","Number of Database Copies","Number of Databases")</f>
        <v>Number of Database Copies</v>
      </c>
      <c r="C235" s="190">
        <f>IF(ValidationCheck=FALSE,IF(HAOption="Yes",TotNumDBCopiesServer,RecNumDBs),"--")</f>
        <v>36</v>
      </c>
      <c r="D235" s="190">
        <f>IF(AND(HAOption="Yes",ValidationCheck=FALSE),(TotNumDBCopiesDC1+TotNumLagDBCopiesDC1+TotNumLagDBCopiesDC2+TotNumDBCopiesDC2),"--")</f>
        <v>288</v>
      </c>
      <c r="E235" s="190">
        <f>IF(ValidationCheck=FALSE,IF(HAOption="Yes",Table2421[[#This Row],[/ DAG]]*calcNumDAGs,Table2421 Table2421[ / Server] *numMBXServers),"--")</f>
        <v>2880</v>
      </c>
      <c r="F235" s="355"/>
      <c r="G235" s="355"/>
      <c r="H235" s="355"/>
      <c r="I235" s="17"/>
    </row>
    <row r="236" spans="1:10" x14ac:dyDescent="0.2">
      <c r="A236" s="17"/>
      <c r="B236" s="25"/>
      <c r="C236" s="191"/>
      <c r="D236" s="191"/>
      <c r="E236" s="191"/>
      <c r="F236" s="355"/>
      <c r="G236" s="355"/>
      <c r="H236" s="355"/>
      <c r="I236" s="17"/>
    </row>
    <row r="237" spans="1:10" x14ac:dyDescent="0.2">
      <c r="A237" s="17"/>
      <c r="B237" s="1154" t="s">
        <v>560</v>
      </c>
      <c r="C237" s="1155"/>
      <c r="D237" s="1155"/>
      <c r="E237" s="1155"/>
      <c r="F237" s="1155"/>
      <c r="G237" s="1155"/>
      <c r="H237" s="1155"/>
      <c r="I237" s="1155"/>
      <c r="J237" s="16"/>
    </row>
    <row r="238" spans="1:10" x14ac:dyDescent="0.2">
      <c r="A238" s="17"/>
      <c r="B238" s="362"/>
      <c r="C238" s="362"/>
      <c r="D238" s="363"/>
      <c r="E238" s="383"/>
      <c r="F238" s="383"/>
      <c r="G238" s="383"/>
      <c r="H238" s="13"/>
      <c r="I238" s="17"/>
    </row>
    <row r="239" spans="1:10" ht="30.75" thickBot="1" x14ac:dyDescent="0.25">
      <c r="A239" s="17"/>
      <c r="B239" s="563" t="s">
        <v>406</v>
      </c>
      <c r="C239" s="292" t="str">
        <f>IF(AND(HAOption="Yes",SiteResilienceEnabled="Yes",OR(SRModel="Active/Active (Single DAG)",SRModel="Active/Active (Multiple DAGs)")),"/ Datacenter 1","/ Primary Datacenter") &amp; " Server" &amp; IF(HAOption="Yes",IF(calcNumActiveDBsSF&lt;&gt;"--"," (Double Failure)",IF(calcNumActiveDBsFF&lt;&gt;"--"," (Single Failure)","")),"")</f>
        <v>/ Datacenter 1 Server (Double Failure)</v>
      </c>
      <c r="D239" s="292" t="str">
        <f>IF(AND(HAOption="Yes",SiteResilienceEnabled="Yes",OR(SRModel="Active/Active (Single DAG)",SRModel="Active/Active (Multiple DAGs)")),"/ Datacenter 2","/ Secondary Datacenter") &amp; " Server" &amp; IF(HAOption="Yes",IF(calcNumActiveDBsSiteF2F&lt;&gt;"--"," (Double Failure)",IF(calcNumActiveDBsSiteF1F&lt;&gt;"--"," (Single Failure)","")),"")</f>
        <v>/ Datacenter 2 Server</v>
      </c>
      <c r="E239" s="292" t="s">
        <v>414</v>
      </c>
      <c r="F239" s="172"/>
      <c r="G239" s="172"/>
      <c r="H239" s="13"/>
      <c r="I239" s="17"/>
    </row>
    <row r="240" spans="1:10" ht="15.75" thickTop="1" x14ac:dyDescent="0.2">
      <c r="A240" s="17"/>
      <c r="B240" s="25" t="s">
        <v>375</v>
      </c>
      <c r="C240" s="385">
        <f>IF(ValidationCheck=FALSE,ServerRAMConfig,"--")</f>
        <v>96</v>
      </c>
      <c r="D240" s="385">
        <f>IF(AND(HAOption="Yes",SiteResilienceEnabled="Yes",numDBCopiesSDC&lt;&gt;0,ValidationCheck=FALSE),MBXSDCRAM,"--")</f>
        <v>96</v>
      </c>
      <c r="E240" s="388" t="str">
        <f>IF(ValidationCheck=FALSE,LagSvrRAM,"--")</f>
        <v>--</v>
      </c>
      <c r="F240" s="388"/>
      <c r="G240" s="388"/>
      <c r="H240" s="13"/>
      <c r="I240" s="17"/>
    </row>
    <row r="241" spans="1:9" x14ac:dyDescent="0.2">
      <c r="A241" s="17"/>
      <c r="B241" s="25" t="s">
        <v>1310</v>
      </c>
      <c r="C241" s="871" t="str">
        <f>IF(AND(ValidationCheck=FALSE,numMCyclesPerCorePDC&lt;&gt;0),ROUNDUP(calcReqMBXCoresPDCServer+IF(MultiRoleEnabled="Yes",calcReqCASCoresPDCServer,0),0),"--")</f>
        <v>--</v>
      </c>
      <c r="D241" s="871" t="str">
        <f>IF(AND(ValidationCheck=FALSE,SiteResilienceEnabled="Yes",numMCyclesPerCoreSDC&lt;&gt;0),ROUNDUP(calcReqMBXCoresSDCServer+IF(MultiRoleEnabled="Yes",calcReqCASCoresSDCServer,0),0),"--")</f>
        <v>--</v>
      </c>
      <c r="E241" s="871" t="str">
        <f>IF(ValidationCheck=FALSE,calcReqLagCoresPDCServer,"--")</f>
        <v>--</v>
      </c>
      <c r="F241" s="425"/>
      <c r="G241" s="425"/>
      <c r="H241" s="13"/>
      <c r="I241" s="17"/>
    </row>
    <row r="242" spans="1:9" x14ac:dyDescent="0.2">
      <c r="A242" s="17"/>
      <c r="B242" s="25" t="str">
        <f>IF(MultiRoleEnabled="Yes","Server CPU Utilization","Mailbox Role CPU Utilization")</f>
        <v>Server CPU Utilization</v>
      </c>
      <c r="C242" s="502" t="str">
        <f>IF(ValidationCheck=FALSE,calcCPUUtilPDC,"--")</f>
        <v>--</v>
      </c>
      <c r="D242" s="502" t="str">
        <f>calcCPUUtilSDC</f>
        <v>--</v>
      </c>
      <c r="E242" s="502" t="str">
        <f>calcCPUUtilLCS</f>
        <v>--</v>
      </c>
      <c r="F242" s="502"/>
      <c r="G242" s="502"/>
      <c r="H242" s="13"/>
      <c r="I242" s="17"/>
    </row>
    <row r="243" spans="1:9" x14ac:dyDescent="0.2">
      <c r="A243" s="17"/>
      <c r="B243" s="25" t="str">
        <f>IF(MultiRoleEnabled="Yes","Server CPU Megacycle Requirements","Mailbox Role CPU Megacycle Requirements")</f>
        <v>Server CPU Megacycle Requirements</v>
      </c>
      <c r="C243" s="190">
        <f>IF(ValidationCheck=FALSE,calcMBXServerACPU+calcMBXServerPCPU+IF(MultiRoleEnabled="Yes",calcCASCPUPDC,0),"--")</f>
        <v>16230.9375</v>
      </c>
      <c r="D243" s="190">
        <f>IF(AND(OR(calcNumAMBXServersDC2&lt;&gt;0,calcNumPMBXServersDC2&lt;&gt;0),ValidationCheck=FALSE),calcMBXServerACPUSDC+calcMBXServerPCPUSDC+IF(MultiRoleEnabled="Yes",calcCASCPUSDC,0),"--")</f>
        <v>16230.9375</v>
      </c>
      <c r="E243" s="190" t="str">
        <f>IF(AND(calcNumLagMBXServers&lt;&gt;0,ValidationCheck=FALSE),calcLaggedServerCPU,"--")</f>
        <v>--</v>
      </c>
      <c r="F243" s="202"/>
      <c r="G243" s="202"/>
      <c r="H243" s="13"/>
      <c r="I243" s="17"/>
    </row>
    <row r="244" spans="1:9" s="642" customFormat="1" x14ac:dyDescent="0.2">
      <c r="A244" s="17"/>
      <c r="B244" s="628" t="s">
        <v>735</v>
      </c>
      <c r="C244" s="537" t="str">
        <f>IF(ValidationCheck=FALSE,calcAvSvrMCycles,"--")</f>
        <v>--</v>
      </c>
      <c r="D244" s="537">
        <f>calcAvSvrMCyclesSDC</f>
        <v>0</v>
      </c>
      <c r="E244" s="537" t="str">
        <f>calcAvSvrMCyclesLCS</f>
        <v>--</v>
      </c>
      <c r="F244" s="202"/>
      <c r="G244" s="202"/>
      <c r="H244" s="13"/>
      <c r="I244" s="17"/>
    </row>
    <row r="245" spans="1:9" s="642" customFormat="1" x14ac:dyDescent="0.2">
      <c r="A245" s="17"/>
      <c r="B245" s="25" t="s">
        <v>617</v>
      </c>
      <c r="C245" s="202" t="str">
        <f>IF(ValidationCheck=FALSE,PreferredStorageArch,"--")</f>
        <v>JBOD</v>
      </c>
      <c r="D245" s="202" t="str">
        <f>PreferredStorageArchSDC</f>
        <v>JBOD</v>
      </c>
      <c r="E245" s="202" t="str">
        <f>LaggedCopySvrPrefStorageArch</f>
        <v>--</v>
      </c>
      <c r="F245" s="202"/>
      <c r="G245" s="202"/>
      <c r="H245" s="13"/>
      <c r="I245" s="17"/>
    </row>
    <row r="246" spans="1:9" s="642" customFormat="1" x14ac:dyDescent="0.2">
      <c r="A246" s="17"/>
      <c r="B246" s="961" t="s">
        <v>1405</v>
      </c>
      <c r="C246" s="962" t="str">
        <f>IF(ValidationCheck=FALSE,calcTransportLocPDC,"--")</f>
        <v>System Disk</v>
      </c>
      <c r="D246" s="962" t="str">
        <f>IF(ValidationCheck=FALSE,calcTransportLocSDC,"--")</f>
        <v>System Disk</v>
      </c>
      <c r="E246" s="968" t="s">
        <v>25</v>
      </c>
      <c r="F246" s="202"/>
      <c r="G246" s="202"/>
      <c r="H246" s="13"/>
      <c r="I246" s="17"/>
    </row>
    <row r="247" spans="1:9" x14ac:dyDescent="0.2">
      <c r="A247" s="17"/>
      <c r="F247" s="422"/>
      <c r="G247" s="422"/>
      <c r="H247" s="13"/>
      <c r="I247" s="17"/>
    </row>
    <row r="248" spans="1:9" x14ac:dyDescent="0.2">
      <c r="A248" s="17"/>
      <c r="B248" s="1162" t="s">
        <v>559</v>
      </c>
      <c r="C248" s="1155"/>
      <c r="D248" s="1155"/>
      <c r="E248" s="1155"/>
      <c r="F248" s="1155"/>
      <c r="G248" s="1155"/>
      <c r="H248" s="1155"/>
      <c r="I248" s="1163"/>
    </row>
    <row r="249" spans="1:9" x14ac:dyDescent="0.2">
      <c r="A249" s="17"/>
      <c r="B249" s="12"/>
      <c r="C249" s="12"/>
      <c r="D249" s="12"/>
      <c r="E249" s="12"/>
      <c r="F249" s="12"/>
      <c r="G249" s="12"/>
      <c r="H249" s="13"/>
      <c r="I249" s="17"/>
    </row>
    <row r="250" spans="1:9" ht="15.75" thickBot="1" x14ac:dyDescent="0.25">
      <c r="A250" s="17"/>
      <c r="B250" s="291" t="s">
        <v>199</v>
      </c>
      <c r="C250" s="354" t="s">
        <v>541</v>
      </c>
      <c r="D250" s="354" t="s">
        <v>337</v>
      </c>
      <c r="E250" s="292" t="s">
        <v>327</v>
      </c>
      <c r="F250" s="293" t="s">
        <v>328</v>
      </c>
      <c r="G250" s="578"/>
      <c r="H250" s="13"/>
      <c r="I250" s="17"/>
    </row>
    <row r="251" spans="1:9" ht="15.75" thickTop="1" x14ac:dyDescent="0.2">
      <c r="A251" s="17"/>
      <c r="B251" s="350" t="s">
        <v>198</v>
      </c>
      <c r="C251" s="356">
        <f>IF(ValidationCheck=FALSE,CalcNumDBUserTLogs,"--")</f>
        <v>2500</v>
      </c>
      <c r="D251" s="356">
        <f>IF(ValidationCheck=FALSE,IF(HAOption="Yes",CalcNumUserTLogs/TotNumActiveMBXServers,CalcNumUserTLogs),"--")</f>
        <v>22500</v>
      </c>
      <c r="E251" s="356">
        <f>IF(AND(HAOption="Yes",ValidationCheck=FALSE),CalcNumUserTLogs,"--")</f>
        <v>180000</v>
      </c>
      <c r="F251" s="623">
        <f>IF(ValidationCheck=FALSE,IF(HAOption="Yes",CalcNumUserTLogs*calcNumDAGs,CalcNumUserTLogs*numMBXServers),"--")</f>
        <v>1800000</v>
      </c>
      <c r="G251" s="576"/>
      <c r="H251" s="13"/>
      <c r="I251" s="17"/>
    </row>
    <row r="252" spans="1:9" x14ac:dyDescent="0.2">
      <c r="A252" s="17"/>
      <c r="B252" s="350" t="s">
        <v>197</v>
      </c>
      <c r="C252" s="356">
        <f>IF(ValidationCheck=FALSE,NumDBMoveMbxTLogs,"--")</f>
        <v>972.32142857142856</v>
      </c>
      <c r="D252" s="356">
        <f>IF(ValidationCheck=FALSE,IF(HAOption="Yes",NumMoveMBXTLogs/TotNumActiveMBXServers,NumMoveMBXTLogs),"--")</f>
        <v>8750.8928571428569</v>
      </c>
      <c r="E252" s="356">
        <f>IF(AND(HAOption="Yes",ValidationCheck=FALSE),NumMoveMBXTLogs,"--")</f>
        <v>70007.142857142855</v>
      </c>
      <c r="F252" s="623">
        <f>IF(ValidationCheck=FALSE,IF(HAOption="Yes",NumMoveMBXTLogs*calcNumDAGs,NumMoveMBXTLogs*numMBXServers),"--")</f>
        <v>700071.42857142852</v>
      </c>
      <c r="G252" s="576"/>
      <c r="H252" s="5"/>
      <c r="I252" s="17"/>
    </row>
    <row r="253" spans="1:9" x14ac:dyDescent="0.2">
      <c r="A253" s="17"/>
      <c r="B253" s="25" t="s">
        <v>312</v>
      </c>
      <c r="C253" s="190">
        <f>IF(ValidationCheck=FALSE,TotDBTLogsGenerated,"--")</f>
        <v>3472.3214285714284</v>
      </c>
      <c r="D253" s="190">
        <f>IF(ValidationCheck=FALSE,IF(HAOption="Yes",TotTLogsGenerated/TotNumActiveMBXServers,TotTLogsGenerated),"--")</f>
        <v>31250.892857142855</v>
      </c>
      <c r="E253" s="190">
        <f>IF(AND(HAOption="Yes",ValidationCheck=FALSE),TotTLogsGenerated,"--")</f>
        <v>250007.14285714284</v>
      </c>
      <c r="F253" s="24">
        <f>IF(ValidationCheck=FALSE,IF(HAOption="Yes",TotTLogsGenerated*calcNumDAGs,TotTLogsGenerated*numMBXServers),"--")</f>
        <v>2500071.4285714282</v>
      </c>
      <c r="G253" s="576"/>
      <c r="H253" s="5"/>
      <c r="I253" s="17"/>
    </row>
    <row r="254" spans="1:9" x14ac:dyDescent="0.2">
      <c r="A254" s="17"/>
      <c r="B254" s="642"/>
      <c r="C254" s="642"/>
      <c r="D254" s="642"/>
      <c r="E254" s="642"/>
      <c r="F254" s="642"/>
      <c r="G254" s="24"/>
      <c r="H254" s="5"/>
      <c r="I254" s="17"/>
    </row>
    <row r="255" spans="1:9" x14ac:dyDescent="0.2">
      <c r="A255" s="17"/>
      <c r="B255" s="172" t="s">
        <v>561</v>
      </c>
      <c r="C255" s="517" t="s">
        <v>541</v>
      </c>
      <c r="D255" s="31" t="s">
        <v>326</v>
      </c>
      <c r="E255" s="31" t="s">
        <v>327</v>
      </c>
      <c r="F255" s="31" t="s">
        <v>328</v>
      </c>
      <c r="G255" s="31"/>
      <c r="H255" s="642"/>
      <c r="I255" s="17"/>
    </row>
    <row r="256" spans="1:9" s="642" customFormat="1" x14ac:dyDescent="0.2">
      <c r="A256" s="17"/>
      <c r="B256" s="25" t="s">
        <v>1406</v>
      </c>
      <c r="C256" s="960" t="s">
        <v>25</v>
      </c>
      <c r="D256" s="290">
        <f>IF(ValidationCheck=FALSE,calcTransportDBSize,"--")</f>
        <v>289.67857360839844</v>
      </c>
      <c r="E256" s="290">
        <f>IF(AND(HAOption="Yes",ValidationCheck=FALSE),TotNumMBXServersinDAG*calcTransportDBSize,"--")</f>
        <v>2317.4285888671875</v>
      </c>
      <c r="F256" s="290">
        <f>IF(ValidationCheck=FALSE,IF(HAOption="Yes",Table28[[#This Row],[/ DAG]]*calcNumDAGs,Table28[[#This Row],[ / Server]]*numMBXServers),"--")</f>
        <v>23174.285888671875</v>
      </c>
      <c r="G256" s="31"/>
      <c r="I256" s="17"/>
    </row>
    <row r="257" spans="1:10" ht="15" customHeight="1" x14ac:dyDescent="0.2">
      <c r="A257" s="17"/>
      <c r="B257" s="25" t="s">
        <v>329</v>
      </c>
      <c r="C257" s="290">
        <f>DBSizeOverhead</f>
        <v>664.6728515625</v>
      </c>
      <c r="D257" s="290">
        <f>IF(HAOption="Yes",TotDBDiskSpaceReqDAGMember,TotDBDiskSpaceReq)</f>
        <v>23928.22265625</v>
      </c>
      <c r="E257" s="290">
        <f>IF(AND(HAOption="Yes",ValidationCheck=FALSE),TotDBCopiesDiskSpaceReq,"--")</f>
        <v>191425.78125</v>
      </c>
      <c r="F257" s="290">
        <f>IF(ValidationCheck=FALSE,IF(HAOption="Yes",Table28[[#This Row],[/ DAG]]*calcNumDAGs,TotDBDiskSpaceReq*numMBXServers),"--")</f>
        <v>1914257.8125</v>
      </c>
      <c r="G257" s="290"/>
      <c r="H257" s="1165" t="str">
        <f>IF(DBSizeOverhead&gt;2000,"The recommended maximum database size for Exchange is 2TB.  Alter your design (increasing the number of databases, decreasing the number of mailboxes per database, altering the mailbox size, etc.) to align with best practices.","")</f>
        <v/>
      </c>
      <c r="I257" s="17"/>
    </row>
    <row r="258" spans="1:10" x14ac:dyDescent="0.2">
      <c r="A258" s="17"/>
      <c r="B258" s="25" t="s">
        <v>330</v>
      </c>
      <c r="C258" s="290">
        <f>LogSizeOverhead</f>
        <v>23.736572265625</v>
      </c>
      <c r="D258" s="290">
        <f>IF(HAOption="Yes",TotLogDiskSpaceDAGMember,TotLogDiskSpace)</f>
        <v>854.5166015625</v>
      </c>
      <c r="E258" s="290">
        <f>IF(AND(HAOption="Yes",ValidationCheck=FALSE),TotLogCopiesDiskSpace,"--")</f>
        <v>6836.1328125</v>
      </c>
      <c r="F258" s="290">
        <f>IF(ValidationCheck=FALSE,IF(HAOption="Yes",Table28[[#This Row],[/ DAG]]*calcNumDAGs,TotLogDiskSpace*numMBXServers),"--")</f>
        <v>68361.328125</v>
      </c>
      <c r="G258" s="290"/>
      <c r="H258" s="1165"/>
      <c r="I258" s="17"/>
    </row>
    <row r="259" spans="1:10" x14ac:dyDescent="0.2">
      <c r="A259" s="17"/>
      <c r="B259" s="25" t="str">
        <f>IF(OR(VolArchitecture="Multiple DBs / Volume",VolArchitecture="1 Volume / DB"),"Database+Log Volume Space Required","Database Volume Space Required")</f>
        <v>Database+Log Volume Space Required</v>
      </c>
      <c r="C259" s="290" t="str">
        <f>IF(VolArchitecture="1 Volume / DB",DBVolSize,"--")</f>
        <v>--</v>
      </c>
      <c r="D259" s="290">
        <f>TotDBVolSpace</f>
        <v>32383.994654605263</v>
      </c>
      <c r="E259" s="290">
        <f>IF(AND(HAOption="Yes",ValidationCheck=FALSE),TotDBVolSpaceDAG,"--")</f>
        <v>259071.95723684211</v>
      </c>
      <c r="F259" s="290">
        <f>IF(ValidationCheck=FALSE,TotDBVolSpaceEnv,"--")</f>
        <v>2590719.5723684211</v>
      </c>
      <c r="G259" s="290"/>
      <c r="H259" s="1165"/>
      <c r="I259" s="17"/>
    </row>
    <row r="260" spans="1:10" x14ac:dyDescent="0.2">
      <c r="A260" s="17"/>
      <c r="B260" s="25" t="s">
        <v>833</v>
      </c>
      <c r="C260" s="290" t="str">
        <f>IF(VolArchitecture="1 Volume / DB",LogVolSize,"--")</f>
        <v>--</v>
      </c>
      <c r="D260" s="290">
        <f>TotLogVolSpace</f>
        <v>0</v>
      </c>
      <c r="E260" s="290">
        <f>IF(AND(HAOption="Yes",ValidationCheck=FALSE),TotLogVolSpaceDAG,"--")</f>
        <v>0</v>
      </c>
      <c r="F260" s="290">
        <f>IF(ValidationCheck=FALSE,TotLogVolSpaceEnv,"--")</f>
        <v>0</v>
      </c>
      <c r="G260" s="290"/>
      <c r="H260" s="1165"/>
      <c r="I260" s="17"/>
    </row>
    <row r="261" spans="1:10" x14ac:dyDescent="0.2">
      <c r="A261" s="17"/>
      <c r="B261" s="25" t="s">
        <v>834</v>
      </c>
      <c r="C261" s="625" t="s">
        <v>25</v>
      </c>
      <c r="D261" s="290">
        <f>IF(RestoreVolSize="0","--",RestoreVolSize)</f>
        <v>2898.5659950657896</v>
      </c>
      <c r="E261" s="290">
        <f>IF(AND(HAOption="Yes",ValidationCheck=FALSE),IF(RestoreVolSize="0","--",RestoreVolSize)*totNumMBXServersPerDag,"--")</f>
        <v>23188.527960526317</v>
      </c>
      <c r="F261" s="290">
        <f>IF(ValidationCheck=FALSE,IF(HAOption="Yes",Table28[[#This Row],[/ DAG]]*calcNumDAGs,IF(RestoreVolSize="0","--",RestoreVolSize)*numMBXServers),"--")</f>
        <v>231885.27960526317</v>
      </c>
      <c r="G261" s="290"/>
      <c r="H261" s="1165"/>
      <c r="I261" s="17"/>
    </row>
    <row r="262" spans="1:10" x14ac:dyDescent="0.2">
      <c r="A262" s="17"/>
      <c r="B262" s="25"/>
      <c r="C262" s="203"/>
      <c r="D262" s="539"/>
      <c r="E262" s="539"/>
      <c r="F262" s="539"/>
      <c r="G262" s="539"/>
      <c r="I262" s="17"/>
    </row>
    <row r="263" spans="1:10" x14ac:dyDescent="0.2">
      <c r="A263" s="13"/>
      <c r="B263" s="172" t="s">
        <v>764</v>
      </c>
      <c r="C263" s="517" t="s">
        <v>541</v>
      </c>
      <c r="D263" s="31" t="s">
        <v>326</v>
      </c>
      <c r="E263" s="31" t="s">
        <v>327</v>
      </c>
      <c r="F263" s="31" t="s">
        <v>328</v>
      </c>
      <c r="G263" s="31"/>
      <c r="I263" s="17"/>
    </row>
    <row r="264" spans="1:10" x14ac:dyDescent="0.2">
      <c r="A264" s="13"/>
      <c r="B264" s="25" t="s">
        <v>331</v>
      </c>
      <c r="C264" s="190">
        <f>IF(ValidationCheck=FALSE,calcIOPSPerDB,"--")</f>
        <v>10.050000000000001</v>
      </c>
      <c r="D264" s="190">
        <f>IF(ValidationCheck=FALSE,PeakIOPS,"--")</f>
        <v>361.8</v>
      </c>
      <c r="E264" s="190">
        <f>IF(AND(HAOption="Yes",ValidationCheck=FALSE),DBIOPSReplicaSS*totNumMBXServersPerDag,"--")</f>
        <v>2894.4</v>
      </c>
      <c r="F264" s="190">
        <f>IF(ValidationCheck=FALSE,IF(HAOption="Yes",Table76[[#This Row],[/ DAG]]*calcNumDAGs,EnvPeakIOPS*numMBXServers),"--")</f>
        <v>28944</v>
      </c>
      <c r="G264" s="190"/>
      <c r="H264" s="25"/>
      <c r="I264" s="17"/>
    </row>
    <row r="265" spans="1:10" x14ac:dyDescent="0.2">
      <c r="A265" s="13"/>
      <c r="B265" s="25" t="s">
        <v>332</v>
      </c>
      <c r="C265" s="190">
        <f>IF(ValidationCheck=FALSE,calcIOPSPerLog,"--")</f>
        <v>2.2110000000000003</v>
      </c>
      <c r="D265" s="190">
        <f>IF(ValidationCheck=FALSE,LogWriteTransfers+LogReadTransfers,"--")</f>
        <v>75.977999999999994</v>
      </c>
      <c r="E265" s="190">
        <f>IF(AND(HAOption="Yes",ValidationCheck=FALSE),LogIOPSReplicaSS*totNumMBXServersPerDag,"--")</f>
        <v>607.82399999999996</v>
      </c>
      <c r="F265" s="190">
        <f>IF(ValidationCheck=FALSE,IF(HAOption="Yes",Table76[[#This Row],[/ DAG]]*calcNumDAGs,(LogWriteTransfers+LogReadTransfers)*numMBXServers),"--")</f>
        <v>6078.24</v>
      </c>
      <c r="G265" s="190"/>
      <c r="H265" s="25"/>
      <c r="I265" s="17"/>
    </row>
    <row r="266" spans="1:10" x14ac:dyDescent="0.2">
      <c r="A266" s="13"/>
      <c r="B266" s="25" t="s">
        <v>263</v>
      </c>
      <c r="C266" s="624">
        <f>IF(ValidationCheck=FALSE,aggRWRatio,"--")</f>
        <v>0.6</v>
      </c>
      <c r="D266" s="539" t="s">
        <v>25</v>
      </c>
      <c r="E266" s="539" t="s">
        <v>25</v>
      </c>
      <c r="F266" s="539" t="s">
        <v>25</v>
      </c>
      <c r="G266" s="539"/>
      <c r="H266" s="25"/>
      <c r="I266" s="17"/>
    </row>
    <row r="267" spans="1:10" s="642" customFormat="1" x14ac:dyDescent="0.2">
      <c r="A267" s="13"/>
      <c r="B267" s="25" t="s">
        <v>763</v>
      </c>
      <c r="C267" s="734">
        <f>IF(ValidationCheck=FALSE,1,"--")</f>
        <v>1</v>
      </c>
      <c r="D267" s="716">
        <f>IF(ValidationCheck=FALSE,Table76[[#This Row],[/ Database]]*IF(HAOption="Yes",TotNumDBCopiesServer,RecNumDBs),"--")</f>
        <v>36</v>
      </c>
      <c r="E267" s="716">
        <f>IF(AND(HAOption="Yes",ValidationCheck=FALSE),Table76[[#This Row],[ / Server]]*totNumMBXServersPerDag,"--")</f>
        <v>288</v>
      </c>
      <c r="F267" s="716">
        <f>IF(ValidationCheck=FALSE,IF(HAOption="Yes",Table76[[#This Row],[/ DAG]]*calcNumDAGs,Table76[[#This Row],[ / Server]]*numMBXServers),"--")</f>
        <v>2880</v>
      </c>
      <c r="G267" s="539"/>
      <c r="H267" s="25"/>
      <c r="I267" s="17"/>
    </row>
    <row r="268" spans="1:10" x14ac:dyDescent="0.2">
      <c r="A268" s="17"/>
      <c r="B268" s="25"/>
      <c r="C268" s="25"/>
      <c r="D268" s="25"/>
      <c r="E268" s="25"/>
      <c r="F268" s="25"/>
      <c r="G268" s="25"/>
      <c r="H268" s="13"/>
      <c r="I268" s="17"/>
    </row>
    <row r="269" spans="1:10" ht="15.75" thickBot="1" x14ac:dyDescent="0.25">
      <c r="A269" s="17"/>
      <c r="B269" s="1151" t="s">
        <v>119</v>
      </c>
      <c r="C269" s="1152"/>
      <c r="D269" s="1152"/>
      <c r="E269" s="1152"/>
      <c r="F269" s="1152"/>
      <c r="G269" s="1152"/>
      <c r="H269" s="1152"/>
      <c r="I269" s="1153"/>
    </row>
    <row r="270" spans="1:10" ht="15" customHeight="1" x14ac:dyDescent="0.2">
      <c r="A270" s="17"/>
      <c r="B270" s="1156" t="str">
        <f>IF(OR(DBVolSize&gt;2048,LogVolSize&gt;2048),varVolSizeResponse,"N/A")</f>
        <v>Important: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http://technet.microsoft.com/en-us/library/bb124518.aspx.</v>
      </c>
      <c r="C270" s="1157"/>
      <c r="D270" s="1157"/>
      <c r="E270" s="1157"/>
      <c r="F270" s="1157"/>
      <c r="G270" s="1157"/>
      <c r="H270" s="1157"/>
      <c r="I270" s="1158"/>
    </row>
    <row r="271" spans="1:10" x14ac:dyDescent="0.2">
      <c r="A271" s="17"/>
      <c r="B271" s="1159"/>
      <c r="C271" s="1160"/>
      <c r="D271" s="1160"/>
      <c r="E271" s="1160"/>
      <c r="F271" s="1160"/>
      <c r="G271" s="1160"/>
      <c r="H271" s="1160"/>
      <c r="I271" s="1161"/>
    </row>
    <row r="272" spans="1:10" ht="15.75" thickBot="1" x14ac:dyDescent="0.25">
      <c r="B272" s="505"/>
      <c r="C272" s="506"/>
      <c r="D272" s="506"/>
      <c r="E272" s="506"/>
      <c r="F272" s="506"/>
      <c r="G272" s="506"/>
      <c r="H272" s="506"/>
      <c r="I272" s="506"/>
      <c r="J272" s="16"/>
    </row>
    <row r="274" spans="1:8" ht="15" customHeight="1" x14ac:dyDescent="0.2">
      <c r="A274" s="13"/>
    </row>
    <row r="285" spans="1:8" x14ac:dyDescent="0.2">
      <c r="D285" s="13"/>
      <c r="E285" s="13"/>
      <c r="F285" s="13"/>
      <c r="G285" s="13"/>
      <c r="H285" s="13"/>
    </row>
    <row r="286" spans="1:8" x14ac:dyDescent="0.2">
      <c r="D286" s="13"/>
      <c r="E286" s="13"/>
      <c r="F286" s="13"/>
      <c r="G286" s="13"/>
      <c r="H286" s="13"/>
    </row>
    <row r="287" spans="1:8" x14ac:dyDescent="0.2">
      <c r="D287" s="13"/>
      <c r="E287" s="13"/>
      <c r="F287" s="13"/>
      <c r="G287" s="13"/>
      <c r="H287" s="13"/>
    </row>
    <row r="288" spans="1:8" x14ac:dyDescent="0.2">
      <c r="D288" s="13"/>
      <c r="E288" s="13"/>
      <c r="F288" s="13"/>
      <c r="G288" s="13"/>
      <c r="H288" s="13"/>
    </row>
    <row r="289" spans="4:8" s="642" customFormat="1" x14ac:dyDescent="0.2">
      <c r="D289" s="13"/>
      <c r="E289" s="13"/>
      <c r="F289" s="13"/>
      <c r="G289" s="13"/>
      <c r="H289" s="13"/>
    </row>
    <row r="290" spans="4:8" s="642" customFormat="1" x14ac:dyDescent="0.2">
      <c r="D290" s="13"/>
      <c r="E290" s="13"/>
      <c r="F290" s="13"/>
      <c r="G290" s="13"/>
      <c r="H290" s="13"/>
    </row>
    <row r="291" spans="4:8" s="642" customFormat="1" x14ac:dyDescent="0.2">
      <c r="D291" s="13"/>
      <c r="E291" s="13"/>
      <c r="F291" s="13"/>
      <c r="G291" s="13"/>
      <c r="H291" s="13"/>
    </row>
    <row r="292" spans="4:8" x14ac:dyDescent="0.2">
      <c r="D292" s="13"/>
      <c r="E292" s="13"/>
      <c r="F292" s="13"/>
      <c r="G292" s="13"/>
      <c r="H292" s="13"/>
    </row>
    <row r="293" spans="4:8" x14ac:dyDescent="0.2">
      <c r="D293" s="13"/>
      <c r="E293" s="13"/>
      <c r="F293" s="13"/>
      <c r="G293" s="13"/>
      <c r="H293" s="13"/>
    </row>
    <row r="294" spans="4:8" x14ac:dyDescent="0.2">
      <c r="D294" s="13"/>
      <c r="E294" s="13"/>
      <c r="F294" s="13"/>
      <c r="G294" s="13"/>
      <c r="H294" s="13"/>
    </row>
    <row r="295" spans="4:8" x14ac:dyDescent="0.2">
      <c r="D295" s="13"/>
      <c r="E295" s="13"/>
      <c r="F295" s="13"/>
      <c r="G295" s="13"/>
      <c r="H295" s="13"/>
    </row>
    <row r="296" spans="4:8" x14ac:dyDescent="0.2">
      <c r="D296" s="13"/>
      <c r="E296" s="13"/>
      <c r="F296" s="13"/>
      <c r="G296" s="13"/>
      <c r="H296" s="13"/>
    </row>
    <row r="297" spans="4:8" x14ac:dyDescent="0.2">
      <c r="D297" s="13"/>
      <c r="E297" s="13"/>
      <c r="F297" s="13"/>
      <c r="G297" s="13"/>
      <c r="H297" s="13"/>
    </row>
    <row r="298" spans="4:8" x14ac:dyDescent="0.2">
      <c r="D298" s="13"/>
      <c r="E298" s="13"/>
      <c r="F298" s="13"/>
      <c r="G298" s="13"/>
      <c r="H298" s="13"/>
    </row>
    <row r="299" spans="4:8" x14ac:dyDescent="0.2">
      <c r="D299" s="13"/>
      <c r="E299" s="13"/>
      <c r="F299" s="13"/>
      <c r="G299" s="13"/>
      <c r="H299" s="13"/>
    </row>
    <row r="300" spans="4:8" x14ac:dyDescent="0.2">
      <c r="D300" s="13"/>
      <c r="E300" s="13"/>
      <c r="F300" s="13"/>
      <c r="G300" s="13"/>
      <c r="H300" s="13"/>
    </row>
    <row r="301" spans="4:8" x14ac:dyDescent="0.2">
      <c r="D301" s="13"/>
      <c r="E301" s="13"/>
      <c r="F301" s="13"/>
      <c r="G301" s="13"/>
      <c r="H301" s="13"/>
    </row>
    <row r="302" spans="4:8" x14ac:dyDescent="0.2">
      <c r="D302" s="13"/>
      <c r="E302" s="13"/>
      <c r="F302" s="13"/>
      <c r="G302" s="13"/>
      <c r="H302" s="13"/>
    </row>
    <row r="303" spans="4:8" x14ac:dyDescent="0.2">
      <c r="D303" s="13"/>
      <c r="E303" s="13"/>
      <c r="F303" s="13"/>
      <c r="G303" s="13"/>
      <c r="H303" s="13"/>
    </row>
    <row r="304" spans="4:8" x14ac:dyDescent="0.2">
      <c r="D304" s="13"/>
      <c r="E304" s="13"/>
      <c r="F304" s="13"/>
      <c r="G304" s="13"/>
      <c r="H304" s="13"/>
    </row>
    <row r="305" spans="4:8" x14ac:dyDescent="0.2">
      <c r="D305" s="13"/>
      <c r="E305" s="13"/>
      <c r="F305" s="13"/>
      <c r="G305" s="13"/>
      <c r="H305" s="13"/>
    </row>
    <row r="306" spans="4:8" x14ac:dyDescent="0.2">
      <c r="D306" s="13"/>
      <c r="E306" s="13"/>
      <c r="F306" s="13"/>
      <c r="G306" s="13"/>
      <c r="H306" s="13"/>
    </row>
    <row r="315" spans="4:8" x14ac:dyDescent="0.2">
      <c r="D315" s="192"/>
      <c r="E315" s="192"/>
      <c r="F315" s="192"/>
      <c r="G315" s="192"/>
    </row>
    <row r="316" spans="4:8" x14ac:dyDescent="0.2">
      <c r="D316" s="192"/>
      <c r="E316" s="192"/>
      <c r="F316" s="192"/>
      <c r="G316" s="192"/>
    </row>
  </sheetData>
  <dataConsolidate/>
  <mergeCells count="11">
    <mergeCell ref="B270:I271"/>
    <mergeCell ref="B248:I248"/>
    <mergeCell ref="B237:I237"/>
    <mergeCell ref="B5:I5"/>
    <mergeCell ref="G201:H203"/>
    <mergeCell ref="H257:H261"/>
    <mergeCell ref="B1:I1"/>
    <mergeCell ref="B2:I2"/>
    <mergeCell ref="B3:I4"/>
    <mergeCell ref="B269:I269"/>
    <mergeCell ref="B199:I199"/>
  </mergeCells>
  <conditionalFormatting sqref="B270">
    <cfRule type="expression" dxfId="194" priority="36" stopIfTrue="1">
      <formula>IF($B$270&lt;&gt;"N/A",TRUE)</formula>
    </cfRule>
  </conditionalFormatting>
  <conditionalFormatting sqref="C242">
    <cfRule type="expression" dxfId="193" priority="25">
      <formula>IF(calcCPUUtilPDC&lt;&gt;"--",IF(calcCPUUtilPDC&gt;80%,TRUE,FALSE),FALSE)</formula>
    </cfRule>
  </conditionalFormatting>
  <conditionalFormatting sqref="D242">
    <cfRule type="expression" dxfId="192" priority="24">
      <formula>IF(calcCPUUtilSDC&lt;&gt;"--",IF(calcCPUUtilSDC&gt;80%,TRUE,FALSE),FALSE)</formula>
    </cfRule>
  </conditionalFormatting>
  <conditionalFormatting sqref="E242">
    <cfRule type="expression" dxfId="191" priority="23">
      <formula>IF(calcCPUUtilLCS&lt;&gt;"--",IF(calcCPUUtilLCS&gt;80%,TRUE,FALSE),FALSE)</formula>
    </cfRule>
  </conditionalFormatting>
  <conditionalFormatting sqref="G201">
    <cfRule type="expression" dxfId="190" priority="22">
      <formula>IF(AND(HAOption="Yes",ValidationCheck=TRUE),TRUE,FALSE)</formula>
    </cfRule>
  </conditionalFormatting>
  <conditionalFormatting sqref="H257:H261">
    <cfRule type="expression" dxfId="189" priority="18">
      <formula>IF(DBSizeOverhead&gt;2000,TRUE,FALSE)</formula>
    </cfRule>
  </conditionalFormatting>
  <conditionalFormatting sqref="C241">
    <cfRule type="expression" dxfId="188" priority="17">
      <formula>IF(AND($C$241&gt;numProcCoresPDC,$C$241&lt;&gt;"--"),TRUE,FALSE)</formula>
    </cfRule>
  </conditionalFormatting>
  <conditionalFormatting sqref="D241">
    <cfRule type="expression" dxfId="187" priority="16">
      <formula>IF(AND($D$241&gt;numProcCoresSDC,$D$241&lt;&gt;"--"),TRUE,FALSE)</formula>
    </cfRule>
  </conditionalFormatting>
  <conditionalFormatting sqref="C246">
    <cfRule type="expression" dxfId="186" priority="7">
      <formula>IF(calcTransportLocPDC="Dedicated RAID-1 Disk",TRUE,FALSE)</formula>
    </cfRule>
  </conditionalFormatting>
  <conditionalFormatting sqref="D246">
    <cfRule type="expression" dxfId="185" priority="6">
      <formula>IF(calcTransportLocSDC="Dedicated RAID-1 Disk",TRUE,FALSE)</formula>
    </cfRule>
  </conditionalFormatting>
  <conditionalFormatting sqref="B19">
    <cfRule type="expression" dxfId="184" priority="5">
      <formula>IF(NumTier1MBX=0,TRUE,FALSE)</formula>
    </cfRule>
  </conditionalFormatting>
  <conditionalFormatting sqref="H19">
    <cfRule type="expression" dxfId="183" priority="4">
      <formula>IF(NumTier1MBX=0,TRUE,FALSE)</formula>
    </cfRule>
  </conditionalFormatting>
  <conditionalFormatting sqref="B45">
    <cfRule type="expression" dxfId="182" priority="3">
      <formula>IF(NumTier1MBX=0,TRUE,FALSE)</formula>
    </cfRule>
  </conditionalFormatting>
  <conditionalFormatting sqref="H45">
    <cfRule type="expression" dxfId="181" priority="2">
      <formula>IF(NumTier1MBX=0,TRUE,FALSE)</formula>
    </cfRule>
  </conditionalFormatting>
  <pageMargins left="0.7" right="0.7" top="0.75" bottom="0.75" header="0.3" footer="0.3"/>
  <pageSetup scale="40" orientation="portrait" r:id="rId1"/>
  <ignoredErrors>
    <ignoredError sqref="C240:D240 I145:I146 I149:I150 E240:E244 I95:I102 C125:C128 D114:D118 D119:D121 I163:I165 D122 I166 I125:I127 I147 C241:C246 D244:D246 E245:E246 C205:C206 D205:D206 D241:D243 E235 C184:C185 C188:C191 I169:I170 I167:I168 C186:C187" calculatedColumn="1"/>
  </ignoredErrors>
  <legacyDrawing r:id="rId2"/>
  <tableParts count="38">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60"/>
  <sheetViews>
    <sheetView showGridLines="0" showRowColHeaders="0" zoomScale="85" zoomScaleNormal="85" workbookViewId="0">
      <selection activeCell="B1" sqref="B1:I1"/>
    </sheetView>
  </sheetViews>
  <sheetFormatPr defaultRowHeight="15" customHeight="1" outlineLevelRow="1" x14ac:dyDescent="0.2"/>
  <cols>
    <col min="1" max="1" width="3.42578125" style="592" customWidth="1"/>
    <col min="2" max="2" width="70.85546875" bestFit="1" customWidth="1"/>
    <col min="3" max="3" width="27.85546875" bestFit="1" customWidth="1"/>
    <col min="4" max="4" width="28.28515625" bestFit="1" customWidth="1"/>
    <col min="5" max="5" width="22" bestFit="1" customWidth="1"/>
    <col min="6" max="6" width="19.5703125" customWidth="1"/>
    <col min="7" max="7" width="22" bestFit="1" customWidth="1"/>
    <col min="8" max="8" width="15" style="612" customWidth="1"/>
    <col min="9" max="9" width="3.28515625" customWidth="1"/>
  </cols>
  <sheetData>
    <row r="1" spans="1:14" ht="15" customHeight="1" x14ac:dyDescent="0.2">
      <c r="B1" s="1167" t="s">
        <v>272</v>
      </c>
      <c r="C1" s="1168"/>
      <c r="D1" s="1168"/>
      <c r="E1" s="1168"/>
      <c r="F1" s="1168"/>
      <c r="G1" s="1168"/>
      <c r="H1" s="1168"/>
      <c r="I1" s="1169"/>
    </row>
    <row r="2" spans="1:14" s="592" customFormat="1" ht="30.75" customHeight="1" x14ac:dyDescent="0.2">
      <c r="B2" s="1174" t="s">
        <v>688</v>
      </c>
      <c r="C2" s="1175"/>
      <c r="D2" s="1175"/>
      <c r="E2" s="1175"/>
      <c r="F2" s="1175"/>
      <c r="G2" s="1175"/>
      <c r="H2" s="1175"/>
      <c r="I2" s="1176"/>
    </row>
    <row r="3" spans="1:14" ht="15" customHeight="1" x14ac:dyDescent="0.2">
      <c r="B3" s="56"/>
      <c r="C3" s="289"/>
      <c r="D3" s="289"/>
      <c r="E3" s="289"/>
      <c r="F3" s="289"/>
      <c r="G3" s="289"/>
      <c r="H3" s="289"/>
      <c r="I3" s="37"/>
    </row>
    <row r="4" spans="1:14" ht="15" customHeight="1" x14ac:dyDescent="0.2">
      <c r="A4" s="593"/>
      <c r="B4" s="1170" t="s">
        <v>669</v>
      </c>
      <c r="C4" s="1170"/>
      <c r="D4" s="1170"/>
      <c r="E4" s="1170"/>
      <c r="F4" s="1170"/>
      <c r="G4" s="1170"/>
      <c r="H4" s="1170"/>
      <c r="I4" s="1170"/>
      <c r="J4" s="271"/>
    </row>
    <row r="5" spans="1:14" ht="15" hidden="1" customHeight="1" outlineLevel="1" x14ac:dyDescent="0.2">
      <c r="A5" s="593"/>
      <c r="B5" s="592"/>
      <c r="C5" s="592"/>
      <c r="D5" s="592"/>
      <c r="E5" s="592"/>
      <c r="F5" s="592"/>
      <c r="G5" s="592"/>
      <c r="I5" s="593"/>
    </row>
    <row r="6" spans="1:14" ht="15" customHeight="1" collapsed="1" x14ac:dyDescent="0.25">
      <c r="A6" s="593"/>
      <c r="B6" s="82"/>
      <c r="C6" s="33"/>
      <c r="D6" s="33"/>
      <c r="E6" s="33"/>
      <c r="F6" s="33"/>
      <c r="G6" s="61"/>
      <c r="H6" s="61"/>
      <c r="I6" s="81"/>
    </row>
    <row r="7" spans="1:14" ht="15" customHeight="1" x14ac:dyDescent="0.2">
      <c r="A7" s="593"/>
      <c r="B7" s="1171" t="s">
        <v>670</v>
      </c>
      <c r="C7" s="1171"/>
      <c r="D7" s="1171"/>
      <c r="E7" s="1171"/>
      <c r="F7" s="1171"/>
      <c r="G7" s="1171"/>
      <c r="H7" s="1171"/>
      <c r="I7" s="1171"/>
      <c r="J7" s="271"/>
    </row>
    <row r="8" spans="1:14" ht="15" customHeight="1" x14ac:dyDescent="0.25">
      <c r="A8" s="593"/>
      <c r="B8" s="213"/>
      <c r="C8" s="366"/>
      <c r="D8" s="58"/>
      <c r="E8" s="58"/>
      <c r="F8" s="218"/>
      <c r="G8" s="59"/>
      <c r="H8" s="59"/>
      <c r="I8" s="48"/>
    </row>
    <row r="9" spans="1:14" ht="15" customHeight="1" x14ac:dyDescent="0.2">
      <c r="A9" s="593"/>
      <c r="B9" s="423" t="s">
        <v>644</v>
      </c>
      <c r="C9" s="423" t="s">
        <v>698</v>
      </c>
      <c r="D9" s="423" t="s">
        <v>699</v>
      </c>
      <c r="F9" s="1166" t="str">
        <f>"Be sure to execute Set-MailboxServer &lt;Server Name&gt; -MaximumActiveDatabases " &amp; calcNumDBMemSizing &amp; " on all Mailbox servers within the DAG" &amp; IF(AND(calcNumDBMemSizing&lt;&gt;calcNumDBMemSizingSDC,calcNumDBMemSizingSDC&lt;&gt;"--")," that are located in the primary datacenter","") &amp; "."</f>
        <v>Be sure to execute Set-MailboxServer &lt;Server Name&gt; -MaximumActiveDatabases 18 on all Mailbox servers within the DAG.</v>
      </c>
      <c r="G9" s="1166"/>
      <c r="H9" s="1166"/>
      <c r="I9" s="593"/>
    </row>
    <row r="10" spans="1:14" s="592" customFormat="1" ht="15" customHeight="1" x14ac:dyDescent="0.25">
      <c r="A10" s="593"/>
      <c r="B10" s="594" t="s">
        <v>661</v>
      </c>
      <c r="C10" s="602" t="str">
        <f>IF(OR(AND(HAOption="Yes",SiteResilienceEnabled="No",ValidationCheck=FALSE),AND(HAOption="Yes",SiteResilienceEnabled="Yes",ValidationCheck=FALSE,SRModel="Active/Passive")),calcNumAMBXServersDC1,"--")</f>
        <v>--</v>
      </c>
      <c r="D10" s="602" t="str">
        <f>IF(OR(AND(HAOption="Yes",SiteResilienceEnabled="No",ValidationCheck=FALSE),AND(HAOption="Yes",SiteResilienceEnabled="Yes",ValidationCheck=FALSE,SRModel="Active/Passive")),calcNumAMBXServersDC2,"--")</f>
        <v>--</v>
      </c>
      <c r="F10" s="1166"/>
      <c r="G10" s="1166"/>
      <c r="H10" s="1166"/>
      <c r="I10" s="593"/>
    </row>
    <row r="11" spans="1:14" s="592" customFormat="1" ht="15" customHeight="1" x14ac:dyDescent="0.25">
      <c r="A11" s="593"/>
      <c r="B11" s="594" t="s">
        <v>701</v>
      </c>
      <c r="C11" s="602" t="str">
        <f>IF(OR(AND(HAOption="Yes",SiteResilienceEnabled="No",ValidationCheck=FALSE),AND(HAOption="Yes",SiteResilienceEnabled="Yes",ValidationCheck=FALSE,SRModel="Active/Passive")),calcNumPMBXServersDC1,"--")</f>
        <v>--</v>
      </c>
      <c r="D11" s="602" t="str">
        <f>IF(OR(AND(HAOption="Yes",SiteResilienceEnabled="No",ValidationCheck=FALSE),AND(HAOption="Yes",SiteResilienceEnabled="Yes",ValidationCheck=FALSE,SRModel="Active/Passive")),calcNumPMBXServersDC2,"--")</f>
        <v>--</v>
      </c>
      <c r="F11" s="1166"/>
      <c r="G11" s="1166"/>
      <c r="H11" s="1166"/>
      <c r="I11" s="593"/>
    </row>
    <row r="12" spans="1:14" s="592" customFormat="1" ht="15" customHeight="1" x14ac:dyDescent="0.25">
      <c r="A12" s="593"/>
      <c r="B12" s="627" t="s">
        <v>700</v>
      </c>
      <c r="C12" s="602" t="str">
        <f>IF(OR(AND(HAOption="Yes",SiteResilienceEnabled="No",ValidationCheck=FALSE),AND(HAOption="Yes",SiteResilienceEnabled="Yes",ValidationCheck=FALSE,SRModel="Active/Passive")),calcNumLagMBXServersPDC,"--")</f>
        <v>--</v>
      </c>
      <c r="D12" s="602" t="str">
        <f>IF(OR(AND(HAOption="Yes",SiteResilienceEnabled="No",ValidationCheck=FALSE),AND(HAOption="Yes",SiteResilienceEnabled="Yes",ValidationCheck=FALSE,SRModel="Active/Passive")),calcNumLagMBXServersSDC,"--")</f>
        <v>--</v>
      </c>
      <c r="H12" s="612"/>
      <c r="I12" s="593"/>
      <c r="N12" s="612"/>
    </row>
    <row r="13" spans="1:14" s="612" customFormat="1" ht="15" customHeight="1" x14ac:dyDescent="0.2">
      <c r="A13" s="613"/>
      <c r="I13" s="613"/>
    </row>
    <row r="14" spans="1:14" s="592" customFormat="1" ht="30" x14ac:dyDescent="0.2">
      <c r="A14" s="593"/>
      <c r="B14" s="31" t="s">
        <v>611</v>
      </c>
      <c r="C14" s="31" t="s">
        <v>412</v>
      </c>
      <c r="D14" s="552" t="s">
        <v>413</v>
      </c>
      <c r="E14" s="31" t="s">
        <v>607</v>
      </c>
      <c r="F14" s="575" t="s">
        <v>563</v>
      </c>
      <c r="G14" s="575" t="s">
        <v>408</v>
      </c>
      <c r="H14" s="575"/>
      <c r="I14" s="593"/>
    </row>
    <row r="15" spans="1:14" s="592" customFormat="1" ht="15" customHeight="1" x14ac:dyDescent="0.2">
      <c r="A15" s="593"/>
      <c r="B15" s="350" t="s">
        <v>539</v>
      </c>
      <c r="C15" s="387" t="str">
        <f>IF(OR(AND(HAOption="Yes",SiteResilienceEnabled="No",ValidationCheck=FALSE),AND(HAOption="Yes",SiteResilienceEnabled="Yes",ValidationCheck=FALSE,SRModel="Active/Passive")),calcNumActiveDBs,"--")</f>
        <v>--</v>
      </c>
      <c r="D15" s="553" t="s">
        <v>25</v>
      </c>
      <c r="E15" s="384" t="str">
        <f>IF(OR(AND(HAOption="Yes",SiteResilienceEnabled="No",ValidationCheck=FALSE),AND(HAOption="Yes",SiteResilienceEnabled="Yes",ValidationCheck=FALSE,SRModel="Active/Passive")),MBXPerDB*calcNumActiveDBs,"--")</f>
        <v>--</v>
      </c>
      <c r="F15" s="606" t="str">
        <f>IF(OR(AND(HAOption="Yes",SiteResilienceEnabled="No",ValidationCheck=FALSE),AND(HAOption="Yes",SiteResilienceEnabled="Yes",ValidationCheck=FALSE,SRModel="Active/Passive")),RecNumDBsDC1,"--")</f>
        <v>--</v>
      </c>
      <c r="G15" s="580" t="s">
        <v>25</v>
      </c>
      <c r="H15" s="580"/>
      <c r="I15" s="593"/>
    </row>
    <row r="16" spans="1:14" s="592" customFormat="1" ht="15" customHeight="1" x14ac:dyDescent="0.2">
      <c r="A16" s="593"/>
      <c r="B16" s="350" t="s">
        <v>609</v>
      </c>
      <c r="C16" s="382" t="str">
        <f>IF(OR(AND(HAOption="Yes",SiteResilienceEnabled="No",ValidationCheck=FALSE),AND(HAOption="Yes",SiteResilienceEnabled="Yes",ValidationCheck=FALSE,SRModel="Active/Passive")),calcNumActiveDBsFF,"--")</f>
        <v>--</v>
      </c>
      <c r="D16" s="545" t="str">
        <f>IF(OR(AND(HAOption="Yes",SiteResilienceEnabled="No",ValidationCheck=FALSE),AND(HAOption="Yes",SiteResilienceEnabled="Yes",ValidationCheck=FALSE,SRModel="Active/Passive")),calcNumActiveDBsPDCFFinSDC,"--")</f>
        <v>--</v>
      </c>
      <c r="E16" s="384" t="str">
        <f>IF(OR(AND(HAOption="Yes",SiteResilienceEnabled="No",ValidationCheck=FALSE),AND(HAOption="Yes",SiteResilienceEnabled="Yes",ValidationCheck=FALSE,SRModel="Active/Passive")),IF(calcNumActiveDBsFF&lt;&gt;"--",MBXPerDB*calcNumActiveDBsFF,"--"),"--")</f>
        <v>--</v>
      </c>
      <c r="F16" s="581" t="str">
        <f>IF(OR(AND(HAOption="Yes",SiteResilienceEnabled="No",ValidationCheck=FALSE),AND(HAOption="Yes",SiteResilienceEnabled="Yes",ValidationCheck=FALSE,SRModel="Active/Passive")),IF(calcNumActiveDBsFF="--","--",IF(calcTotActiveDBsPDCFFinPDC="--",RecNumDBs,calcTotActiveDBsPDCFFinPDC)),"--")</f>
        <v>--</v>
      </c>
      <c r="G16" s="581" t="str">
        <f>IF(OR(AND(HAOption="Yes",SiteResilienceEnabled="No",ValidationCheck=FALSE),AND(HAOption="Yes",SiteResilienceEnabled="Yes",ValidationCheck=FALSE,SRModel="Active/Passive")),IF(calcTotActiveDBsPDCFFinSDC="--","--",calcTotActiveDBsPDCFFinSDC),"--")</f>
        <v>--</v>
      </c>
      <c r="H16" s="581"/>
      <c r="I16" s="593"/>
      <c r="L16" s="612"/>
    </row>
    <row r="17" spans="1:9" s="592" customFormat="1" ht="15" customHeight="1" x14ac:dyDescent="0.25">
      <c r="A17" s="593"/>
      <c r="B17" s="594" t="s">
        <v>608</v>
      </c>
      <c r="C17" s="382" t="str">
        <f>IF(OR(AND(HAOption="Yes",SiteResilienceEnabled="No",ValidationCheck=FALSE),AND(HAOption="Yes",SiteResilienceEnabled="Yes",ValidationCheck=FALSE,SRModel="Active/Passive")),calcNumActiveDBsSF,"--")</f>
        <v>--</v>
      </c>
      <c r="D17" s="544" t="str">
        <f>IF(OR(AND(HAOption="Yes",SiteResilienceEnabled="No",ValidationCheck=FALSE),AND(HAOption="Yes",SiteResilienceEnabled="Yes",ValidationCheck=FALSE,SRModel="Active/Passive")),calcNumActiveDBsPDCSFinSDC,"--")</f>
        <v>--</v>
      </c>
      <c r="E17" s="384" t="str">
        <f>IF(OR(AND(HAOption="Yes",SiteResilienceEnabled="No",ValidationCheck=FALSE),AND(HAOption="Yes",SiteResilienceEnabled="Yes",ValidationCheck=FALSE,SRModel="Active/Passive")),IF(calcNumActiveDBsSF&lt;&gt;"--",MBXPerDB*calcNumActiveDBsSF,"--"),"--")</f>
        <v>--</v>
      </c>
      <c r="F17" s="581" t="str">
        <f>IF(OR(AND(HAOption="Yes",SiteResilienceEnabled="No",ValidationCheck=FALSE),AND(HAOption="Yes",SiteResilienceEnabled="Yes",ValidationCheck=FALSE,SRModel="Active/Passive")),IF(calcNumActiveDBsSF="--","--",IF(calcTotActiveDBsPDCSFinPDC="--",RecNumDBs,calcTotActiveDBsPDCSFinPDC)),"--")</f>
        <v>--</v>
      </c>
      <c r="G17" s="581" t="str">
        <f>IF(OR(AND(HAOption="Yes",SiteResilienceEnabled="No",ValidationCheck=FALSE),AND(HAOption="Yes",SiteResilienceEnabled="Yes",ValidationCheck=FALSE,SRModel="Active/Passive")),IF(calcTotActiveDBsPDCSFinSDC="--","--",calcTotActiveDBsPDCSFinSDC),"--")</f>
        <v>--</v>
      </c>
      <c r="H17" s="581"/>
      <c r="I17" s="593"/>
    </row>
    <row r="18" spans="1:9" ht="15" customHeight="1" x14ac:dyDescent="0.2">
      <c r="A18" s="593"/>
      <c r="B18" s="8"/>
      <c r="C18" s="386"/>
      <c r="D18" s="384"/>
      <c r="E18" s="192"/>
      <c r="F18" s="429"/>
      <c r="G18" s="429"/>
      <c r="H18" s="429"/>
      <c r="I18" s="593"/>
    </row>
    <row r="19" spans="1:9" ht="15" customHeight="1" x14ac:dyDescent="0.2">
      <c r="A19" s="593"/>
      <c r="B19" s="31" t="s">
        <v>702</v>
      </c>
      <c r="C19" s="31" t="s">
        <v>564</v>
      </c>
      <c r="D19" s="31" t="s">
        <v>411</v>
      </c>
      <c r="E19" s="192"/>
      <c r="F19" s="1166" t="str">
        <f>"Be sure to execute Set-MailboxServer &lt;Server Name&gt; -MaximumActiveDatabases " &amp; calcNumDBMemSizingSDC &amp; " on all Mailbox servers within the DAG that are located in the secondary datacenter."</f>
        <v>Be sure to execute Set-MailboxServer &lt;Server Name&gt; -MaximumActiveDatabases 18 on all Mailbox servers within the DAG that are located in the secondary datacenter.</v>
      </c>
      <c r="G19" s="1166"/>
      <c r="H19" s="1166"/>
      <c r="I19" s="593"/>
    </row>
    <row r="20" spans="1:9" ht="15" customHeight="1" x14ac:dyDescent="0.2">
      <c r="A20" s="593"/>
      <c r="B20" s="350" t="s">
        <v>540</v>
      </c>
      <c r="C20" s="387" t="str">
        <f>IF(OR(AND(HAOption="Yes",SiteResilienceEnabled="No",ValidationCheck=FALSE),AND(HAOption="Yes",SiteResilienceEnabled="Yes",ValidationCheck=FALSE,SRModel="Active/Passive")),calcNumActiveDBsSiteF,"--")</f>
        <v>--</v>
      </c>
      <c r="D20" s="384" t="str">
        <f>IF(OR(AND(HAOption="Yes",SiteResilienceEnabled="No",ValidationCheck=FALSE),AND(HAOption="Yes",SiteResilienceEnabled="Yes",ValidationCheck=FALSE,SRModel="Active/Passive")),IF(Table24214079[[#This Row],[ / Secondary Datacenter Server]]&lt;&gt;"--",MBXPerDB*calcNumActiveDBsSiteF,"--"),"--")</f>
        <v>--</v>
      </c>
      <c r="E20" s="192"/>
      <c r="F20" s="1166"/>
      <c r="G20" s="1166"/>
      <c r="H20" s="1166"/>
      <c r="I20" s="593"/>
    </row>
    <row r="21" spans="1:9" ht="15" customHeight="1" x14ac:dyDescent="0.2">
      <c r="A21" s="593"/>
      <c r="B21" s="350" t="s">
        <v>629</v>
      </c>
      <c r="C21" s="382" t="str">
        <f>IF(OR(AND(HAOption="Yes",SiteResilienceEnabled="No",ValidationCheck=FALSE),AND(HAOption="Yes",SiteResilienceEnabled="Yes",ValidationCheck=FALSE,SRModel="Active/Passive")),calcNumActiveDBsSiteF1F,"--")</f>
        <v>--</v>
      </c>
      <c r="D21" s="384" t="str">
        <f>IF(OR(AND(HAOption="Yes",SiteResilienceEnabled="No",ValidationCheck=FALSE),AND(HAOption="Yes",SiteResilienceEnabled="Yes",ValidationCheck=FALSE,SRModel="Active/Passive")),IF(Table24214079[[#This Row],[ / Secondary Datacenter Server]]&lt;&gt;"--",MBXPerDB*calcNumActiveDBsSiteF1F,"--"),"--")</f>
        <v>--</v>
      </c>
      <c r="E21" s="192"/>
      <c r="F21" s="1166"/>
      <c r="G21" s="1166"/>
      <c r="H21" s="1166"/>
      <c r="I21" s="593"/>
    </row>
    <row r="22" spans="1:9" ht="15" customHeight="1" x14ac:dyDescent="0.25">
      <c r="A22" s="593"/>
      <c r="B22" s="594" t="s">
        <v>630</v>
      </c>
      <c r="C22" s="382" t="str">
        <f>IF(OR(AND(HAOption="Yes",SiteResilienceEnabled="No",ValidationCheck=FALSE),AND(HAOption="Yes",SiteResilienceEnabled="Yes",ValidationCheck=FALSE,SRModel="Active/Passive")),calcNumActiveDBsSiteF2F,"--")</f>
        <v>--</v>
      </c>
      <c r="D22" s="384" t="str">
        <f>IF(OR(AND(HAOption="Yes",SiteResilienceEnabled="No",ValidationCheck=FALSE),AND(HAOption="Yes",SiteResilienceEnabled="Yes",ValidationCheck=FALSE,SRModel="Active/Passive")),IF(Table24214079[[#This Row],[ / Secondary Datacenter Server]]&lt;&gt;"--",MBXPerDB*calcNumActiveDBsSiteF2F,"--"),"--")</f>
        <v>--</v>
      </c>
      <c r="E22" s="192"/>
      <c r="F22" s="429"/>
      <c r="G22" s="429"/>
      <c r="H22" s="429"/>
      <c r="I22" s="593"/>
    </row>
    <row r="23" spans="1:9" ht="15" customHeight="1" x14ac:dyDescent="0.2">
      <c r="A23" s="593"/>
      <c r="I23" s="593"/>
    </row>
    <row r="24" spans="1:9" ht="15" customHeight="1" x14ac:dyDescent="0.2">
      <c r="A24" s="593"/>
      <c r="B24" s="1172" t="s">
        <v>679</v>
      </c>
      <c r="C24" s="1171"/>
      <c r="D24" s="1171"/>
      <c r="E24" s="1171"/>
      <c r="F24" s="1171"/>
      <c r="G24" s="1171"/>
      <c r="H24" s="1171"/>
      <c r="I24" s="1173"/>
    </row>
    <row r="25" spans="1:9" ht="15" customHeight="1" x14ac:dyDescent="0.2">
      <c r="A25" s="593"/>
      <c r="I25" s="593"/>
    </row>
    <row r="26" spans="1:9" s="592" customFormat="1" ht="31.5" customHeight="1" thickBot="1" x14ac:dyDescent="0.25">
      <c r="A26" s="593"/>
      <c r="B26" s="291" t="str">
        <f>IF(AND(HAOption="Yes",SiteResilienceEnabled="Yes",SRModel="Active/Active (Multiple DAGs)"),"DAG-A Member Layout","DAG Member Layout")</f>
        <v>DAG Member Layout</v>
      </c>
      <c r="C26" s="615" t="s">
        <v>693</v>
      </c>
      <c r="D26" s="616" t="s">
        <v>692</v>
      </c>
      <c r="F26" s="1166" t="str">
        <f>"Be sure to execute Set-MailboxServer &lt;Server Name&gt; -MaximumActiveDatabases " &amp; calcNumDBMemSizing &amp; " on all Mailbox servers within the DAG" &amp; IF(AND(calcNumDBMemSizing&lt;&gt;calcNumDBMemSizingSDC,calcNumDBMemSizingSDC&lt;&gt;"--")," that are located in Datacenter 1","") &amp; "."</f>
        <v>Be sure to execute Set-MailboxServer &lt;Server Name&gt; -MaximumActiveDatabases 18 on all Mailbox servers within the DAG.</v>
      </c>
      <c r="G26" s="1166"/>
      <c r="H26" s="1166"/>
      <c r="I26" s="593"/>
    </row>
    <row r="27" spans="1:9" s="592" customFormat="1" ht="15" customHeight="1" thickTop="1" x14ac:dyDescent="0.25">
      <c r="A27" s="593"/>
      <c r="B27" s="594" t="s">
        <v>661</v>
      </c>
      <c r="C27" s="602">
        <f>IF(AND(HAOption="Yes",SiteResilienceEnabled="Yes",ValidationCheck=FALSE,SRModel&lt;&gt;"Active/Passive"),calcNumAMBXServersDC1,"--")</f>
        <v>4</v>
      </c>
      <c r="D27" s="602">
        <f>IF(AND(HAOption="Yes",SiteResilienceEnabled="Yes",ValidationCheck=FALSE,SRModel&lt;&gt;"Active/Passive"),calcNumAMBXServersDC2,"--")</f>
        <v>4</v>
      </c>
      <c r="F27" s="1166"/>
      <c r="G27" s="1166"/>
      <c r="H27" s="1166"/>
      <c r="I27" s="593"/>
    </row>
    <row r="28" spans="1:9" s="592" customFormat="1" ht="15" customHeight="1" x14ac:dyDescent="0.25">
      <c r="A28" s="593"/>
      <c r="B28" s="614" t="s">
        <v>701</v>
      </c>
      <c r="C28" s="602">
        <f>IF(AND(HAOption="Yes",SiteResilienceEnabled="Yes",ValidationCheck=FALSE,SRModel&lt;&gt;"Active/Passive"),calcNumPMBXServersDC1,"--")</f>
        <v>0</v>
      </c>
      <c r="D28" s="602">
        <f>IF(AND(HAOption="Yes",SiteResilienceEnabled="Yes",ValidationCheck=FALSE,SRModel&lt;&gt;"Active/Passive"),calcNumPMBXServersDC2,"--")</f>
        <v>0</v>
      </c>
      <c r="H28" s="612"/>
      <c r="I28" s="593"/>
    </row>
    <row r="29" spans="1:9" s="612" customFormat="1" ht="15" customHeight="1" x14ac:dyDescent="0.25">
      <c r="A29" s="613"/>
      <c r="B29" s="627" t="s">
        <v>700</v>
      </c>
      <c r="C29" s="602">
        <f>IF(AND(HAOption="Yes",SiteResilienceEnabled="Yes",ValidationCheck=FALSE,SRModel&lt;&gt;"Active/Passive"),calcNumLagMBXServersPDC,"--")</f>
        <v>0</v>
      </c>
      <c r="D29" s="602">
        <f>IF(AND(HAOption="Yes",SiteResilienceEnabled="Yes",ValidationCheck=FALSE,SRModel&lt;&gt;"Active/Passive"),calcNumLagMBXServersSDC,"--")</f>
        <v>0</v>
      </c>
      <c r="I29" s="613"/>
    </row>
    <row r="30" spans="1:9" s="592" customFormat="1" ht="15" customHeight="1" x14ac:dyDescent="0.2">
      <c r="A30" s="593"/>
      <c r="H30" s="612"/>
      <c r="I30" s="593"/>
    </row>
    <row r="31" spans="1:9" s="592" customFormat="1" ht="30.75" thickBot="1" x14ac:dyDescent="0.25">
      <c r="A31" s="593"/>
      <c r="B31" s="292" t="str">
        <f>IF(AND(HAOption="Yes",SiteResilienceEnabled="Yes",SRModel="Active/Active (Multiple DAGs)"),"DAG-A Active Database Configuration / DAG","DAG Active Database Configuration / DAG")</f>
        <v>DAG Active Database Configuration / DAG</v>
      </c>
      <c r="C31" s="615" t="s">
        <v>674</v>
      </c>
      <c r="D31" s="615" t="str">
        <f>IF(AND(SRModel="Active/Active (Single DAG)",calcSRAASDDRServers="No"),"/ Datacenter 2 Active Server","/ Datacenter 2 DR Server")</f>
        <v>/ Datacenter 2 Active Server</v>
      </c>
      <c r="E31" s="615" t="s">
        <v>673</v>
      </c>
      <c r="F31" s="617" t="s">
        <v>671</v>
      </c>
      <c r="G31" s="618" t="s">
        <v>672</v>
      </c>
      <c r="H31" s="575"/>
      <c r="I31" s="593"/>
    </row>
    <row r="32" spans="1:9" s="592" customFormat="1" ht="15" customHeight="1" thickTop="1" x14ac:dyDescent="0.2">
      <c r="A32" s="593"/>
      <c r="B32" s="350" t="s">
        <v>539</v>
      </c>
      <c r="C32" s="935">
        <f>IF(AND(HAOption="Yes",SiteResilienceEnabled="Yes",ValidationCheck=FALSE,SRModel&lt;&gt;"Active/Passive"),calcNumActiveDBs,"--")</f>
        <v>9</v>
      </c>
      <c r="D32" s="553" t="s">
        <v>25</v>
      </c>
      <c r="E32" s="384">
        <f>IF(AND(HAOption="Yes",SiteResilienceEnabled="Yes",ValidationCheck=FALSE,SRModel&lt;&gt;"Active/Passive"),MBXPerDB*calcNumActiveDBs,"--")</f>
        <v>562.5</v>
      </c>
      <c r="F32" s="606">
        <f>IF(AND(HAOption="Yes",SiteResilienceEnabled="Yes",ValidationCheck=FALSE,SRModel&lt;&gt;"Active/Passive"),RecNumDBsDC1,"--")</f>
        <v>36</v>
      </c>
      <c r="G32" s="580" t="s">
        <v>25</v>
      </c>
      <c r="H32" s="580"/>
      <c r="I32" s="593"/>
    </row>
    <row r="33" spans="1:9" s="592" customFormat="1" ht="15" customHeight="1" x14ac:dyDescent="0.2">
      <c r="A33" s="593"/>
      <c r="B33" s="350" t="s">
        <v>609</v>
      </c>
      <c r="C33" s="382">
        <f>IF(AND(HAOption="Yes",SiteResilienceEnabled="Yes",ValidationCheck=FALSE,SRModel&lt;&gt;"Active/Passive"),calcNumActiveDBsFF,"--")</f>
        <v>12</v>
      </c>
      <c r="D33" s="545">
        <f>IF(AND(HAOption="Yes",SiteResilienceEnabled="Yes",ValidationCheck=FALSE,SRModel&lt;&gt;"Active/Passive"),calcNumActiveDBsPDCFFinSDC,"--")</f>
        <v>0</v>
      </c>
      <c r="E33" s="384">
        <f>IF(AND(HAOption="Yes",SiteResilienceEnabled="Yes",ValidationCheck=FALSE,SRModel&lt;&gt;"Active/Passive"),IF(calcNumActiveDBsFF&lt;&gt;"--",MBXPerDB*calcNumActiveDBsFF,"--"),"--")</f>
        <v>750</v>
      </c>
      <c r="F33" s="581">
        <f>IF(AND(HAOption="Yes",SiteResilienceEnabled="Yes",ValidationCheck=FALSE,SRModel&lt;&gt;"Active/Passive"),IF(calcNumActiveDBsFF="--","--",IF(calcTotActiveDBsPDCFFinPDC="--",RecNumDBsDC1,calcTotActiveDBsPDCFFinPDC)),"--")</f>
        <v>36</v>
      </c>
      <c r="G33" s="581" t="str">
        <f>IF(AND(HAOption="Yes",SiteResilienceEnabled="Yes",ValidationCheck=FALSE,SRModel&lt;&gt;"Active/Passive"),IF(calcTotActiveDBsPDCFFinSDC="--","--",calcTotActiveDBsPDCFFinSDC),"--")</f>
        <v>--</v>
      </c>
      <c r="H33" s="581"/>
      <c r="I33" s="593"/>
    </row>
    <row r="34" spans="1:9" s="592" customFormat="1" ht="15" customHeight="1" x14ac:dyDescent="0.25">
      <c r="A34" s="593"/>
      <c r="B34" s="594" t="s">
        <v>608</v>
      </c>
      <c r="C34" s="382">
        <f>IF(AND(HAOption="Yes",SiteResilienceEnabled="Yes",ValidationCheck=FALSE,SRModel&lt;&gt;"Active/Passive"),calcNumActiveDBsSF,"--")</f>
        <v>15</v>
      </c>
      <c r="D34" s="544">
        <f>IF(AND(HAOption="Yes",SiteResilienceEnabled="Yes",ValidationCheck=FALSE,SRModel&lt;&gt;"Active/Passive"),calcNumActiveDBsPDCSFinSDC,"--")</f>
        <v>2</v>
      </c>
      <c r="E34" s="384">
        <f>IF(AND(HAOption="Yes",SiteResilienceEnabled="Yes",ValidationCheck=FALSE,SRModel&lt;&gt;"Active/Passive"),IF(calcNumActiveDBsSF&lt;&gt;"--",MBXPerDB*calcNumActiveDBsSF,"--"),"--")</f>
        <v>937.5</v>
      </c>
      <c r="F34" s="581">
        <f>IF(AND(HAOption="Yes",SiteResilienceEnabled="Yes",ValidationCheck=FALSE,SRModel&lt;&gt;"Active/Passive"),IF(calcNumActiveDBsSF="--","--",IF(calcTotActiveDBsPDCSFinPDC="--",RecNumDBsDC1,calcTotActiveDBsPDCSFinPDC)),"--")</f>
        <v>30</v>
      </c>
      <c r="G34" s="581">
        <f>IF(AND(HAOption="Yes",SiteResilienceEnabled="Yes",ValidationCheck=FALSE,SRModel&lt;&gt;"Active/Passive"),IF(calcTotActiveDBsPDCSFinSDC="--","--",calcTotActiveDBsPDCSFinSDC),"--")</f>
        <v>6</v>
      </c>
      <c r="H34" s="581"/>
      <c r="I34" s="593"/>
    </row>
    <row r="35" spans="1:9" s="592" customFormat="1" ht="15" customHeight="1" x14ac:dyDescent="0.2">
      <c r="A35" s="593"/>
      <c r="B35" s="8"/>
      <c r="C35" s="386"/>
      <c r="D35" s="384"/>
      <c r="E35" s="192"/>
      <c r="F35" s="429"/>
      <c r="G35" s="429"/>
      <c r="H35" s="429"/>
      <c r="I35" s="593"/>
    </row>
    <row r="36" spans="1:9" s="592" customFormat="1" ht="30.75" thickBot="1" x14ac:dyDescent="0.25">
      <c r="A36" s="593"/>
      <c r="B36" s="292" t="str">
        <f>IF(AND(HAOption="Yes",SiteResilienceEnabled="Yes",SRModel="Active/Active (Multiple DAGs)"),"DAG-A Active Database Activation Configuration (DC1 Site Failure) / DAG","Active Database Activation Configuration (DC1 Site Failure) / DAG")</f>
        <v>Active Database Activation Configuration (DC1 Site Failure) / DAG</v>
      </c>
      <c r="C36" s="615" t="str">
        <f>IF(AND(SRModel="Active/Active (Single DAG)",calcSRAASDDRServers="No"),"/ Datacenter 2 Active Server","/ Datacenter 2 DR Server")</f>
        <v>/ Datacenter 2 Active Server</v>
      </c>
      <c r="D36" s="615" t="str">
        <f>IF(AND(SRModel="Active/Active (Single DAG)",calcSRAASDDRServers="No"),"Active Mailboxes / Server","Active Mailboxes / DR Server")</f>
        <v>Active Mailboxes / Server</v>
      </c>
      <c r="E36" s="617" t="s">
        <v>672</v>
      </c>
      <c r="F36" s="619" t="s">
        <v>678</v>
      </c>
      <c r="H36" s="612"/>
      <c r="I36" s="593"/>
    </row>
    <row r="37" spans="1:9" s="592" customFormat="1" ht="15" customHeight="1" thickTop="1" x14ac:dyDescent="0.2">
      <c r="A37" s="593"/>
      <c r="B37" s="350" t="s">
        <v>697</v>
      </c>
      <c r="C37" s="387">
        <f>IF(AND(HAOption="Yes",SiteResilienceEnabled="Yes",ValidationCheck=FALSE,SRModel&lt;&gt;"Active/Passive"),calcNumActiveDBsSiteF,"--")</f>
        <v>18</v>
      </c>
      <c r="D37" s="384">
        <f>IF(AND(HAOption="Yes",SiteResilienceEnabled="Yes",ValidationCheck=FALSE,SRModel&lt;&gt;"Active/Passive"),IF(Table242140799597[[#This Row],[/ Datacenter 2 DR Server]]&lt;&gt;"--",MBXPerDB*calcNumActiveDBsSiteF,"--"),"--")</f>
        <v>1125</v>
      </c>
      <c r="E37" s="190">
        <f>IF(AND(HAOption="Yes",SiteResilienceEnabled="Yes",ValidationCheck=FALSE,SRModel&lt;&gt;"Active/Passive"),IF(Table242140799597[[#This Row],[/ Datacenter 2 DR Server]]&lt;&gt;"--",RecNumDBs,"--"),"--")</f>
        <v>72</v>
      </c>
      <c r="F37" s="384">
        <f>IF(AND(HAOption="Yes",SiteResilienceEnabled="Yes",ValidationCheck=FALSE,SRModel&lt;&gt;"Active/Passive"),IF(Table242140799597[[#This Row],[/ Datacenter 2 DR Server]]&lt;&gt;"--",TotMBXPerDAG,"--"),"--")</f>
        <v>4500</v>
      </c>
      <c r="H37" s="612"/>
      <c r="I37" s="593"/>
    </row>
    <row r="38" spans="1:9" s="592" customFormat="1" ht="15" customHeight="1" x14ac:dyDescent="0.2">
      <c r="A38" s="593"/>
      <c r="B38" s="350" t="s">
        <v>629</v>
      </c>
      <c r="C38" s="382" t="str">
        <f>IF(AND(HAOption="Yes",SiteResilienceEnabled="Yes",ValidationCheck=FALSE,SRModel&lt;&gt;"Active/Passive"),calcNumActiveDBsSiteF1F,"--")</f>
        <v>--</v>
      </c>
      <c r="D38" s="384" t="str">
        <f>IF(AND(HAOption="Yes",SiteResilienceEnabled="Yes",ValidationCheck=FALSE,SRModel&lt;&gt;"Active/Passive"),IF(Table242140799597[[#This Row],[/ Datacenter 2 DR Server]]&lt;&gt;"--",MBXPerDB*calcNumActiveDBsSiteF1F,"--"),"--")</f>
        <v>--</v>
      </c>
      <c r="E38" s="190" t="str">
        <f>IF(AND(HAOption="Yes",SiteResilienceEnabled="Yes",ValidationCheck=FALSE,SRModel&lt;&gt;"Active/Passive"),IF(Table242140799597[[#This Row],[/ Datacenter 2 DR Server]]&lt;&gt;"--",RecNumDBs,"--"),"--")</f>
        <v>--</v>
      </c>
      <c r="F38" s="384" t="str">
        <f>IF(AND(HAOption="Yes",SiteResilienceEnabled="Yes",ValidationCheck=FALSE,SRModel&lt;&gt;"Active/Passive"),IF(Table242140799597[[#This Row],[/ Datacenter 2 DR Server]]&lt;&gt;"--",TotMBXPerDAG,"--"),"--")</f>
        <v>--</v>
      </c>
      <c r="H38" s="612"/>
      <c r="I38" s="593"/>
    </row>
    <row r="39" spans="1:9" s="595" customFormat="1" ht="15" customHeight="1" x14ac:dyDescent="0.25">
      <c r="A39" s="596"/>
      <c r="B39" s="594" t="s">
        <v>630</v>
      </c>
      <c r="C39" s="382" t="str">
        <f>IF(AND(HAOption="Yes",SiteResilienceEnabled="Yes",ValidationCheck=FALSE,SRModel&lt;&gt;"Active/Passive"),calcNumActiveDBsSiteF2F,"--")</f>
        <v>--</v>
      </c>
      <c r="D39" s="384" t="str">
        <f>IF(AND(HAOption="Yes",SiteResilienceEnabled="Yes",ValidationCheck=FALSE,SRModel&lt;&gt;"Active/Passive"),IF(Table242140799597[[#This Row],[/ Datacenter 2 DR Server]]&lt;&gt;"--",MBXPerDB*calcNumActiveDBsSiteF2F,"--"),"--")</f>
        <v>--</v>
      </c>
      <c r="E39" s="190" t="str">
        <f>IF(AND(HAOption="Yes",SiteResilienceEnabled="Yes",ValidationCheck=FALSE,SRModel&lt;&gt;"Active/Passive"),IF(Table242140799597[[#This Row],[/ Datacenter 2 DR Server]]&lt;&gt;"--",RecNumDBs,"--"),"--")</f>
        <v>--</v>
      </c>
      <c r="F39" s="384" t="str">
        <f>IF(AND(HAOption="Yes",SiteResilienceEnabled="Yes",ValidationCheck=FALSE,SRModel&lt;&gt;"Active/Passive"),IF(Table242140799597[[#This Row],[/ Datacenter 2 DR Server]]&lt;&gt;"--",TotMBXPerDAG,"--"),"--")</f>
        <v>--</v>
      </c>
      <c r="H39" s="612"/>
      <c r="I39" s="596"/>
    </row>
    <row r="40" spans="1:9" s="592" customFormat="1" ht="15" customHeight="1" x14ac:dyDescent="0.2">
      <c r="A40" s="593"/>
      <c r="H40" s="612"/>
      <c r="I40" s="593"/>
    </row>
    <row r="41" spans="1:9" s="592" customFormat="1" ht="30.75" thickBot="1" x14ac:dyDescent="0.25">
      <c r="A41" s="593"/>
      <c r="B41" s="291" t="str">
        <f>IF(AND(HAOption="Yes",SiteResilienceEnabled="Yes",SRModel="Active/Active (Multiple DAGs)"),"DAG-B Member Layout","DAG Member Layout")</f>
        <v>DAG Member Layout</v>
      </c>
      <c r="C41" s="615" t="s">
        <v>695</v>
      </c>
      <c r="D41" s="616" t="s">
        <v>694</v>
      </c>
      <c r="F41" s="1166" t="str">
        <f>"Be sure to execute Set-MailboxServer &lt;Server Name&gt; -MaximumActiveDatabases " &amp; calcNumDBMemSizingSDC &amp; " on all Mailbox servers within the DAG that are located in Datacenter 2."</f>
        <v>Be sure to execute Set-MailboxServer &lt;Server Name&gt; -MaximumActiveDatabases 18 on all Mailbox servers within the DAG that are located in Datacenter 2.</v>
      </c>
      <c r="G41" s="1166"/>
      <c r="H41" s="1166"/>
      <c r="I41" s="593"/>
    </row>
    <row r="42" spans="1:9" s="592" customFormat="1" ht="15" customHeight="1" thickTop="1" x14ac:dyDescent="0.25">
      <c r="A42" s="593"/>
      <c r="B42" s="597" t="s">
        <v>661</v>
      </c>
      <c r="C42" s="602">
        <f>IF(AND(HAOption="Yes",SiteResilienceEnabled="Yes",ValidationCheck=FALSE),IF(SRModel="Active/Active (Multiple DAGs)",calcNumAMBXServersDC1,IF(SRModel="Active/Active (Single DAG)",calcNumAMBXServersDC2,"--")),"--")</f>
        <v>4</v>
      </c>
      <c r="D42" s="602">
        <f>IF(AND(HAOption="Yes",SiteResilienceEnabled="Yes",ValidationCheck=FALSE),IF(SRModel="Active/Active (Multiple DAGs)",calcNumAMBXServersDC2,IF(SRModel="Active/Active (Single DAG)",calcNumAMBXServersDC1,"--")),"--")</f>
        <v>4</v>
      </c>
      <c r="F42" s="1166"/>
      <c r="G42" s="1166"/>
      <c r="H42" s="1166"/>
      <c r="I42" s="593"/>
    </row>
    <row r="43" spans="1:9" s="592" customFormat="1" ht="15" customHeight="1" x14ac:dyDescent="0.25">
      <c r="A43" s="593"/>
      <c r="B43" s="614" t="s">
        <v>701</v>
      </c>
      <c r="C43" s="602">
        <f>IF(AND(HAOption="Yes",SiteResilienceEnabled="Yes",ValidationCheck=FALSE),IF(SRModel="Active/Active (Multiple DAGs)",calcNumPMBXServersDC1,IF(SRModel="Active/Active (Single DAG)",calcNumPMBXServersDC2,"--")),"--")</f>
        <v>0</v>
      </c>
      <c r="D43" s="602">
        <f>IF(AND(HAOption="Yes",SiteResilienceEnabled="Yes",ValidationCheck=FALSE),IF(SRModel="Active/Active (Multiple DAGs)",calcNumPMBXServersDC2,IF(SRModel="Active/Active (Single DAG)",calcNumPMBXServersDC1,"--")),"--")</f>
        <v>0</v>
      </c>
      <c r="H43" s="612"/>
      <c r="I43" s="593"/>
    </row>
    <row r="44" spans="1:9" s="612" customFormat="1" ht="15" customHeight="1" x14ac:dyDescent="0.25">
      <c r="A44" s="613"/>
      <c r="B44" s="627" t="s">
        <v>700</v>
      </c>
      <c r="C44" s="602">
        <f>IF(AND(HAOption="Yes",SiteResilienceEnabled="Yes",ValidationCheck=FALSE),IF(SRModel="Active/Active (Multiple DAGs)",calcNumLagMBXServersPDC,IF(SRModel="Active/Active (Single DAG)",calcNumLagMBXServersSDC,"--")),"--")</f>
        <v>0</v>
      </c>
      <c r="D44" s="602">
        <f>IF(AND(HAOption="Yes",SiteResilienceEnabled="Yes",ValidationCheck=FALSE),IF(SRModel="Active/Active (Multiple DAGs)",calcNumLagMBXServersSDC,IF(SRModel="Active/Active (Single DAG)",calcNumLagMBXServersPDC,"--")),"--")</f>
        <v>0</v>
      </c>
      <c r="I44" s="613"/>
    </row>
    <row r="45" spans="1:9" s="592" customFormat="1" ht="15" customHeight="1" x14ac:dyDescent="0.2">
      <c r="A45" s="593"/>
      <c r="H45" s="612"/>
      <c r="I45" s="593"/>
    </row>
    <row r="46" spans="1:9" s="595" customFormat="1" ht="30.75" thickBot="1" x14ac:dyDescent="0.25">
      <c r="A46" s="596"/>
      <c r="B46" s="292" t="str">
        <f>IF(AND(HAOption="Yes",SiteResilienceEnabled="Yes",SRModel="Active/Active (Multiple DAGs)"),"DAG-B Active Database Configuration / DAG","DAG Active Database Configuration / DAG")</f>
        <v>DAG Active Database Configuration / DAG</v>
      </c>
      <c r="C46" s="615" t="s">
        <v>676</v>
      </c>
      <c r="D46" s="615" t="str">
        <f>IF(AND(SRModel="Active/Active (Single DAG)",calcSRAASDDRServers="No"),"/ Datacenter 1 Active Server","/ Datacenter 1 DR Server")</f>
        <v>/ Datacenter 1 Active Server</v>
      </c>
      <c r="E46" s="615" t="s">
        <v>677</v>
      </c>
      <c r="F46" s="617" t="s">
        <v>672</v>
      </c>
      <c r="G46" s="618" t="s">
        <v>671</v>
      </c>
      <c r="H46" s="575"/>
      <c r="I46" s="596"/>
    </row>
    <row r="47" spans="1:9" s="595" customFormat="1" ht="15" customHeight="1" thickTop="1" x14ac:dyDescent="0.2">
      <c r="A47" s="596"/>
      <c r="B47" s="350" t="s">
        <v>539</v>
      </c>
      <c r="C47" s="387">
        <f>IF(AND(HAOption="Yes",SiteResilienceEnabled="Yes",ValidationCheck=FALSE,SRModel&lt;&gt;"Active/Passive"),IF(SRModel="Active/Active (Single DAG)",calcNumActiveDBsDC2,calcNumActiveDBs),"--")</f>
        <v>9</v>
      </c>
      <c r="D47" s="553" t="s">
        <v>25</v>
      </c>
      <c r="E47" s="384">
        <f>IF(AND(HAOption="Yes",SiteResilienceEnabled="Yes",ValidationCheck=FALSE,SRModel&lt;&gt;"Active/Passive"),MBXPerDB*IF(SRModel="Active/Active (Single DAG)",calcNumActiveDBsDC2,calcNumActiveDBs),"--")</f>
        <v>562.5</v>
      </c>
      <c r="F47" s="606">
        <f>IF(AND(HAOption="Yes",SiteResilienceEnabled="Yes",ValidationCheck=FALSE,SRModel&lt;&gt;"Active/Passive"),IF(SRModel="Active/Active (Single DAG)",RecNumDBsDC2,RecNumDBsDC1),"--")</f>
        <v>36</v>
      </c>
      <c r="G47" s="580" t="s">
        <v>25</v>
      </c>
      <c r="H47" s="580"/>
      <c r="I47" s="596"/>
    </row>
    <row r="48" spans="1:9" s="595" customFormat="1" ht="15" customHeight="1" x14ac:dyDescent="0.2">
      <c r="A48" s="596"/>
      <c r="B48" s="350" t="s">
        <v>609</v>
      </c>
      <c r="C48" s="382">
        <f>IF(AND(HAOption="Yes",SiteResilienceEnabled="Yes",ValidationCheck=FALSE,SRModel&lt;&gt;"Active/Passive"),IF(SRModel="Active/Active (Single DAG)",calcNumActiveDBsFFDC2,calcNumActiveDBsFF),"--")</f>
        <v>12</v>
      </c>
      <c r="D48" s="545">
        <f>IF(AND(HAOption="Yes",SiteResilienceEnabled="Yes",ValidationCheck=FALSE,SRModel&lt;&gt;"Active/Passive"),IF(SRModel="Active/Active (Single DAG)",calcNumActiveDBsPDCFFinSDCDC2,calcNumActiveDBsPDCFFinSDC),"--")</f>
        <v>0</v>
      </c>
      <c r="E48" s="384">
        <f>IF(AND(HAOption="Yes",SiteResilienceEnabled="Yes",ValidationCheck=FALSE,SRModel&lt;&gt;"Active/Passive"),IF(calcNumActiveDBsFF&lt;&gt;"--",MBXPerDB*IF(SRModel="Active/Active (Single DAG)",calcNumActiveDBsFFDC2,calcNumActiveDBsFF),"--"),"--")</f>
        <v>750</v>
      </c>
      <c r="F48" s="581">
        <f>IF(AND(HAOption="Yes",SiteResilienceEnabled="Yes",ValidationCheck=FALSE,SRModel&lt;&gt;"Active/Passive"),IF(calcNumActiveDBsFF="--","--",IF(SRModel="Active/Active (Single DAG)",IF(calcTotActiveDBsPDCFFinPDCDC2="--",RecNumDBsDC2,calcTotActiveDBsPDCFFinPDCDC2),IF(calcTotActiveDBsPDCFFinPDC="--",RecNumDBsDC1,calcTotActiveDBsPDCFFinPDC))),"--")</f>
        <v>36</v>
      </c>
      <c r="G48" s="581" t="str">
        <f>IF(AND(HAOption="Yes",SiteResilienceEnabled="Yes",ValidationCheck=FALSE,SRModel&lt;&gt;"Active/Passive"),IF(SRModel="Active/Active (Single DAG)",IF(calcTotActiveDBsPDCFFinSDCDC2="--","--",calcTotActiveDBsPDCFFinSDCDC2),IF(calcTotActiveDBsPDCFFinSDC="--","--",calcTotActiveDBsPDCFFinSDC)),"--")</f>
        <v>--</v>
      </c>
      <c r="H48" s="581"/>
      <c r="I48" s="596"/>
    </row>
    <row r="49" spans="1:14" s="595" customFormat="1" ht="15" customHeight="1" x14ac:dyDescent="0.25">
      <c r="A49" s="596"/>
      <c r="B49" s="594" t="s">
        <v>608</v>
      </c>
      <c r="C49" s="382">
        <f>IF(AND(HAOption="Yes",SiteResilienceEnabled="Yes",ValidationCheck=FALSE,SRModel&lt;&gt;"Active/Passive"),IF(SRModel="Active/Active (Single DAG)",calcNumActiveDBsSFDC2,calcNumActiveDBsSF),"--")</f>
        <v>15</v>
      </c>
      <c r="D49" s="544">
        <f>IF(AND(HAOption="Yes",SiteResilienceEnabled="Yes",ValidationCheck=FALSE,SRModel&lt;&gt;"Active/Passive"),IF(SRModel="Active/Active (Single DAG)",calcNumActiveDBsPDCSFinSDCDC2,calcNumActiveDBsPDCSFinSDC),"--")</f>
        <v>2</v>
      </c>
      <c r="E49" s="384">
        <f>IF(AND(HAOption="Yes",SiteResilienceEnabled="Yes",ValidationCheck=FALSE,SRModel&lt;&gt;"Active/Passive"),IF(calcNumActiveDBsSF&lt;&gt;"--",MBXPerDB*IF(SRModel="Active/Active (Single DAG)",calcNumActiveDBsSFDC2,calcNumActiveDBsSF),"--"),"--")</f>
        <v>937.5</v>
      </c>
      <c r="F49" s="581">
        <f>IF(AND(HAOption="Yes",SiteResilienceEnabled="Yes",ValidationCheck=FALSE,SRModel&lt;&gt;"Active/Passive"),IF(calcNumActiveDBsSF="--","--",IF(SRModel="Active/Active (Single DAG)",IF(calcTotActiveDBsPDCSFinPDCDC2="--",RecNumDBsDC2,calcTotActiveDBsPDCSFinPDCDC2),IF(calcTotActiveDBsPDCSFinPDC="--",RecNumDBsDC1,calcTotActiveDBsPDCSFinPDC))),"--")</f>
        <v>30</v>
      </c>
      <c r="G49" s="581">
        <f>IF(AND(HAOption="Yes",SiteResilienceEnabled="Yes",ValidationCheck=FALSE,SRModel&lt;&gt;"Active/Passive"),IF(SRModel="Active/Active (Single DAG)",IF(calcTotActiveDBsPDCSFinSDCDC2="--","--",calcTotActiveDBsPDCSFinSDCDC2),IF(calcTotActiveDBsPDCSFinSDC="--","--",calcTotActiveDBsPDCSFinSDC)),"--")</f>
        <v>6</v>
      </c>
      <c r="H49" s="581"/>
      <c r="I49" s="596"/>
    </row>
    <row r="50" spans="1:14" s="595" customFormat="1" ht="15" customHeight="1" x14ac:dyDescent="0.25">
      <c r="A50" s="596"/>
      <c r="B50" s="597"/>
      <c r="C50" s="382"/>
      <c r="D50" s="544"/>
      <c r="E50" s="384"/>
      <c r="F50" s="581"/>
      <c r="G50" s="581"/>
      <c r="H50" s="581"/>
      <c r="I50" s="596"/>
    </row>
    <row r="51" spans="1:14" s="595" customFormat="1" ht="30.75" thickBot="1" x14ac:dyDescent="0.25">
      <c r="A51" s="596"/>
      <c r="B51" s="292" t="str">
        <f>IF(AND(HAOption="Yes",SiteResilienceEnabled="Yes",SRModel="Active/Active (Multiple DAGs)"),"DAG-B Active Database Activation Configuration (DC2 Site Failure) / DAG","Active Database Activation Configuration (DC2 Site Failure) / DAG")</f>
        <v>Active Database Activation Configuration (DC2 Site Failure) / DAG</v>
      </c>
      <c r="C51" s="615" t="str">
        <f>IF(AND(SRModel="Active/Active (Single DAG)",calcSRAASDDRServers="No"),"/ Datacenter 1 Active Server","/ Datacenter 1 DR Server")</f>
        <v>/ Datacenter 1 Active Server</v>
      </c>
      <c r="D51" s="615" t="str">
        <f>IF(AND(SRModel="Active/Active (Single DAG)",calcSRAASDDRServers="No"),"Active Mailboxes / Server","Active Mailboxes / DR Server")</f>
        <v>Active Mailboxes / Server</v>
      </c>
      <c r="E51" s="617" t="s">
        <v>671</v>
      </c>
      <c r="F51" s="619" t="s">
        <v>675</v>
      </c>
      <c r="G51" s="592"/>
      <c r="H51" s="612"/>
      <c r="I51" s="596"/>
    </row>
    <row r="52" spans="1:14" s="595" customFormat="1" ht="15" customHeight="1" thickTop="1" x14ac:dyDescent="0.2">
      <c r="A52" s="596"/>
      <c r="B52" s="350" t="s">
        <v>696</v>
      </c>
      <c r="C52" s="387">
        <f>IF(AND(HAOption="Yes",SiteResilienceEnabled="Yes",ValidationCheck=FALSE,SRModel&lt;&gt;"Active/Passive"),calcNumActiveDBsSiteF,"--")</f>
        <v>18</v>
      </c>
      <c r="D52" s="384">
        <f>IF(AND(HAOption="Yes",SiteResilienceEnabled="Yes",ValidationCheck=FALSE,SRModel&lt;&gt;"Active/Passive"),IF(Table2421407995[[#This Row],[/ Datacenter 1 DR Server]]&lt;&gt;"--",MBXPerDB*calcNumActiveDBsSiteF,"--"),"--")</f>
        <v>1125</v>
      </c>
      <c r="E52" s="190">
        <f>IF(AND(HAOption="Yes",SiteResilienceEnabled="Yes",ValidationCheck=FALSE,SRModel&lt;&gt;"Active/Passive"),IF(Table2421407995[[#This Row],[/ Datacenter 1 DR Server]]&lt;&gt;"--",RecNumDBs,"--"),"--")</f>
        <v>72</v>
      </c>
      <c r="F52" s="384">
        <f>IF(AND(HAOption="Yes",SiteResilienceEnabled="Yes",ValidationCheck=FALSE,SRModel&lt;&gt;"Active/Passive"),IF(Table2421407995[[#This Row],[/ Datacenter 1 DR Server]]&lt;&gt;"--",TotMBXPerDAG,"--"),"--")</f>
        <v>4500</v>
      </c>
      <c r="G52" s="592"/>
      <c r="H52" s="612"/>
      <c r="I52" s="596"/>
    </row>
    <row r="53" spans="1:14" s="595" customFormat="1" ht="15" customHeight="1" x14ac:dyDescent="0.2">
      <c r="A53" s="596"/>
      <c r="B53" s="350" t="s">
        <v>629</v>
      </c>
      <c r="C53" s="382" t="str">
        <f>IF(AND(HAOption="Yes",SiteResilienceEnabled="Yes",ValidationCheck=FALSE,SRModel&lt;&gt;"Active/Passive"),calcNumActiveDBsSiteF1F,"--")</f>
        <v>--</v>
      </c>
      <c r="D53" s="384" t="str">
        <f>IF(AND(HAOption="Yes",SiteResilienceEnabled="Yes",ValidationCheck=FALSE,SRModel&lt;&gt;"Active/Passive"),IF(Table2421407995[[#This Row],[/ Datacenter 1 DR Server]]&lt;&gt;"--",MBXPerDB*calcNumActiveDBsSiteF1F,"--"),"--")</f>
        <v>--</v>
      </c>
      <c r="E53" s="190" t="str">
        <f>IF(AND(HAOption="Yes",SiteResilienceEnabled="Yes",ValidationCheck=FALSE,SRModel&lt;&gt;"Active/Passive"),IF(Table2421407995[[#This Row],[/ Datacenter 1 DR Server]]&lt;&gt;"--",RecNumDBs,"--"),"--")</f>
        <v>--</v>
      </c>
      <c r="F53" s="384" t="str">
        <f>IF(AND(HAOption="Yes",SiteResilienceEnabled="Yes",ValidationCheck=FALSE,SRModel&lt;&gt;"Active/Passive"),IF(Table2421407995[[#This Row],[/ Datacenter 1 DR Server]]&lt;&gt;"--",TotMBXPerDAG,"--"),"--")</f>
        <v>--</v>
      </c>
      <c r="G53" s="592"/>
      <c r="H53" s="612"/>
      <c r="I53" s="596"/>
    </row>
    <row r="54" spans="1:14" s="595" customFormat="1" ht="15" customHeight="1" x14ac:dyDescent="0.25">
      <c r="A54" s="596"/>
      <c r="B54" s="594" t="s">
        <v>630</v>
      </c>
      <c r="C54" s="382" t="str">
        <f>IF(AND(HAOption="Yes",SiteResilienceEnabled="Yes",ValidationCheck=FALSE,SRModel&lt;&gt;"Active/Passive"),calcNumActiveDBsSiteF2F,"--")</f>
        <v>--</v>
      </c>
      <c r="D54" s="384" t="str">
        <f>IF(AND(HAOption="Yes",SiteResilienceEnabled="Yes",ValidationCheck=FALSE,SRModel&lt;&gt;"Active/Passive"),IF(Table2421407995[[#This Row],[/ Datacenter 1 DR Server]]&lt;&gt;"--",MBXPerDB*calcNumActiveDBsSiteF2F,"--"),"--")</f>
        <v>--</v>
      </c>
      <c r="E54" s="190" t="str">
        <f>IF(AND(HAOption="Yes",SiteResilienceEnabled="Yes",ValidationCheck=FALSE,SRModel&lt;&gt;"Active/Passive"),IF(Table2421407995[[#This Row],[/ Datacenter 1 DR Server]]&lt;&gt;"--",RecNumDBs,"--"),"--")</f>
        <v>--</v>
      </c>
      <c r="F54" s="384" t="str">
        <f>IF(AND(HAOption="Yes",SiteResilienceEnabled="Yes",ValidationCheck=FALSE,SRModel&lt;&gt;"Active/Passive"),IF(Table2421407995[[#This Row],[/ Datacenter 1 DR Server]]&lt;&gt;"--",TotMBXPerDAG,"--"),"--")</f>
        <v>--</v>
      </c>
      <c r="G54" s="592"/>
      <c r="H54" s="612"/>
      <c r="I54" s="596"/>
    </row>
    <row r="55" spans="1:14" ht="15" customHeight="1" thickBot="1" x14ac:dyDescent="0.25">
      <c r="A55" s="593"/>
      <c r="B55" s="6"/>
      <c r="C55" s="6"/>
      <c r="D55" s="6"/>
      <c r="E55" s="6"/>
      <c r="F55" s="6"/>
      <c r="G55" s="6"/>
      <c r="H55" s="6"/>
      <c r="I55" s="7"/>
      <c r="J55" s="271"/>
      <c r="K55" s="1"/>
      <c r="L55" s="1"/>
      <c r="M55" s="1"/>
      <c r="N55" s="1"/>
    </row>
    <row r="60" spans="1:14" ht="15" customHeight="1" x14ac:dyDescent="0.2">
      <c r="B60" s="610"/>
    </row>
  </sheetData>
  <dataConsolidate/>
  <mergeCells count="9">
    <mergeCell ref="F41:H42"/>
    <mergeCell ref="F9:H11"/>
    <mergeCell ref="F26:H27"/>
    <mergeCell ref="B1:I1"/>
    <mergeCell ref="B4:I4"/>
    <mergeCell ref="B7:I7"/>
    <mergeCell ref="B24:I24"/>
    <mergeCell ref="B2:I2"/>
    <mergeCell ref="F19:H21"/>
  </mergeCells>
  <conditionalFormatting sqref="F9:H11">
    <cfRule type="expression" dxfId="180" priority="4">
      <formula>IF(OR(AND(HAOption="Yes",SiteResilienceEnabled="No",ValidationCheck=FALSE),AND(HAOption="Yes",SiteResilienceEnabled="Yes",SRModel="Active/Passive",ValidationCheck=FALSE)),TRUE,FALSE)</formula>
    </cfRule>
  </conditionalFormatting>
  <conditionalFormatting sqref="F26:H27">
    <cfRule type="expression" dxfId="179" priority="3">
      <formula>IF(AND(HAOption="Yes",ValidationCheck=FALSE,SiteResilienceEnabled="Yes",SRModel&lt;&gt;"Active/Passive"),TRUE,FALSE)</formula>
    </cfRule>
  </conditionalFormatting>
  <conditionalFormatting sqref="F19:H21">
    <cfRule type="expression" dxfId="178"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1:H42">
    <cfRule type="expression" dxfId="177"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ignoredErrors>
    <ignoredError sqref="F15:F17 E52:E54 F52:F54 F47:F49 F37:F39 F32:F34 E37:E39" calculatedColumn="1"/>
  </ignoredErrors>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R244"/>
  <sheetViews>
    <sheetView showGridLines="0" showRowColHeaders="0" workbookViewId="0">
      <selection activeCell="G92" sqref="G92"/>
    </sheetView>
  </sheetViews>
  <sheetFormatPr defaultColWidth="9.140625" defaultRowHeight="12.75" x14ac:dyDescent="0.2"/>
  <cols>
    <col min="1" max="2" width="3.42578125" style="1086" customWidth="1"/>
    <col min="3" max="3" width="13.7109375" style="1086" customWidth="1"/>
    <col min="4" max="4" width="12.7109375" style="1086" customWidth="1"/>
    <col min="5" max="39" width="4.42578125" style="1086" customWidth="1"/>
    <col min="40" max="16384" width="9.140625" style="1086"/>
  </cols>
  <sheetData>
    <row r="1" spans="1:40" ht="15.75" thickBot="1" x14ac:dyDescent="0.3">
      <c r="B1" s="1086" t="s">
        <v>748</v>
      </c>
      <c r="C1" s="1088"/>
    </row>
    <row r="2" spans="1:40" ht="12.75" customHeight="1" x14ac:dyDescent="0.2">
      <c r="B2" s="894"/>
      <c r="C2" s="886"/>
      <c r="D2" s="886"/>
      <c r="E2" s="886"/>
      <c r="F2" s="886"/>
      <c r="G2" s="886"/>
      <c r="H2" s="886"/>
      <c r="I2" s="886"/>
      <c r="J2" s="886"/>
      <c r="K2" s="886"/>
      <c r="L2" s="886"/>
      <c r="M2" s="886"/>
      <c r="N2" s="895"/>
      <c r="O2" s="895"/>
      <c r="P2" s="895"/>
      <c r="Q2" s="886"/>
      <c r="R2" s="886"/>
      <c r="S2" s="886"/>
      <c r="T2" s="886"/>
      <c r="U2" s="886"/>
      <c r="V2" s="886"/>
      <c r="W2" s="886"/>
      <c r="X2" s="886"/>
      <c r="Y2" s="886"/>
      <c r="Z2" s="886"/>
      <c r="AA2" s="886"/>
      <c r="AB2" s="886"/>
      <c r="AC2" s="886"/>
      <c r="AD2" s="886"/>
      <c r="AE2" s="886"/>
      <c r="AF2" s="886"/>
      <c r="AG2" s="886"/>
      <c r="AH2" s="886"/>
      <c r="AI2" s="886"/>
      <c r="AJ2" s="886"/>
      <c r="AK2" s="886"/>
      <c r="AL2" s="886"/>
      <c r="AM2" s="896"/>
    </row>
    <row r="3" spans="1:40" ht="12.75" customHeight="1" x14ac:dyDescent="0.2">
      <c r="A3" s="1087"/>
      <c r="J3" s="1179" t="s">
        <v>825</v>
      </c>
      <c r="K3" s="1179"/>
      <c r="N3" s="708"/>
      <c r="O3" s="708"/>
      <c r="P3" s="708"/>
      <c r="AN3" s="271"/>
    </row>
    <row r="4" spans="1:40" x14ac:dyDescent="0.2">
      <c r="A4" s="1087"/>
      <c r="J4" s="1179"/>
      <c r="K4" s="1179"/>
      <c r="N4" s="708"/>
      <c r="O4" s="708"/>
      <c r="P4" s="708"/>
      <c r="AN4" s="271"/>
    </row>
    <row r="5" spans="1:40" x14ac:dyDescent="0.2">
      <c r="A5" s="1087"/>
      <c r="J5" s="1179"/>
      <c r="K5" s="1179"/>
      <c r="N5" s="708"/>
      <c r="O5" s="708"/>
      <c r="P5" s="708"/>
      <c r="AN5" s="271"/>
    </row>
    <row r="6" spans="1:40" x14ac:dyDescent="0.2">
      <c r="A6" s="1087"/>
      <c r="J6" s="1179"/>
      <c r="K6" s="1179"/>
      <c r="AN6" s="271"/>
    </row>
    <row r="7" spans="1:40" x14ac:dyDescent="0.2">
      <c r="A7" s="1087"/>
      <c r="AN7" s="271"/>
    </row>
    <row r="8" spans="1:40" x14ac:dyDescent="0.2">
      <c r="A8" s="1087"/>
      <c r="C8" s="1180" t="s">
        <v>1914</v>
      </c>
      <c r="D8" s="1180"/>
      <c r="E8" s="1180"/>
      <c r="F8" s="1180"/>
      <c r="G8" s="1180"/>
      <c r="H8" s="1180"/>
      <c r="I8" s="1180"/>
      <c r="J8" s="1180"/>
      <c r="K8" s="1180"/>
      <c r="L8" s="1180"/>
      <c r="M8" s="1180"/>
      <c r="N8" s="1180"/>
      <c r="O8" s="1180"/>
      <c r="P8" s="1180"/>
      <c r="Q8" s="1180"/>
      <c r="R8" s="1180"/>
      <c r="S8" s="1180"/>
      <c r="T8" s="1180"/>
      <c r="U8" s="1180"/>
      <c r="V8" s="1180"/>
      <c r="W8" s="1180"/>
      <c r="X8" s="1180"/>
      <c r="Y8" s="1180"/>
      <c r="Z8" s="1180"/>
      <c r="AA8" s="1180"/>
      <c r="AB8" s="1180"/>
      <c r="AC8" s="1180"/>
      <c r="AD8" s="1180"/>
      <c r="AE8" s="1180"/>
      <c r="AF8" s="1180"/>
      <c r="AG8" s="1180"/>
      <c r="AH8" s="1180"/>
      <c r="AI8" s="1180"/>
      <c r="AN8" s="271"/>
    </row>
    <row r="9" spans="1:40" x14ac:dyDescent="0.2">
      <c r="A9" s="1087"/>
      <c r="C9" s="1086" t="s">
        <v>1835</v>
      </c>
      <c r="AN9" s="271"/>
    </row>
    <row r="10" spans="1:40" x14ac:dyDescent="0.2">
      <c r="A10" s="1087"/>
      <c r="AN10" s="271"/>
    </row>
    <row r="11" spans="1:40" x14ac:dyDescent="0.2">
      <c r="A11" s="1087"/>
      <c r="AN11" s="271"/>
    </row>
    <row r="12" spans="1:40" x14ac:dyDescent="0.2">
      <c r="A12" s="1087"/>
      <c r="AN12" s="271"/>
    </row>
    <row r="13" spans="1:40" x14ac:dyDescent="0.2">
      <c r="A13" s="1087"/>
      <c r="AN13" s="271"/>
    </row>
    <row r="14" spans="1:40" x14ac:dyDescent="0.2">
      <c r="A14" s="1087"/>
      <c r="AN14" s="271"/>
    </row>
    <row r="15" spans="1:40" x14ac:dyDescent="0.2">
      <c r="A15" s="1087"/>
      <c r="D15" s="708" t="s">
        <v>1319</v>
      </c>
      <c r="AN15" s="271"/>
    </row>
    <row r="16" spans="1:40" x14ac:dyDescent="0.2">
      <c r="A16" s="1087"/>
      <c r="D16" s="708" t="str">
        <f ca="1">CONCATENATE(72,"/",SUM(E19:AK19))</f>
        <v>72/72</v>
      </c>
      <c r="AN16" s="271"/>
    </row>
    <row r="17" spans="1:44" x14ac:dyDescent="0.2">
      <c r="A17" s="1087"/>
      <c r="AN17" s="271"/>
    </row>
    <row r="18" spans="1:44" x14ac:dyDescent="0.2">
      <c r="A18" s="1087"/>
      <c r="D18" s="887" t="s">
        <v>1320</v>
      </c>
      <c r="E18" s="720">
        <f ca="1">COUNTIF(OFFSET(E21,0,0):OFFSET(E21,1600,0),"&lt;&gt;")</f>
        <v>36</v>
      </c>
      <c r="F18" s="720">
        <f ca="1">COUNTIF(OFFSET(F21,0,0):OFFSET(F21,1600,0),"&lt;&gt;")</f>
        <v>36</v>
      </c>
      <c r="G18" s="720">
        <f ca="1">COUNTIF(OFFSET(G21,0,0):OFFSET(G21,1600,0),"&lt;&gt;")</f>
        <v>36</v>
      </c>
      <c r="H18" s="720">
        <f ca="1">COUNTIF(OFFSET(H21,0,0):OFFSET(H21,1600,0),"&lt;&gt;")</f>
        <v>36</v>
      </c>
      <c r="V18" s="720">
        <f ca="1">COUNTIF(OFFSET(V21,0,0):OFFSET(V21,1600,0),"&lt;&gt;")</f>
        <v>36</v>
      </c>
      <c r="W18" s="720">
        <f ca="1">COUNTIF(OFFSET(W21,0,0):OFFSET(W21,1600,0),"&lt;&gt;")</f>
        <v>36</v>
      </c>
      <c r="X18" s="720">
        <f ca="1">COUNTIF(OFFSET(X21,0,0):OFFSET(X21,1600,0),"&lt;&gt;")</f>
        <v>36</v>
      </c>
      <c r="Y18" s="720">
        <f ca="1">COUNTIF(OFFSET(Y21,0,0):OFFSET(Y21,1600,0),"&lt;&gt;")</f>
        <v>36</v>
      </c>
      <c r="AN18" s="271"/>
    </row>
    <row r="19" spans="1:44" s="720" customFormat="1" x14ac:dyDescent="0.2">
      <c r="A19" s="698"/>
      <c r="C19" s="1086"/>
      <c r="D19" s="887" t="s">
        <v>1321</v>
      </c>
      <c r="E19" s="720">
        <f ca="1">COUNTIF(OFFSET(E21,0,-1):OFFSET(E21,1600,-1),"=SRV-nn-01")</f>
        <v>9</v>
      </c>
      <c r="F19" s="720">
        <f ca="1">COUNTIF(OFFSET(E21,0,-1):OFFSET(E21,1600,-1),"=SRV-nn-02")</f>
        <v>9</v>
      </c>
      <c r="G19" s="720">
        <f ca="1">COUNTIF(OFFSET(E21,0,-1):OFFSET(E21,1600,-1),"=SRV-nn-03")</f>
        <v>9</v>
      </c>
      <c r="H19" s="720">
        <f ca="1">COUNTIF(OFFSET(E21,0,-1):OFFSET(E21,1600,-1),"=SRV-nn-04")</f>
        <v>9</v>
      </c>
      <c r="I19" s="1086"/>
      <c r="J19" s="1086"/>
      <c r="K19" s="1086"/>
      <c r="L19" s="1086"/>
      <c r="M19" s="1086"/>
      <c r="N19" s="1086"/>
      <c r="O19" s="1086"/>
      <c r="P19" s="1086"/>
      <c r="Q19" s="1086"/>
      <c r="R19" s="1086"/>
      <c r="S19" s="1086"/>
      <c r="T19" s="1086"/>
      <c r="U19" s="1086"/>
      <c r="V19" s="720">
        <f ca="1">COUNTIF(OFFSET(E21,0,-1):OFFSET(E21,1600,-1),"=SRV-nn-05")</f>
        <v>9</v>
      </c>
      <c r="W19" s="720">
        <f ca="1">COUNTIF(OFFSET(E21,0,-1):OFFSET(E21,1600,-1),"=SRV-nn-06")</f>
        <v>9</v>
      </c>
      <c r="X19" s="720">
        <f ca="1">COUNTIF(OFFSET(E21,0,-1):OFFSET(E21,1600,-1),"=SRV-nn-07")</f>
        <v>9</v>
      </c>
      <c r="Y19" s="720">
        <f ca="1">COUNTIF(OFFSET(E21,0,-1):OFFSET(E21,1600,-1),"=SRV-nn-08")</f>
        <v>9</v>
      </c>
      <c r="Z19" s="1086"/>
      <c r="AA19" s="1086"/>
      <c r="AB19" s="1086"/>
      <c r="AC19" s="1086"/>
      <c r="AD19" s="1086"/>
      <c r="AE19" s="1086"/>
      <c r="AF19" s="1086"/>
      <c r="AG19" s="1086"/>
      <c r="AH19" s="1086"/>
      <c r="AI19" s="1086"/>
      <c r="AJ19" s="1086"/>
      <c r="AK19" s="1086"/>
      <c r="AL19" s="1086"/>
      <c r="AM19" s="1086"/>
      <c r="AN19" s="893"/>
    </row>
    <row r="20" spans="1:44" ht="80.099999999999994" customHeight="1" thickBot="1" x14ac:dyDescent="0.25">
      <c r="A20" s="1087"/>
      <c r="B20" s="907"/>
      <c r="C20" s="1005" t="s">
        <v>1436</v>
      </c>
      <c r="D20" s="892" t="s">
        <v>1322</v>
      </c>
      <c r="E20" s="890" t="s">
        <v>1869</v>
      </c>
      <c r="F20" s="890" t="s">
        <v>1870</v>
      </c>
      <c r="G20" s="890" t="s">
        <v>1871</v>
      </c>
      <c r="H20" s="890" t="s">
        <v>1872</v>
      </c>
      <c r="V20" s="890" t="s">
        <v>1948</v>
      </c>
      <c r="W20" s="890" t="s">
        <v>1949</v>
      </c>
      <c r="X20" s="890" t="s">
        <v>1950</v>
      </c>
      <c r="Y20" s="890" t="s">
        <v>1951</v>
      </c>
      <c r="AN20" s="271"/>
    </row>
    <row r="21" spans="1:44" ht="12.75" customHeight="1" x14ac:dyDescent="0.2">
      <c r="A21" s="1087"/>
      <c r="B21" s="1177" t="s">
        <v>1858</v>
      </c>
      <c r="C21" s="888" t="s">
        <v>1874</v>
      </c>
      <c r="D21" s="889" t="str">
        <f>IF(OR(DAGQuroumStatus="DAG Quorum Failed",ISNA(MATCH(MIN(E21:AK21),E21:AK21,0))),"FAILED", IF(OR(MATCH(MIN(E21:AK21),E21:AK21,0)&lt;17,AND(MIN(E21:AK21)&lt;17,IsSecSiteActive())),GetServer(MATCH(MIN(E21:AK21),E21:AK21,0)),"FAILED"))</f>
        <v>SRV-nn-01</v>
      </c>
      <c r="E21" s="891">
        <v>1</v>
      </c>
      <c r="F21" s="891">
        <v>2</v>
      </c>
      <c r="G21" s="891"/>
      <c r="H21" s="891"/>
      <c r="I21" s="886"/>
      <c r="J21" s="886"/>
      <c r="K21" s="886"/>
      <c r="L21" s="886"/>
      <c r="M21" s="886"/>
      <c r="N21" s="886"/>
      <c r="O21" s="886"/>
      <c r="P21" s="886"/>
      <c r="Q21" s="886"/>
      <c r="R21" s="886"/>
      <c r="S21" s="886"/>
      <c r="T21" s="886"/>
      <c r="U21" s="886"/>
      <c r="V21" s="891">
        <v>3</v>
      </c>
      <c r="W21" s="891">
        <v>4</v>
      </c>
      <c r="X21" s="891"/>
      <c r="Y21" s="891"/>
      <c r="Z21" s="886"/>
      <c r="AA21" s="886"/>
      <c r="AB21" s="886"/>
      <c r="AC21" s="886"/>
      <c r="AD21" s="886"/>
      <c r="AE21" s="886"/>
      <c r="AF21" s="886"/>
      <c r="AG21" s="886"/>
      <c r="AH21" s="886"/>
      <c r="AI21" s="886"/>
      <c r="AJ21" s="886"/>
      <c r="AK21" s="886"/>
      <c r="AL21" s="886"/>
      <c r="AM21" s="886"/>
      <c r="AN21" s="271"/>
      <c r="AR21" s="797"/>
    </row>
    <row r="22" spans="1:44" x14ac:dyDescent="0.2">
      <c r="A22" s="1087"/>
      <c r="B22" s="1178"/>
      <c r="C22" s="888" t="s">
        <v>1875</v>
      </c>
      <c r="D22" s="889" t="str">
        <f>IF(OR(DAGQuroumStatus="DAG Quorum Failed",ISNA(MATCH(MIN(E22:AK22),E22:AK22,0))),"FAILED", IF(OR(MATCH(MIN(E22:AK22),E22:AK22,0)&lt;17,AND(MIN(E22:AK22)&lt;17,IsSecSiteActive())),GetServer(MATCH(MIN(E22:AK22),E22:AK22,0)),"FAILED"))</f>
        <v>SRV-nn-02</v>
      </c>
      <c r="E22" s="891"/>
      <c r="F22" s="891">
        <v>1</v>
      </c>
      <c r="G22" s="891">
        <v>2</v>
      </c>
      <c r="H22" s="891"/>
      <c r="V22" s="891"/>
      <c r="W22" s="891">
        <v>3</v>
      </c>
      <c r="X22" s="891">
        <v>4</v>
      </c>
      <c r="Y22" s="891"/>
      <c r="AN22" s="271"/>
    </row>
    <row r="23" spans="1:44" ht="12.75" customHeight="1" x14ac:dyDescent="0.2">
      <c r="A23" s="1087"/>
      <c r="B23" s="1178"/>
      <c r="C23" s="888" t="s">
        <v>1876</v>
      </c>
      <c r="D23" s="889" t="str">
        <f>IF(OR(DAGQuroumStatus="DAG Quorum Failed",ISNA(MATCH(MIN(E23:AK23),E23:AK23,0))),"FAILED", IF(OR(MATCH(MIN(E23:AK23),E23:AK23,0)&lt;17,AND(MIN(E23:AK23)&lt;17,IsSecSiteActive())),GetServer(MATCH(MIN(E23:AK23),E23:AK23,0)),"FAILED"))</f>
        <v>SRV-nn-03</v>
      </c>
      <c r="E23" s="891"/>
      <c r="F23" s="891"/>
      <c r="G23" s="891">
        <v>1</v>
      </c>
      <c r="H23" s="891">
        <v>2</v>
      </c>
      <c r="V23" s="891"/>
      <c r="W23" s="891"/>
      <c r="X23" s="891">
        <v>3</v>
      </c>
      <c r="Y23" s="891">
        <v>4</v>
      </c>
      <c r="AN23" s="271"/>
    </row>
    <row r="24" spans="1:44" x14ac:dyDescent="0.2">
      <c r="A24" s="1087"/>
      <c r="B24" s="1178"/>
      <c r="C24" s="888" t="s">
        <v>1877</v>
      </c>
      <c r="D24" s="889" t="str">
        <f>IF(OR(DAGQuroumStatus="DAG Quorum Failed",ISNA(MATCH(MIN(E24:AK24),E24:AK24,0))),"FAILED", IF(OR(MATCH(MIN(E24:AK24),E24:AK24,0)&lt;17,AND(MIN(E24:AK24)&lt;17,IsSecSiteActive())),GetServer(MATCH(MIN(E24:AK24),E24:AK24,0)),"FAILED"))</f>
        <v>SRV-nn-04</v>
      </c>
      <c r="E24" s="891">
        <v>2</v>
      </c>
      <c r="F24" s="891"/>
      <c r="G24" s="891"/>
      <c r="H24" s="891">
        <v>1</v>
      </c>
      <c r="V24" s="891">
        <v>4</v>
      </c>
      <c r="W24" s="891"/>
      <c r="X24" s="891"/>
      <c r="Y24" s="891">
        <v>3</v>
      </c>
      <c r="AN24" s="271"/>
    </row>
    <row r="25" spans="1:44" ht="12.75" customHeight="1" x14ac:dyDescent="0.2">
      <c r="A25" s="1087"/>
      <c r="B25" s="1178"/>
      <c r="C25" s="888" t="s">
        <v>1878</v>
      </c>
      <c r="D25" s="889" t="str">
        <f>IF(OR(DAGQuroumStatus="DAG Quorum Failed",ISNA(MATCH(MIN(E25:AK25),E25:AK25,0))),"FAILED", IF(OR(MATCH(MIN(E25:AK25),E25:AK25,0)&lt;17,AND(MIN(E25:AK25)&lt;17,IsSecSiteActive())),GetServer(MATCH(MIN(E25:AK25),E25:AK25,0)),"FAILED"))</f>
        <v>SRV-nn-05</v>
      </c>
      <c r="E25" s="891">
        <v>3</v>
      </c>
      <c r="F25" s="891"/>
      <c r="G25" s="891">
        <v>4</v>
      </c>
      <c r="H25" s="891"/>
      <c r="V25" s="891">
        <v>1</v>
      </c>
      <c r="W25" s="891"/>
      <c r="X25" s="891">
        <v>2</v>
      </c>
      <c r="Y25" s="891"/>
      <c r="AN25" s="271"/>
    </row>
    <row r="26" spans="1:44" ht="12.75" customHeight="1" x14ac:dyDescent="0.2">
      <c r="A26" s="1087"/>
      <c r="B26" s="1178"/>
      <c r="C26" s="888" t="s">
        <v>1879</v>
      </c>
      <c r="D26" s="889" t="str">
        <f>IF(OR(DAGQuroumStatus="DAG Quorum Failed",ISNA(MATCH(MIN(E26:AK26),E26:AK26,0))),"FAILED", IF(OR(MATCH(MIN(E26:AK26),E26:AK26,0)&lt;17,AND(MIN(E26:AK26)&lt;17,IsSecSiteActive())),GetServer(MATCH(MIN(E26:AK26),E26:AK26,0)),"FAILED"))</f>
        <v>SRV-nn-06</v>
      </c>
      <c r="E26" s="891"/>
      <c r="F26" s="891">
        <v>3</v>
      </c>
      <c r="G26" s="891"/>
      <c r="H26" s="891">
        <v>4</v>
      </c>
      <c r="V26" s="891"/>
      <c r="W26" s="891">
        <v>1</v>
      </c>
      <c r="X26" s="891"/>
      <c r="Y26" s="891">
        <v>2</v>
      </c>
      <c r="AN26" s="271"/>
    </row>
    <row r="27" spans="1:44" ht="12.75" customHeight="1" x14ac:dyDescent="0.2">
      <c r="A27" s="1087"/>
      <c r="B27" s="1178"/>
      <c r="C27" s="888" t="s">
        <v>1880</v>
      </c>
      <c r="D27" s="889" t="str">
        <f>IF(OR(DAGQuroumStatus="DAG Quorum Failed",ISNA(MATCH(MIN(E27:AK27),E27:AK27,0))),"FAILED", IF(OR(MATCH(MIN(E27:AK27),E27:AK27,0)&lt;17,AND(MIN(E27:AK27)&lt;17,IsSecSiteActive())),GetServer(MATCH(MIN(E27:AK27),E27:AK27,0)),"FAILED"))</f>
        <v>SRV-nn-07</v>
      </c>
      <c r="E27" s="891">
        <v>4</v>
      </c>
      <c r="F27" s="891"/>
      <c r="G27" s="891">
        <v>3</v>
      </c>
      <c r="H27" s="891"/>
      <c r="V27" s="891">
        <v>2</v>
      </c>
      <c r="W27" s="891"/>
      <c r="X27" s="891">
        <v>1</v>
      </c>
      <c r="Y27" s="891"/>
      <c r="AN27" s="271"/>
    </row>
    <row r="28" spans="1:44" ht="12.75" customHeight="1" thickBot="1" x14ac:dyDescent="0.25">
      <c r="A28" s="1087"/>
      <c r="B28" s="1178"/>
      <c r="C28" s="888" t="s">
        <v>1881</v>
      </c>
      <c r="D28" s="889" t="str">
        <f>IF(OR(DAGQuroumStatus="DAG Quorum Failed",ISNA(MATCH(MIN(E28:AK28),E28:AK28,0))),"FAILED", IF(OR(MATCH(MIN(E28:AK28),E28:AK28,0)&lt;17,AND(MIN(E28:AK28)&lt;17,IsSecSiteActive())),GetServer(MATCH(MIN(E28:AK28),E28:AK28,0)),"FAILED"))</f>
        <v>SRV-nn-08</v>
      </c>
      <c r="E28" s="891"/>
      <c r="F28" s="891">
        <v>4</v>
      </c>
      <c r="G28" s="891"/>
      <c r="H28" s="891">
        <v>3</v>
      </c>
      <c r="V28" s="891"/>
      <c r="W28" s="891">
        <v>2</v>
      </c>
      <c r="X28" s="891"/>
      <c r="Y28" s="891">
        <v>1</v>
      </c>
      <c r="AN28" s="271"/>
    </row>
    <row r="29" spans="1:44" ht="12.75" customHeight="1" x14ac:dyDescent="0.2">
      <c r="A29" s="1087"/>
      <c r="B29" s="1177" t="s">
        <v>1859</v>
      </c>
      <c r="C29" s="888" t="s">
        <v>1882</v>
      </c>
      <c r="D29" s="889" t="str">
        <f>IF(OR(DAGQuroumStatus="DAG Quorum Failed",ISNA(MATCH(MIN(E29:AK29),E29:AK29,0))),"FAILED", IF(OR(MATCH(MIN(E29:AK29),E29:AK29,0)&lt;17,AND(MIN(E29:AK29)&lt;17,IsSecSiteActive())),GetServer(MATCH(MIN(E29:AK29),E29:AK29,0)),"FAILED"))</f>
        <v>SRV-nn-01</v>
      </c>
      <c r="E29" s="891">
        <v>1</v>
      </c>
      <c r="F29" s="891"/>
      <c r="G29" s="891"/>
      <c r="H29" s="891">
        <v>2</v>
      </c>
      <c r="I29" s="886"/>
      <c r="J29" s="886"/>
      <c r="K29" s="886"/>
      <c r="L29" s="886"/>
      <c r="M29" s="886"/>
      <c r="N29" s="886"/>
      <c r="O29" s="886"/>
      <c r="P29" s="886"/>
      <c r="Q29" s="886"/>
      <c r="R29" s="886"/>
      <c r="S29" s="886"/>
      <c r="T29" s="886"/>
      <c r="U29" s="886"/>
      <c r="V29" s="891">
        <v>3</v>
      </c>
      <c r="W29" s="891"/>
      <c r="X29" s="891"/>
      <c r="Y29" s="891">
        <v>4</v>
      </c>
      <c r="Z29" s="886"/>
      <c r="AA29" s="886"/>
      <c r="AB29" s="886"/>
      <c r="AC29" s="886"/>
      <c r="AD29" s="886"/>
      <c r="AE29" s="886"/>
      <c r="AF29" s="886"/>
      <c r="AG29" s="886"/>
      <c r="AH29" s="886"/>
      <c r="AI29" s="886"/>
      <c r="AJ29" s="886"/>
      <c r="AK29" s="886"/>
      <c r="AL29" s="886"/>
      <c r="AM29" s="886"/>
      <c r="AN29" s="271"/>
    </row>
    <row r="30" spans="1:44" x14ac:dyDescent="0.2">
      <c r="A30" s="1087"/>
      <c r="B30" s="1178"/>
      <c r="C30" s="888" t="s">
        <v>1883</v>
      </c>
      <c r="D30" s="889" t="str">
        <f>IF(OR(DAGQuroumStatus="DAG Quorum Failed",ISNA(MATCH(MIN(E30:AK30),E30:AK30,0))),"FAILED", IF(OR(MATCH(MIN(E30:AK30),E30:AK30,0)&lt;17,AND(MIN(E30:AK30)&lt;17,IsSecSiteActive())),GetServer(MATCH(MIN(E30:AK30),E30:AK30,0)),"FAILED"))</f>
        <v>SRV-nn-02</v>
      </c>
      <c r="E30" s="891">
        <v>2</v>
      </c>
      <c r="F30" s="891">
        <v>1</v>
      </c>
      <c r="G30" s="891"/>
      <c r="H30" s="891"/>
      <c r="V30" s="891">
        <v>4</v>
      </c>
      <c r="W30" s="891">
        <v>3</v>
      </c>
      <c r="X30" s="891"/>
      <c r="Y30" s="891"/>
      <c r="AN30" s="271"/>
    </row>
    <row r="31" spans="1:44" ht="12.75" customHeight="1" x14ac:dyDescent="0.2">
      <c r="A31" s="1087"/>
      <c r="B31" s="1178"/>
      <c r="C31" s="888" t="s">
        <v>1884</v>
      </c>
      <c r="D31" s="889" t="str">
        <f>IF(OR(DAGQuroumStatus="DAG Quorum Failed",ISNA(MATCH(MIN(E31:AK31),E31:AK31,0))),"FAILED", IF(OR(MATCH(MIN(E31:AK31),E31:AK31,0)&lt;17,AND(MIN(E31:AK31)&lt;17,IsSecSiteActive())),GetServer(MATCH(MIN(E31:AK31),E31:AK31,0)),"FAILED"))</f>
        <v>SRV-nn-03</v>
      </c>
      <c r="E31" s="891"/>
      <c r="F31" s="891">
        <v>2</v>
      </c>
      <c r="G31" s="891">
        <v>1</v>
      </c>
      <c r="H31" s="891"/>
      <c r="V31" s="891"/>
      <c r="W31" s="891">
        <v>4</v>
      </c>
      <c r="X31" s="891">
        <v>3</v>
      </c>
      <c r="Y31" s="891"/>
      <c r="AN31" s="271"/>
    </row>
    <row r="32" spans="1:44" ht="12.75" customHeight="1" x14ac:dyDescent="0.2">
      <c r="A32" s="1087"/>
      <c r="B32" s="1178"/>
      <c r="C32" s="888" t="s">
        <v>1885</v>
      </c>
      <c r="D32" s="889" t="str">
        <f>IF(OR(DAGQuroumStatus="DAG Quorum Failed",ISNA(MATCH(MIN(E32:AK32),E32:AK32,0))),"FAILED", IF(OR(MATCH(MIN(E32:AK32),E32:AK32,0)&lt;17,AND(MIN(E32:AK32)&lt;17,IsSecSiteActive())),GetServer(MATCH(MIN(E32:AK32),E32:AK32,0)),"FAILED"))</f>
        <v>SRV-nn-04</v>
      </c>
      <c r="E32" s="891"/>
      <c r="F32" s="891"/>
      <c r="G32" s="891">
        <v>2</v>
      </c>
      <c r="H32" s="891">
        <v>1</v>
      </c>
      <c r="V32" s="891"/>
      <c r="W32" s="891"/>
      <c r="X32" s="891">
        <v>4</v>
      </c>
      <c r="Y32" s="891">
        <v>3</v>
      </c>
      <c r="AN32" s="271"/>
    </row>
    <row r="33" spans="1:40" ht="12.75" customHeight="1" x14ac:dyDescent="0.2">
      <c r="A33" s="1087"/>
      <c r="B33" s="1178"/>
      <c r="C33" s="888" t="s">
        <v>1886</v>
      </c>
      <c r="D33" s="889" t="str">
        <f>IF(OR(DAGQuroumStatus="DAG Quorum Failed",ISNA(MATCH(MIN(E33:AK33),E33:AK33,0))),"FAILED", IF(OR(MATCH(MIN(E33:AK33),E33:AK33,0)&lt;17,AND(MIN(E33:AK33)&lt;17,IsSecSiteActive())),GetServer(MATCH(MIN(E33:AK33),E33:AK33,0)),"FAILED"))</f>
        <v>SRV-nn-05</v>
      </c>
      <c r="E33" s="891">
        <v>3</v>
      </c>
      <c r="F33" s="891">
        <v>4</v>
      </c>
      <c r="G33" s="891"/>
      <c r="H33" s="891"/>
      <c r="V33" s="891">
        <v>1</v>
      </c>
      <c r="W33" s="891">
        <v>2</v>
      </c>
      <c r="X33" s="891"/>
      <c r="Y33" s="891"/>
      <c r="AN33" s="271"/>
    </row>
    <row r="34" spans="1:40" ht="12.75" customHeight="1" x14ac:dyDescent="0.2">
      <c r="A34" s="1087"/>
      <c r="B34" s="1178"/>
      <c r="C34" s="888" t="s">
        <v>1887</v>
      </c>
      <c r="D34" s="889" t="str">
        <f>IF(OR(DAGQuroumStatus="DAG Quorum Failed",ISNA(MATCH(MIN(E34:AK34),E34:AK34,0))),"FAILED", IF(OR(MATCH(MIN(E34:AK34),E34:AK34,0)&lt;17,AND(MIN(E34:AK34)&lt;17,IsSecSiteActive())),GetServer(MATCH(MIN(E34:AK34),E34:AK34,0)),"FAILED"))</f>
        <v>SRV-nn-06</v>
      </c>
      <c r="E34" s="891"/>
      <c r="F34" s="891">
        <v>3</v>
      </c>
      <c r="G34" s="891">
        <v>4</v>
      </c>
      <c r="H34" s="891"/>
      <c r="V34" s="891"/>
      <c r="W34" s="891">
        <v>1</v>
      </c>
      <c r="X34" s="891">
        <v>2</v>
      </c>
      <c r="Y34" s="891"/>
      <c r="AN34" s="271"/>
    </row>
    <row r="35" spans="1:40" ht="12.75" customHeight="1" x14ac:dyDescent="0.2">
      <c r="A35" s="1087"/>
      <c r="B35" s="1178"/>
      <c r="C35" s="888" t="s">
        <v>1888</v>
      </c>
      <c r="D35" s="889" t="str">
        <f>IF(OR(DAGQuroumStatus="DAG Quorum Failed",ISNA(MATCH(MIN(E35:AK35),E35:AK35,0))),"FAILED", IF(OR(MATCH(MIN(E35:AK35),E35:AK35,0)&lt;17,AND(MIN(E35:AK35)&lt;17,IsSecSiteActive())),GetServer(MATCH(MIN(E35:AK35),E35:AK35,0)),"FAILED"))</f>
        <v>SRV-nn-07</v>
      </c>
      <c r="E35" s="891"/>
      <c r="F35" s="891"/>
      <c r="G35" s="891">
        <v>3</v>
      </c>
      <c r="H35" s="891">
        <v>4</v>
      </c>
      <c r="V35" s="891"/>
      <c r="W35" s="891"/>
      <c r="X35" s="891">
        <v>1</v>
      </c>
      <c r="Y35" s="891">
        <v>2</v>
      </c>
      <c r="AN35" s="271"/>
    </row>
    <row r="36" spans="1:40" ht="12.75" customHeight="1" thickBot="1" x14ac:dyDescent="0.25">
      <c r="A36" s="1087"/>
      <c r="B36" s="1178"/>
      <c r="C36" s="888" t="s">
        <v>1889</v>
      </c>
      <c r="D36" s="889" t="str">
        <f>IF(OR(DAGQuroumStatus="DAG Quorum Failed",ISNA(MATCH(MIN(E36:AK36),E36:AK36,0))),"FAILED", IF(OR(MATCH(MIN(E36:AK36),E36:AK36,0)&lt;17,AND(MIN(E36:AK36)&lt;17,IsSecSiteActive())),GetServer(MATCH(MIN(E36:AK36),E36:AK36,0)),"FAILED"))</f>
        <v>SRV-nn-08</v>
      </c>
      <c r="E36" s="891">
        <v>4</v>
      </c>
      <c r="F36" s="891"/>
      <c r="G36" s="891"/>
      <c r="H36" s="891">
        <v>3</v>
      </c>
      <c r="V36" s="891">
        <v>2</v>
      </c>
      <c r="W36" s="891"/>
      <c r="X36" s="891"/>
      <c r="Y36" s="891">
        <v>1</v>
      </c>
      <c r="AN36" s="271"/>
    </row>
    <row r="37" spans="1:40" ht="12.75" customHeight="1" x14ac:dyDescent="0.2">
      <c r="A37" s="1087"/>
      <c r="B37" s="1177" t="s">
        <v>1860</v>
      </c>
      <c r="C37" s="888" t="s">
        <v>1890</v>
      </c>
      <c r="D37" s="889" t="str">
        <f>IF(OR(DAGQuroumStatus="DAG Quorum Failed",ISNA(MATCH(MIN(E37:AK37),E37:AK37,0))),"FAILED", IF(OR(MATCH(MIN(E37:AK37),E37:AK37,0)&lt;17,AND(MIN(E37:AK37)&lt;17,IsSecSiteActive())),GetServer(MATCH(MIN(E37:AK37),E37:AK37,0)),"FAILED"))</f>
        <v>SRV-nn-01</v>
      </c>
      <c r="E37" s="891">
        <v>1</v>
      </c>
      <c r="F37" s="891"/>
      <c r="G37" s="891">
        <v>2</v>
      </c>
      <c r="H37" s="891"/>
      <c r="I37" s="886"/>
      <c r="J37" s="886"/>
      <c r="K37" s="886"/>
      <c r="L37" s="886"/>
      <c r="M37" s="886"/>
      <c r="N37" s="886"/>
      <c r="O37" s="886"/>
      <c r="P37" s="886"/>
      <c r="Q37" s="886"/>
      <c r="R37" s="886"/>
      <c r="S37" s="886"/>
      <c r="T37" s="886"/>
      <c r="U37" s="886"/>
      <c r="V37" s="891">
        <v>3</v>
      </c>
      <c r="W37" s="891"/>
      <c r="X37" s="891">
        <v>4</v>
      </c>
      <c r="Y37" s="891"/>
      <c r="Z37" s="886"/>
      <c r="AA37" s="886"/>
      <c r="AB37" s="886"/>
      <c r="AC37" s="886"/>
      <c r="AD37" s="886"/>
      <c r="AE37" s="886"/>
      <c r="AF37" s="886"/>
      <c r="AG37" s="886"/>
      <c r="AH37" s="886"/>
      <c r="AI37" s="886"/>
      <c r="AJ37" s="886"/>
      <c r="AK37" s="886"/>
      <c r="AL37" s="886"/>
      <c r="AM37" s="886"/>
      <c r="AN37" s="271"/>
    </row>
    <row r="38" spans="1:40" ht="12.75" customHeight="1" x14ac:dyDescent="0.2">
      <c r="A38" s="1087"/>
      <c r="B38" s="1178"/>
      <c r="C38" s="888" t="s">
        <v>1891</v>
      </c>
      <c r="D38" s="889" t="str">
        <f>IF(OR(DAGQuroumStatus="DAG Quorum Failed",ISNA(MATCH(MIN(E38:AK38),E38:AK38,0))),"FAILED", IF(OR(MATCH(MIN(E38:AK38),E38:AK38,0)&lt;17,AND(MIN(E38:AK38)&lt;17,IsSecSiteActive())),GetServer(MATCH(MIN(E38:AK38),E38:AK38,0)),"FAILED"))</f>
        <v>SRV-nn-02</v>
      </c>
      <c r="E38" s="891"/>
      <c r="F38" s="891">
        <v>1</v>
      </c>
      <c r="G38" s="891"/>
      <c r="H38" s="891">
        <v>2</v>
      </c>
      <c r="V38" s="891"/>
      <c r="W38" s="891">
        <v>3</v>
      </c>
      <c r="X38" s="891"/>
      <c r="Y38" s="891">
        <v>4</v>
      </c>
      <c r="AN38" s="271"/>
    </row>
    <row r="39" spans="1:40" ht="12.75" customHeight="1" x14ac:dyDescent="0.2">
      <c r="A39" s="1087"/>
      <c r="B39" s="1178"/>
      <c r="C39" s="888" t="s">
        <v>1892</v>
      </c>
      <c r="D39" s="889" t="str">
        <f>IF(OR(DAGQuroumStatus="DAG Quorum Failed",ISNA(MATCH(MIN(E39:AK39),E39:AK39,0))),"FAILED", IF(OR(MATCH(MIN(E39:AK39),E39:AK39,0)&lt;17,AND(MIN(E39:AK39)&lt;17,IsSecSiteActive())),GetServer(MATCH(MIN(E39:AK39),E39:AK39,0)),"FAILED"))</f>
        <v>SRV-nn-03</v>
      </c>
      <c r="E39" s="891">
        <v>2</v>
      </c>
      <c r="F39" s="891"/>
      <c r="G39" s="891">
        <v>1</v>
      </c>
      <c r="H39" s="891"/>
      <c r="V39" s="891">
        <v>4</v>
      </c>
      <c r="W39" s="891"/>
      <c r="X39" s="891">
        <v>3</v>
      </c>
      <c r="Y39" s="891"/>
      <c r="AN39" s="271"/>
    </row>
    <row r="40" spans="1:40" x14ac:dyDescent="0.2">
      <c r="A40" s="1087"/>
      <c r="B40" s="1178"/>
      <c r="C40" s="888" t="s">
        <v>1893</v>
      </c>
      <c r="D40" s="889" t="str">
        <f>IF(OR(DAGQuroumStatus="DAG Quorum Failed",ISNA(MATCH(MIN(E40:AK40),E40:AK40,0))),"FAILED", IF(OR(MATCH(MIN(E40:AK40),E40:AK40,0)&lt;17,AND(MIN(E40:AK40)&lt;17,IsSecSiteActive())),GetServer(MATCH(MIN(E40:AK40),E40:AK40,0)),"FAILED"))</f>
        <v>SRV-nn-04</v>
      </c>
      <c r="E40" s="891"/>
      <c r="F40" s="891">
        <v>2</v>
      </c>
      <c r="G40" s="891"/>
      <c r="H40" s="891">
        <v>1</v>
      </c>
      <c r="V40" s="891"/>
      <c r="W40" s="891">
        <v>4</v>
      </c>
      <c r="X40" s="891"/>
      <c r="Y40" s="891">
        <v>3</v>
      </c>
      <c r="AN40" s="271"/>
    </row>
    <row r="41" spans="1:40" ht="12.75" customHeight="1" x14ac:dyDescent="0.2">
      <c r="A41" s="1087"/>
      <c r="B41" s="1178"/>
      <c r="C41" s="888" t="s">
        <v>1894</v>
      </c>
      <c r="D41" s="889" t="str">
        <f>IF(OR(DAGQuroumStatus="DAG Quorum Failed",ISNA(MATCH(MIN(E41:AK41),E41:AK41,0))),"FAILED", IF(OR(MATCH(MIN(E41:AK41),E41:AK41,0)&lt;17,AND(MIN(E41:AK41)&lt;17,IsSecSiteActive())),GetServer(MATCH(MIN(E41:AK41),E41:AK41,0)),"FAILED"))</f>
        <v>SRV-nn-05</v>
      </c>
      <c r="E41" s="891">
        <v>3</v>
      </c>
      <c r="F41" s="891"/>
      <c r="G41" s="891"/>
      <c r="H41" s="891">
        <v>4</v>
      </c>
      <c r="V41" s="891">
        <v>1</v>
      </c>
      <c r="W41" s="891"/>
      <c r="X41" s="891"/>
      <c r="Y41" s="891">
        <v>2</v>
      </c>
      <c r="AN41" s="271"/>
    </row>
    <row r="42" spans="1:40" ht="12.75" customHeight="1" x14ac:dyDescent="0.2">
      <c r="A42" s="1087"/>
      <c r="B42" s="1178"/>
      <c r="C42" s="888" t="s">
        <v>1895</v>
      </c>
      <c r="D42" s="889" t="str">
        <f>IF(OR(DAGQuroumStatus="DAG Quorum Failed",ISNA(MATCH(MIN(E42:AK42),E42:AK42,0))),"FAILED", IF(OR(MATCH(MIN(E42:AK42),E42:AK42,0)&lt;17,AND(MIN(E42:AK42)&lt;17,IsSecSiteActive())),GetServer(MATCH(MIN(E42:AK42),E42:AK42,0)),"FAILED"))</f>
        <v>SRV-nn-06</v>
      </c>
      <c r="E42" s="891">
        <v>4</v>
      </c>
      <c r="F42" s="891">
        <v>3</v>
      </c>
      <c r="G42" s="891"/>
      <c r="H42" s="891"/>
      <c r="V42" s="891">
        <v>2</v>
      </c>
      <c r="W42" s="891">
        <v>1</v>
      </c>
      <c r="X42" s="891"/>
      <c r="Y42" s="891"/>
      <c r="AN42" s="271"/>
    </row>
    <row r="43" spans="1:40" ht="12.75" customHeight="1" x14ac:dyDescent="0.2">
      <c r="A43" s="1087"/>
      <c r="B43" s="1178"/>
      <c r="C43" s="888" t="s">
        <v>1896</v>
      </c>
      <c r="D43" s="889" t="str">
        <f>IF(OR(DAGQuroumStatus="DAG Quorum Failed",ISNA(MATCH(MIN(E43:AK43),E43:AK43,0))),"FAILED", IF(OR(MATCH(MIN(E43:AK43),E43:AK43,0)&lt;17,AND(MIN(E43:AK43)&lt;17,IsSecSiteActive())),GetServer(MATCH(MIN(E43:AK43),E43:AK43,0)),"FAILED"))</f>
        <v>SRV-nn-07</v>
      </c>
      <c r="E43" s="891"/>
      <c r="F43" s="891">
        <v>4</v>
      </c>
      <c r="G43" s="891">
        <v>3</v>
      </c>
      <c r="H43" s="891"/>
      <c r="V43" s="891"/>
      <c r="W43" s="891">
        <v>2</v>
      </c>
      <c r="X43" s="891">
        <v>1</v>
      </c>
      <c r="Y43" s="891"/>
      <c r="AN43" s="271"/>
    </row>
    <row r="44" spans="1:40" ht="12.75" customHeight="1" thickBot="1" x14ac:dyDescent="0.25">
      <c r="A44" s="1087"/>
      <c r="B44" s="1178"/>
      <c r="C44" s="888" t="s">
        <v>1897</v>
      </c>
      <c r="D44" s="889" t="str">
        <f>IF(OR(DAGQuroumStatus="DAG Quorum Failed",ISNA(MATCH(MIN(E44:AK44),E44:AK44,0))),"FAILED", IF(OR(MATCH(MIN(E44:AK44),E44:AK44,0)&lt;17,AND(MIN(E44:AK44)&lt;17,IsSecSiteActive())),GetServer(MATCH(MIN(E44:AK44),E44:AK44,0)),"FAILED"))</f>
        <v>SRV-nn-08</v>
      </c>
      <c r="E44" s="891"/>
      <c r="F44" s="891"/>
      <c r="G44" s="891">
        <v>4</v>
      </c>
      <c r="H44" s="891">
        <v>3</v>
      </c>
      <c r="V44" s="891"/>
      <c r="W44" s="891"/>
      <c r="X44" s="891">
        <v>2</v>
      </c>
      <c r="Y44" s="891">
        <v>1</v>
      </c>
      <c r="AN44" s="271"/>
    </row>
    <row r="45" spans="1:40" ht="12.75" customHeight="1" x14ac:dyDescent="0.2">
      <c r="A45" s="1087"/>
      <c r="B45" s="1177" t="s">
        <v>1861</v>
      </c>
      <c r="C45" s="888" t="s">
        <v>1898</v>
      </c>
      <c r="D45" s="889" t="str">
        <f>IF(OR(DAGQuroumStatus="DAG Quorum Failed",ISNA(MATCH(MIN(E45:AK45),E45:AK45,0))),"FAILED", IF(OR(MATCH(MIN(E45:AK45),E45:AK45,0)&lt;17,AND(MIN(E45:AK45)&lt;17,IsSecSiteActive())),GetServer(MATCH(MIN(E45:AK45),E45:AK45,0)),"FAILED"))</f>
        <v>SRV-nn-01</v>
      </c>
      <c r="E45" s="891">
        <v>1</v>
      </c>
      <c r="F45" s="891">
        <v>2</v>
      </c>
      <c r="G45" s="891"/>
      <c r="H45" s="891"/>
      <c r="I45" s="886"/>
      <c r="J45" s="886"/>
      <c r="K45" s="886"/>
      <c r="L45" s="886"/>
      <c r="M45" s="886"/>
      <c r="N45" s="886"/>
      <c r="O45" s="886"/>
      <c r="P45" s="886"/>
      <c r="Q45" s="886"/>
      <c r="R45" s="886"/>
      <c r="S45" s="886"/>
      <c r="T45" s="886"/>
      <c r="U45" s="886"/>
      <c r="V45" s="891">
        <v>3</v>
      </c>
      <c r="W45" s="891">
        <v>4</v>
      </c>
      <c r="X45" s="891"/>
      <c r="Y45" s="891"/>
      <c r="Z45" s="886"/>
      <c r="AA45" s="886"/>
      <c r="AB45" s="886"/>
      <c r="AC45" s="886"/>
      <c r="AD45" s="886"/>
      <c r="AE45" s="886"/>
      <c r="AF45" s="886"/>
      <c r="AG45" s="886"/>
      <c r="AH45" s="886"/>
      <c r="AI45" s="886"/>
      <c r="AJ45" s="886"/>
      <c r="AK45" s="886"/>
      <c r="AL45" s="886"/>
      <c r="AM45" s="886"/>
      <c r="AN45" s="271"/>
    </row>
    <row r="46" spans="1:40" ht="12.75" customHeight="1" x14ac:dyDescent="0.2">
      <c r="A46" s="1087"/>
      <c r="B46" s="1178"/>
      <c r="C46" s="888" t="s">
        <v>1899</v>
      </c>
      <c r="D46" s="889" t="str">
        <f>IF(OR(DAGQuroumStatus="DAG Quorum Failed",ISNA(MATCH(MIN(E46:AK46),E46:AK46,0))),"FAILED", IF(OR(MATCH(MIN(E46:AK46),E46:AK46,0)&lt;17,AND(MIN(E46:AK46)&lt;17,IsSecSiteActive())),GetServer(MATCH(MIN(E46:AK46),E46:AK46,0)),"FAILED"))</f>
        <v>SRV-nn-02</v>
      </c>
      <c r="E46" s="891"/>
      <c r="F46" s="891">
        <v>1</v>
      </c>
      <c r="G46" s="891">
        <v>2</v>
      </c>
      <c r="H46" s="891"/>
      <c r="V46" s="891"/>
      <c r="W46" s="891">
        <v>3</v>
      </c>
      <c r="X46" s="891">
        <v>4</v>
      </c>
      <c r="Y46" s="891"/>
      <c r="AN46" s="271"/>
    </row>
    <row r="47" spans="1:40" ht="12.75" customHeight="1" x14ac:dyDescent="0.2">
      <c r="A47" s="1087"/>
      <c r="B47" s="1178"/>
      <c r="C47" s="888" t="s">
        <v>1900</v>
      </c>
      <c r="D47" s="889" t="str">
        <f>IF(OR(DAGQuroumStatus="DAG Quorum Failed",ISNA(MATCH(MIN(E47:AK47),E47:AK47,0))),"FAILED", IF(OR(MATCH(MIN(E47:AK47),E47:AK47,0)&lt;17,AND(MIN(E47:AK47)&lt;17,IsSecSiteActive())),GetServer(MATCH(MIN(E47:AK47),E47:AK47,0)),"FAILED"))</f>
        <v>SRV-nn-03</v>
      </c>
      <c r="E47" s="891"/>
      <c r="F47" s="891"/>
      <c r="G47" s="891">
        <v>1</v>
      </c>
      <c r="H47" s="891">
        <v>2</v>
      </c>
      <c r="V47" s="891"/>
      <c r="W47" s="891"/>
      <c r="X47" s="891">
        <v>3</v>
      </c>
      <c r="Y47" s="891">
        <v>4</v>
      </c>
      <c r="AN47" s="271"/>
    </row>
    <row r="48" spans="1:40" x14ac:dyDescent="0.2">
      <c r="A48" s="1087"/>
      <c r="B48" s="1178"/>
      <c r="C48" s="888" t="s">
        <v>1901</v>
      </c>
      <c r="D48" s="889" t="str">
        <f>IF(OR(DAGQuroumStatus="DAG Quorum Failed",ISNA(MATCH(MIN(E48:AK48),E48:AK48,0))),"FAILED", IF(OR(MATCH(MIN(E48:AK48),E48:AK48,0)&lt;17,AND(MIN(E48:AK48)&lt;17,IsSecSiteActive())),GetServer(MATCH(MIN(E48:AK48),E48:AK48,0)),"FAILED"))</f>
        <v>SRV-nn-04</v>
      </c>
      <c r="E48" s="891">
        <v>2</v>
      </c>
      <c r="F48" s="891"/>
      <c r="G48" s="891"/>
      <c r="H48" s="891">
        <v>1</v>
      </c>
      <c r="V48" s="891">
        <v>4</v>
      </c>
      <c r="W48" s="891"/>
      <c r="X48" s="891"/>
      <c r="Y48" s="891">
        <v>3</v>
      </c>
      <c r="AN48" s="271"/>
    </row>
    <row r="49" spans="1:40" ht="12.75" customHeight="1" x14ac:dyDescent="0.2">
      <c r="A49" s="1087"/>
      <c r="B49" s="1178"/>
      <c r="C49" s="888" t="s">
        <v>1902</v>
      </c>
      <c r="D49" s="889" t="str">
        <f>IF(OR(DAGQuroumStatus="DAG Quorum Failed",ISNA(MATCH(MIN(E49:AK49),E49:AK49,0))),"FAILED", IF(OR(MATCH(MIN(E49:AK49),E49:AK49,0)&lt;17,AND(MIN(E49:AK49)&lt;17,IsSecSiteActive())),GetServer(MATCH(MIN(E49:AK49),E49:AK49,0)),"FAILED"))</f>
        <v>SRV-nn-05</v>
      </c>
      <c r="E49" s="891">
        <v>3</v>
      </c>
      <c r="F49" s="891"/>
      <c r="G49" s="891">
        <v>4</v>
      </c>
      <c r="H49" s="891"/>
      <c r="V49" s="891">
        <v>1</v>
      </c>
      <c r="W49" s="891"/>
      <c r="X49" s="891">
        <v>2</v>
      </c>
      <c r="Y49" s="891"/>
      <c r="AN49" s="271"/>
    </row>
    <row r="50" spans="1:40" ht="12.75" customHeight="1" x14ac:dyDescent="0.2">
      <c r="A50" s="1087"/>
      <c r="B50" s="1178"/>
      <c r="C50" s="888" t="s">
        <v>1903</v>
      </c>
      <c r="D50" s="889" t="str">
        <f>IF(OR(DAGQuroumStatus="DAG Quorum Failed",ISNA(MATCH(MIN(E50:AK50),E50:AK50,0))),"FAILED", IF(OR(MATCH(MIN(E50:AK50),E50:AK50,0)&lt;17,AND(MIN(E50:AK50)&lt;17,IsSecSiteActive())),GetServer(MATCH(MIN(E50:AK50),E50:AK50,0)),"FAILED"))</f>
        <v>SRV-nn-06</v>
      </c>
      <c r="E50" s="891"/>
      <c r="F50" s="891">
        <v>3</v>
      </c>
      <c r="G50" s="891"/>
      <c r="H50" s="891">
        <v>4</v>
      </c>
      <c r="V50" s="891"/>
      <c r="W50" s="891">
        <v>1</v>
      </c>
      <c r="X50" s="891"/>
      <c r="Y50" s="891">
        <v>2</v>
      </c>
      <c r="AN50" s="271"/>
    </row>
    <row r="51" spans="1:40" ht="12.75" customHeight="1" x14ac:dyDescent="0.2">
      <c r="A51" s="1087"/>
      <c r="B51" s="1178"/>
      <c r="C51" s="888" t="s">
        <v>1904</v>
      </c>
      <c r="D51" s="889" t="str">
        <f>IF(OR(DAGQuroumStatus="DAG Quorum Failed",ISNA(MATCH(MIN(E51:AK51),E51:AK51,0))),"FAILED", IF(OR(MATCH(MIN(E51:AK51),E51:AK51,0)&lt;17,AND(MIN(E51:AK51)&lt;17,IsSecSiteActive())),GetServer(MATCH(MIN(E51:AK51),E51:AK51,0)),"FAILED"))</f>
        <v>SRV-nn-07</v>
      </c>
      <c r="E51" s="891">
        <v>4</v>
      </c>
      <c r="F51" s="891"/>
      <c r="G51" s="891">
        <v>3</v>
      </c>
      <c r="H51" s="891"/>
      <c r="V51" s="891">
        <v>2</v>
      </c>
      <c r="W51" s="891"/>
      <c r="X51" s="891">
        <v>1</v>
      </c>
      <c r="Y51" s="891"/>
      <c r="AN51" s="271"/>
    </row>
    <row r="52" spans="1:40" ht="13.5" thickBot="1" x14ac:dyDescent="0.25">
      <c r="A52" s="1087"/>
      <c r="B52" s="1178"/>
      <c r="C52" s="888" t="s">
        <v>1905</v>
      </c>
      <c r="D52" s="889" t="str">
        <f>IF(OR(DAGQuroumStatus="DAG Quorum Failed",ISNA(MATCH(MIN(E52:AK52),E52:AK52,0))),"FAILED", IF(OR(MATCH(MIN(E52:AK52),E52:AK52,0)&lt;17,AND(MIN(E52:AK52)&lt;17,IsSecSiteActive())),GetServer(MATCH(MIN(E52:AK52),E52:AK52,0)),"FAILED"))</f>
        <v>SRV-nn-08</v>
      </c>
      <c r="E52" s="891"/>
      <c r="F52" s="891">
        <v>4</v>
      </c>
      <c r="G52" s="891"/>
      <c r="H52" s="891">
        <v>3</v>
      </c>
      <c r="V52" s="891"/>
      <c r="W52" s="891">
        <v>2</v>
      </c>
      <c r="X52" s="891"/>
      <c r="Y52" s="891">
        <v>1</v>
      </c>
      <c r="AN52" s="271"/>
    </row>
    <row r="53" spans="1:40" ht="12.75" customHeight="1" x14ac:dyDescent="0.2">
      <c r="A53" s="1087"/>
      <c r="B53" s="1177" t="s">
        <v>1862</v>
      </c>
      <c r="C53" s="888" t="s">
        <v>1906</v>
      </c>
      <c r="D53" s="889" t="str">
        <f>IF(OR(DAGQuroumStatus="DAG Quorum Failed",ISNA(MATCH(MIN(E53:AK53),E53:AK53,0))),"FAILED", IF(OR(MATCH(MIN(E53:AK53),E53:AK53,0)&lt;17,AND(MIN(E53:AK53)&lt;17,IsSecSiteActive())),GetServer(MATCH(MIN(E53:AK53),E53:AK53,0)),"FAILED"))</f>
        <v>SRV-nn-01</v>
      </c>
      <c r="E53" s="891">
        <v>1</v>
      </c>
      <c r="F53" s="891"/>
      <c r="G53" s="891"/>
      <c r="H53" s="891">
        <v>2</v>
      </c>
      <c r="I53" s="886"/>
      <c r="J53" s="886"/>
      <c r="K53" s="886"/>
      <c r="L53" s="886"/>
      <c r="M53" s="886"/>
      <c r="N53" s="886"/>
      <c r="O53" s="886"/>
      <c r="P53" s="886"/>
      <c r="Q53" s="886"/>
      <c r="R53" s="886"/>
      <c r="S53" s="886"/>
      <c r="T53" s="886"/>
      <c r="U53" s="886"/>
      <c r="V53" s="891">
        <v>3</v>
      </c>
      <c r="W53" s="891"/>
      <c r="X53" s="891"/>
      <c r="Y53" s="891">
        <v>4</v>
      </c>
      <c r="Z53" s="886"/>
      <c r="AA53" s="886"/>
      <c r="AB53" s="886"/>
      <c r="AC53" s="886"/>
      <c r="AD53" s="886"/>
      <c r="AE53" s="886"/>
      <c r="AF53" s="886"/>
      <c r="AG53" s="886"/>
      <c r="AH53" s="886"/>
      <c r="AI53" s="886"/>
      <c r="AJ53" s="886"/>
      <c r="AK53" s="886"/>
      <c r="AL53" s="886"/>
      <c r="AM53" s="886"/>
      <c r="AN53" s="271"/>
    </row>
    <row r="54" spans="1:40" ht="12.75" customHeight="1" x14ac:dyDescent="0.2">
      <c r="A54" s="1087"/>
      <c r="B54" s="1178"/>
      <c r="C54" s="888" t="s">
        <v>1907</v>
      </c>
      <c r="D54" s="889" t="str">
        <f>IF(OR(DAGQuroumStatus="DAG Quorum Failed",ISNA(MATCH(MIN(E54:AK54),E54:AK54,0))),"FAILED", IF(OR(MATCH(MIN(E54:AK54),E54:AK54,0)&lt;17,AND(MIN(E54:AK54)&lt;17,IsSecSiteActive())),GetServer(MATCH(MIN(E54:AK54),E54:AK54,0)),"FAILED"))</f>
        <v>SRV-nn-02</v>
      </c>
      <c r="E54" s="891">
        <v>2</v>
      </c>
      <c r="F54" s="891">
        <v>1</v>
      </c>
      <c r="G54" s="891"/>
      <c r="H54" s="891"/>
      <c r="V54" s="891">
        <v>4</v>
      </c>
      <c r="W54" s="891">
        <v>3</v>
      </c>
      <c r="X54" s="891"/>
      <c r="Y54" s="891"/>
      <c r="AN54" s="271"/>
    </row>
    <row r="55" spans="1:40" ht="12.75" customHeight="1" x14ac:dyDescent="0.2">
      <c r="A55" s="1087"/>
      <c r="B55" s="1178"/>
      <c r="C55" s="888" t="s">
        <v>1908</v>
      </c>
      <c r="D55" s="889" t="str">
        <f>IF(OR(DAGQuroumStatus="DAG Quorum Failed",ISNA(MATCH(MIN(E55:AK55),E55:AK55,0))),"FAILED", IF(OR(MATCH(MIN(E55:AK55),E55:AK55,0)&lt;17,AND(MIN(E55:AK55)&lt;17,IsSecSiteActive())),GetServer(MATCH(MIN(E55:AK55),E55:AK55,0)),"FAILED"))</f>
        <v>SRV-nn-03</v>
      </c>
      <c r="E55" s="891"/>
      <c r="F55" s="891">
        <v>2</v>
      </c>
      <c r="G55" s="891">
        <v>1</v>
      </c>
      <c r="H55" s="891"/>
      <c r="V55" s="891"/>
      <c r="W55" s="891">
        <v>4</v>
      </c>
      <c r="X55" s="891">
        <v>3</v>
      </c>
      <c r="Y55" s="891"/>
      <c r="AN55" s="271"/>
    </row>
    <row r="56" spans="1:40" ht="12.75" customHeight="1" x14ac:dyDescent="0.2">
      <c r="A56" s="1087"/>
      <c r="B56" s="1178"/>
      <c r="C56" s="888" t="s">
        <v>1909</v>
      </c>
      <c r="D56" s="889" t="str">
        <f>IF(OR(DAGQuroumStatus="DAG Quorum Failed",ISNA(MATCH(MIN(E56:AK56),E56:AK56,0))),"FAILED", IF(OR(MATCH(MIN(E56:AK56),E56:AK56,0)&lt;17,AND(MIN(E56:AK56)&lt;17,IsSecSiteActive())),GetServer(MATCH(MIN(E56:AK56),E56:AK56,0)),"FAILED"))</f>
        <v>SRV-nn-04</v>
      </c>
      <c r="E56" s="891"/>
      <c r="F56" s="891"/>
      <c r="G56" s="891">
        <v>2</v>
      </c>
      <c r="H56" s="891">
        <v>1</v>
      </c>
      <c r="V56" s="891"/>
      <c r="W56" s="891"/>
      <c r="X56" s="891">
        <v>4</v>
      </c>
      <c r="Y56" s="891">
        <v>3</v>
      </c>
      <c r="AN56" s="271"/>
    </row>
    <row r="57" spans="1:40" ht="12.75" customHeight="1" x14ac:dyDescent="0.2">
      <c r="A57" s="1087"/>
      <c r="B57" s="1178"/>
      <c r="C57" s="888" t="s">
        <v>1910</v>
      </c>
      <c r="D57" s="889" t="str">
        <f>IF(OR(DAGQuroumStatus="DAG Quorum Failed",ISNA(MATCH(MIN(E57:AK57),E57:AK57,0))),"FAILED", IF(OR(MATCH(MIN(E57:AK57),E57:AK57,0)&lt;17,AND(MIN(E57:AK57)&lt;17,IsSecSiteActive())),GetServer(MATCH(MIN(E57:AK57),E57:AK57,0)),"FAILED"))</f>
        <v>SRV-nn-05</v>
      </c>
      <c r="E57" s="891">
        <v>3</v>
      </c>
      <c r="F57" s="891">
        <v>4</v>
      </c>
      <c r="G57" s="891"/>
      <c r="H57" s="891"/>
      <c r="V57" s="891">
        <v>1</v>
      </c>
      <c r="W57" s="891">
        <v>2</v>
      </c>
      <c r="X57" s="891"/>
      <c r="Y57" s="891"/>
      <c r="AN57" s="271"/>
    </row>
    <row r="58" spans="1:40" x14ac:dyDescent="0.2">
      <c r="A58" s="1087"/>
      <c r="B58" s="1178"/>
      <c r="C58" s="888" t="s">
        <v>1911</v>
      </c>
      <c r="D58" s="889" t="str">
        <f>IF(OR(DAGQuroumStatus="DAG Quorum Failed",ISNA(MATCH(MIN(E58:AK58),E58:AK58,0))),"FAILED", IF(OR(MATCH(MIN(E58:AK58),E58:AK58,0)&lt;17,AND(MIN(E58:AK58)&lt;17,IsSecSiteActive())),GetServer(MATCH(MIN(E58:AK58),E58:AK58,0)),"FAILED"))</f>
        <v>SRV-nn-06</v>
      </c>
      <c r="E58" s="891"/>
      <c r="F58" s="891">
        <v>3</v>
      </c>
      <c r="G58" s="891">
        <v>4</v>
      </c>
      <c r="H58" s="891"/>
      <c r="V58" s="891"/>
      <c r="W58" s="891">
        <v>1</v>
      </c>
      <c r="X58" s="891">
        <v>2</v>
      </c>
      <c r="Y58" s="891"/>
      <c r="AN58" s="271"/>
    </row>
    <row r="59" spans="1:40" ht="12.75" customHeight="1" x14ac:dyDescent="0.2">
      <c r="A59" s="1087"/>
      <c r="B59" s="1178"/>
      <c r="C59" s="888" t="s">
        <v>1912</v>
      </c>
      <c r="D59" s="889" t="str">
        <f>IF(OR(DAGQuroumStatus="DAG Quorum Failed",ISNA(MATCH(MIN(E59:AK59),E59:AK59,0))),"FAILED", IF(OR(MATCH(MIN(E59:AK59),E59:AK59,0)&lt;17,AND(MIN(E59:AK59)&lt;17,IsSecSiteActive())),GetServer(MATCH(MIN(E59:AK59),E59:AK59,0)),"FAILED"))</f>
        <v>SRV-nn-07</v>
      </c>
      <c r="E59" s="891"/>
      <c r="F59" s="891"/>
      <c r="G59" s="891">
        <v>3</v>
      </c>
      <c r="H59" s="891">
        <v>4</v>
      </c>
      <c r="V59" s="891"/>
      <c r="W59" s="891"/>
      <c r="X59" s="891">
        <v>1</v>
      </c>
      <c r="Y59" s="891">
        <v>2</v>
      </c>
      <c r="AN59" s="271"/>
    </row>
    <row r="60" spans="1:40" ht="12.75" customHeight="1" thickBot="1" x14ac:dyDescent="0.25">
      <c r="A60" s="1087"/>
      <c r="B60" s="1178"/>
      <c r="C60" s="888" t="s">
        <v>1913</v>
      </c>
      <c r="D60" s="889" t="str">
        <f>IF(OR(DAGQuroumStatus="DAG Quorum Failed",ISNA(MATCH(MIN(E60:AK60),E60:AK60,0))),"FAILED", IF(OR(MATCH(MIN(E60:AK60),E60:AK60,0)&lt;17,AND(MIN(E60:AK60)&lt;17,IsSecSiteActive())),GetServer(MATCH(MIN(E60:AK60),E60:AK60,0)),"FAILED"))</f>
        <v>SRV-nn-08</v>
      </c>
      <c r="E60" s="891">
        <v>4</v>
      </c>
      <c r="F60" s="891"/>
      <c r="G60" s="891"/>
      <c r="H60" s="891">
        <v>3</v>
      </c>
      <c r="V60" s="891">
        <v>2</v>
      </c>
      <c r="W60" s="891"/>
      <c r="X60" s="891"/>
      <c r="Y60" s="891">
        <v>1</v>
      </c>
      <c r="AN60" s="271"/>
    </row>
    <row r="61" spans="1:40" ht="12.75" customHeight="1" x14ac:dyDescent="0.2">
      <c r="A61" s="1087"/>
      <c r="B61" s="1177" t="s">
        <v>1863</v>
      </c>
      <c r="C61" s="888" t="s">
        <v>1916</v>
      </c>
      <c r="D61" s="889" t="str">
        <f>IF(OR(DAGQuroumStatus="DAG Quorum Failed",ISNA(MATCH(MIN(E61:AK61),E61:AK61,0))),"FAILED", IF(OR(MATCH(MIN(E61:AK61),E61:AK61,0)&lt;17,AND(MIN(E61:AK61)&lt;17,IsSecSiteActive())),GetServer(MATCH(MIN(E61:AK61),E61:AK61,0)),"FAILED"))</f>
        <v>SRV-nn-01</v>
      </c>
      <c r="E61" s="891">
        <v>1</v>
      </c>
      <c r="F61" s="891"/>
      <c r="G61" s="891">
        <v>2</v>
      </c>
      <c r="H61" s="891"/>
      <c r="I61" s="886"/>
      <c r="J61" s="886"/>
      <c r="K61" s="886"/>
      <c r="L61" s="886"/>
      <c r="M61" s="886"/>
      <c r="N61" s="886"/>
      <c r="O61" s="886"/>
      <c r="P61" s="886"/>
      <c r="Q61" s="886"/>
      <c r="R61" s="886"/>
      <c r="S61" s="886"/>
      <c r="T61" s="886"/>
      <c r="U61" s="886"/>
      <c r="V61" s="891">
        <v>3</v>
      </c>
      <c r="W61" s="891"/>
      <c r="X61" s="891">
        <v>4</v>
      </c>
      <c r="Y61" s="891"/>
      <c r="Z61" s="886"/>
      <c r="AA61" s="886"/>
      <c r="AB61" s="886"/>
      <c r="AC61" s="886"/>
      <c r="AD61" s="886"/>
      <c r="AE61" s="886"/>
      <c r="AF61" s="886"/>
      <c r="AG61" s="886"/>
      <c r="AH61" s="886"/>
      <c r="AI61" s="886"/>
      <c r="AJ61" s="886"/>
      <c r="AK61" s="886"/>
      <c r="AL61" s="886"/>
      <c r="AM61" s="886"/>
      <c r="AN61" s="271"/>
    </row>
    <row r="62" spans="1:40" ht="12.75" customHeight="1" x14ac:dyDescent="0.2">
      <c r="A62" s="1087"/>
      <c r="B62" s="1178"/>
      <c r="C62" s="888" t="s">
        <v>1917</v>
      </c>
      <c r="D62" s="889" t="str">
        <f>IF(OR(DAGQuroumStatus="DAG Quorum Failed",ISNA(MATCH(MIN(E62:AK62),E62:AK62,0))),"FAILED", IF(OR(MATCH(MIN(E62:AK62),E62:AK62,0)&lt;17,AND(MIN(E62:AK62)&lt;17,IsSecSiteActive())),GetServer(MATCH(MIN(E62:AK62),E62:AK62,0)),"FAILED"))</f>
        <v>SRV-nn-02</v>
      </c>
      <c r="E62" s="891"/>
      <c r="F62" s="891">
        <v>1</v>
      </c>
      <c r="G62" s="891"/>
      <c r="H62" s="891">
        <v>2</v>
      </c>
      <c r="V62" s="891"/>
      <c r="W62" s="891">
        <v>3</v>
      </c>
      <c r="X62" s="891"/>
      <c r="Y62" s="891">
        <v>4</v>
      </c>
      <c r="AN62" s="271"/>
    </row>
    <row r="63" spans="1:40" ht="12.75" customHeight="1" x14ac:dyDescent="0.2">
      <c r="A63" s="1087"/>
      <c r="B63" s="1178"/>
      <c r="C63" s="888" t="s">
        <v>1918</v>
      </c>
      <c r="D63" s="889" t="str">
        <f>IF(OR(DAGQuroumStatus="DAG Quorum Failed",ISNA(MATCH(MIN(E63:AK63),E63:AK63,0))),"FAILED", IF(OR(MATCH(MIN(E63:AK63),E63:AK63,0)&lt;17,AND(MIN(E63:AK63)&lt;17,IsSecSiteActive())),GetServer(MATCH(MIN(E63:AK63),E63:AK63,0)),"FAILED"))</f>
        <v>SRV-nn-03</v>
      </c>
      <c r="E63" s="891">
        <v>2</v>
      </c>
      <c r="F63" s="891"/>
      <c r="G63" s="891">
        <v>1</v>
      </c>
      <c r="H63" s="891"/>
      <c r="V63" s="891">
        <v>4</v>
      </c>
      <c r="W63" s="891"/>
      <c r="X63" s="891">
        <v>3</v>
      </c>
      <c r="Y63" s="891"/>
      <c r="AN63" s="271"/>
    </row>
    <row r="64" spans="1:40" x14ac:dyDescent="0.2">
      <c r="A64" s="1087"/>
      <c r="B64" s="1178"/>
      <c r="C64" s="888" t="s">
        <v>1919</v>
      </c>
      <c r="D64" s="889" t="str">
        <f>IF(OR(DAGQuroumStatus="DAG Quorum Failed",ISNA(MATCH(MIN(E64:AK64),E64:AK64,0))),"FAILED", IF(OR(MATCH(MIN(E64:AK64),E64:AK64,0)&lt;17,AND(MIN(E64:AK64)&lt;17,IsSecSiteActive())),GetServer(MATCH(MIN(E64:AK64),E64:AK64,0)),"FAILED"))</f>
        <v>SRV-nn-04</v>
      </c>
      <c r="E64" s="891"/>
      <c r="F64" s="891">
        <v>2</v>
      </c>
      <c r="G64" s="891"/>
      <c r="H64" s="891">
        <v>1</v>
      </c>
      <c r="V64" s="891"/>
      <c r="W64" s="891">
        <v>4</v>
      </c>
      <c r="X64" s="891"/>
      <c r="Y64" s="891">
        <v>3</v>
      </c>
      <c r="AN64" s="271"/>
    </row>
    <row r="65" spans="1:40" ht="12.75" customHeight="1" x14ac:dyDescent="0.2">
      <c r="A65" s="1087"/>
      <c r="B65" s="1178"/>
      <c r="C65" s="888" t="s">
        <v>1920</v>
      </c>
      <c r="D65" s="889" t="str">
        <f>IF(OR(DAGQuroumStatus="DAG Quorum Failed",ISNA(MATCH(MIN(E65:AK65),E65:AK65,0))),"FAILED", IF(OR(MATCH(MIN(E65:AK65),E65:AK65,0)&lt;17,AND(MIN(E65:AK65)&lt;17,IsSecSiteActive())),GetServer(MATCH(MIN(E65:AK65),E65:AK65,0)),"FAILED"))</f>
        <v>SRV-nn-05</v>
      </c>
      <c r="E65" s="891">
        <v>3</v>
      </c>
      <c r="F65" s="891"/>
      <c r="G65" s="891"/>
      <c r="H65" s="891">
        <v>4</v>
      </c>
      <c r="V65" s="891">
        <v>1</v>
      </c>
      <c r="W65" s="891"/>
      <c r="X65" s="891"/>
      <c r="Y65" s="891">
        <v>2</v>
      </c>
      <c r="AN65" s="271"/>
    </row>
    <row r="66" spans="1:40" ht="12.75" customHeight="1" x14ac:dyDescent="0.2">
      <c r="A66" s="1087"/>
      <c r="B66" s="1178"/>
      <c r="C66" s="888" t="s">
        <v>1921</v>
      </c>
      <c r="D66" s="889" t="str">
        <f>IF(OR(DAGQuroumStatus="DAG Quorum Failed",ISNA(MATCH(MIN(E66:AK66),E66:AK66,0))),"FAILED", IF(OR(MATCH(MIN(E66:AK66),E66:AK66,0)&lt;17,AND(MIN(E66:AK66)&lt;17,IsSecSiteActive())),GetServer(MATCH(MIN(E66:AK66),E66:AK66,0)),"FAILED"))</f>
        <v>SRV-nn-06</v>
      </c>
      <c r="E66" s="891">
        <v>4</v>
      </c>
      <c r="F66" s="891">
        <v>3</v>
      </c>
      <c r="G66" s="891"/>
      <c r="H66" s="891"/>
      <c r="V66" s="891">
        <v>2</v>
      </c>
      <c r="W66" s="891">
        <v>1</v>
      </c>
      <c r="X66" s="891"/>
      <c r="Y66" s="891"/>
      <c r="AN66" s="271"/>
    </row>
    <row r="67" spans="1:40" ht="12.75" customHeight="1" x14ac:dyDescent="0.2">
      <c r="A67" s="1087"/>
      <c r="B67" s="1178"/>
      <c r="C67" s="888" t="s">
        <v>1922</v>
      </c>
      <c r="D67" s="889" t="str">
        <f>IF(OR(DAGQuroumStatus="DAG Quorum Failed",ISNA(MATCH(MIN(E67:AK67),E67:AK67,0))),"FAILED", IF(OR(MATCH(MIN(E67:AK67),E67:AK67,0)&lt;17,AND(MIN(E67:AK67)&lt;17,IsSecSiteActive())),GetServer(MATCH(MIN(E67:AK67),E67:AK67,0)),"FAILED"))</f>
        <v>SRV-nn-07</v>
      </c>
      <c r="E67" s="891"/>
      <c r="F67" s="891">
        <v>4</v>
      </c>
      <c r="G67" s="891">
        <v>3</v>
      </c>
      <c r="H67" s="891"/>
      <c r="V67" s="891"/>
      <c r="W67" s="891">
        <v>2</v>
      </c>
      <c r="X67" s="891">
        <v>1</v>
      </c>
      <c r="Y67" s="891"/>
      <c r="AN67" s="271"/>
    </row>
    <row r="68" spans="1:40" ht="12.75" customHeight="1" thickBot="1" x14ac:dyDescent="0.25">
      <c r="A68" s="1087"/>
      <c r="B68" s="1178"/>
      <c r="C68" s="888" t="s">
        <v>1923</v>
      </c>
      <c r="D68" s="889" t="str">
        <f>IF(OR(DAGQuroumStatus="DAG Quorum Failed",ISNA(MATCH(MIN(E68:AK68),E68:AK68,0))),"FAILED", IF(OR(MATCH(MIN(E68:AK68),E68:AK68,0)&lt;17,AND(MIN(E68:AK68)&lt;17,IsSecSiteActive())),GetServer(MATCH(MIN(E68:AK68),E68:AK68,0)),"FAILED"))</f>
        <v>SRV-nn-08</v>
      </c>
      <c r="E68" s="891"/>
      <c r="F68" s="891"/>
      <c r="G68" s="891">
        <v>4</v>
      </c>
      <c r="H68" s="891">
        <v>3</v>
      </c>
      <c r="V68" s="891"/>
      <c r="W68" s="891"/>
      <c r="X68" s="891">
        <v>2</v>
      </c>
      <c r="Y68" s="891">
        <v>1</v>
      </c>
      <c r="AN68" s="271"/>
    </row>
    <row r="69" spans="1:40" ht="12.75" customHeight="1" x14ac:dyDescent="0.2">
      <c r="A69" s="1087"/>
      <c r="B69" s="1177" t="s">
        <v>1864</v>
      </c>
      <c r="C69" s="888" t="s">
        <v>1924</v>
      </c>
      <c r="D69" s="889" t="str">
        <f>IF(OR(DAGQuroumStatus="DAG Quorum Failed",ISNA(MATCH(MIN(E69:AK69),E69:AK69,0))),"FAILED", IF(OR(MATCH(MIN(E69:AK69),E69:AK69,0)&lt;17,AND(MIN(E69:AK69)&lt;17,IsSecSiteActive())),GetServer(MATCH(MIN(E69:AK69),E69:AK69,0)),"FAILED"))</f>
        <v>SRV-nn-01</v>
      </c>
      <c r="E69" s="891">
        <v>1</v>
      </c>
      <c r="F69" s="891">
        <v>2</v>
      </c>
      <c r="G69" s="891"/>
      <c r="H69" s="891"/>
      <c r="I69" s="886"/>
      <c r="J69" s="886"/>
      <c r="K69" s="886"/>
      <c r="L69" s="886"/>
      <c r="M69" s="886"/>
      <c r="N69" s="886"/>
      <c r="O69" s="886"/>
      <c r="P69" s="886"/>
      <c r="Q69" s="886"/>
      <c r="R69" s="886"/>
      <c r="S69" s="886"/>
      <c r="T69" s="886"/>
      <c r="U69" s="886"/>
      <c r="V69" s="891">
        <v>3</v>
      </c>
      <c r="W69" s="891">
        <v>4</v>
      </c>
      <c r="X69" s="891"/>
      <c r="Y69" s="891"/>
      <c r="Z69" s="886"/>
      <c r="AA69" s="886"/>
      <c r="AB69" s="886"/>
      <c r="AC69" s="886"/>
      <c r="AD69" s="886"/>
      <c r="AE69" s="886"/>
      <c r="AF69" s="886"/>
      <c r="AG69" s="886"/>
      <c r="AH69" s="886"/>
      <c r="AI69" s="886"/>
      <c r="AJ69" s="886"/>
      <c r="AK69" s="886"/>
      <c r="AL69" s="886"/>
      <c r="AM69" s="886"/>
      <c r="AN69" s="271"/>
    </row>
    <row r="70" spans="1:40" ht="12.75" customHeight="1" x14ac:dyDescent="0.2">
      <c r="A70" s="1087"/>
      <c r="B70" s="1178"/>
      <c r="C70" s="888" t="s">
        <v>1925</v>
      </c>
      <c r="D70" s="889" t="str">
        <f>IF(OR(DAGQuroumStatus="DAG Quorum Failed",ISNA(MATCH(MIN(E70:AK70),E70:AK70,0))),"FAILED", IF(OR(MATCH(MIN(E70:AK70),E70:AK70,0)&lt;17,AND(MIN(E70:AK70)&lt;17,IsSecSiteActive())),GetServer(MATCH(MIN(E70:AK70),E70:AK70,0)),"FAILED"))</f>
        <v>SRV-nn-02</v>
      </c>
      <c r="E70" s="891"/>
      <c r="F70" s="891">
        <v>1</v>
      </c>
      <c r="G70" s="891">
        <v>2</v>
      </c>
      <c r="H70" s="891"/>
      <c r="V70" s="891"/>
      <c r="W70" s="891">
        <v>3</v>
      </c>
      <c r="X70" s="891">
        <v>4</v>
      </c>
      <c r="Y70" s="891"/>
      <c r="AN70" s="271"/>
    </row>
    <row r="71" spans="1:40" ht="12.75" customHeight="1" x14ac:dyDescent="0.2">
      <c r="A71" s="1087"/>
      <c r="B71" s="1178"/>
      <c r="C71" s="888" t="s">
        <v>1926</v>
      </c>
      <c r="D71" s="889" t="str">
        <f>IF(OR(DAGQuroumStatus="DAG Quorum Failed",ISNA(MATCH(MIN(E71:AK71),E71:AK71,0))),"FAILED", IF(OR(MATCH(MIN(E71:AK71),E71:AK71,0)&lt;17,AND(MIN(E71:AK71)&lt;17,IsSecSiteActive())),GetServer(MATCH(MIN(E71:AK71),E71:AK71,0)),"FAILED"))</f>
        <v>SRV-nn-03</v>
      </c>
      <c r="E71" s="891"/>
      <c r="F71" s="891"/>
      <c r="G71" s="891">
        <v>1</v>
      </c>
      <c r="H71" s="891">
        <v>2</v>
      </c>
      <c r="V71" s="891"/>
      <c r="W71" s="891"/>
      <c r="X71" s="891">
        <v>3</v>
      </c>
      <c r="Y71" s="891">
        <v>4</v>
      </c>
      <c r="AN71" s="271"/>
    </row>
    <row r="72" spans="1:40" x14ac:dyDescent="0.2">
      <c r="A72" s="1087"/>
      <c r="B72" s="1178"/>
      <c r="C72" s="888" t="s">
        <v>1927</v>
      </c>
      <c r="D72" s="889" t="str">
        <f>IF(OR(DAGQuroumStatus="DAG Quorum Failed",ISNA(MATCH(MIN(E72:AK72),E72:AK72,0))),"FAILED", IF(OR(MATCH(MIN(E72:AK72),E72:AK72,0)&lt;17,AND(MIN(E72:AK72)&lt;17,IsSecSiteActive())),GetServer(MATCH(MIN(E72:AK72),E72:AK72,0)),"FAILED"))</f>
        <v>SRV-nn-04</v>
      </c>
      <c r="E72" s="891">
        <v>2</v>
      </c>
      <c r="F72" s="891"/>
      <c r="G72" s="891"/>
      <c r="H72" s="891">
        <v>1</v>
      </c>
      <c r="V72" s="891">
        <v>4</v>
      </c>
      <c r="W72" s="891"/>
      <c r="X72" s="891"/>
      <c r="Y72" s="891">
        <v>3</v>
      </c>
      <c r="AN72" s="271"/>
    </row>
    <row r="73" spans="1:40" ht="12.75" customHeight="1" x14ac:dyDescent="0.2">
      <c r="A73" s="1087"/>
      <c r="B73" s="1178"/>
      <c r="C73" s="888" t="s">
        <v>1928</v>
      </c>
      <c r="D73" s="889" t="str">
        <f>IF(OR(DAGQuroumStatus="DAG Quorum Failed",ISNA(MATCH(MIN(E73:AK73),E73:AK73,0))),"FAILED", IF(OR(MATCH(MIN(E73:AK73),E73:AK73,0)&lt;17,AND(MIN(E73:AK73)&lt;17,IsSecSiteActive())),GetServer(MATCH(MIN(E73:AK73),E73:AK73,0)),"FAILED"))</f>
        <v>SRV-nn-05</v>
      </c>
      <c r="E73" s="891">
        <v>3</v>
      </c>
      <c r="F73" s="891"/>
      <c r="G73" s="891">
        <v>4</v>
      </c>
      <c r="H73" s="891"/>
      <c r="V73" s="891">
        <v>1</v>
      </c>
      <c r="W73" s="891"/>
      <c r="X73" s="891">
        <v>2</v>
      </c>
      <c r="Y73" s="891"/>
      <c r="AN73" s="271"/>
    </row>
    <row r="74" spans="1:40" ht="12.75" customHeight="1" x14ac:dyDescent="0.2">
      <c r="A74" s="1087"/>
      <c r="B74" s="1178"/>
      <c r="C74" s="888" t="s">
        <v>1929</v>
      </c>
      <c r="D74" s="889" t="str">
        <f>IF(OR(DAGQuroumStatus="DAG Quorum Failed",ISNA(MATCH(MIN(E74:AK74),E74:AK74,0))),"FAILED", IF(OR(MATCH(MIN(E74:AK74),E74:AK74,0)&lt;17,AND(MIN(E74:AK74)&lt;17,IsSecSiteActive())),GetServer(MATCH(MIN(E74:AK74),E74:AK74,0)),"FAILED"))</f>
        <v>SRV-nn-06</v>
      </c>
      <c r="E74" s="891"/>
      <c r="F74" s="891">
        <v>3</v>
      </c>
      <c r="G74" s="891"/>
      <c r="H74" s="891">
        <v>4</v>
      </c>
      <c r="V74" s="891"/>
      <c r="W74" s="891">
        <v>1</v>
      </c>
      <c r="X74" s="891"/>
      <c r="Y74" s="891">
        <v>2</v>
      </c>
      <c r="AN74" s="271"/>
    </row>
    <row r="75" spans="1:40" ht="12.75" customHeight="1" x14ac:dyDescent="0.2">
      <c r="A75" s="1087"/>
      <c r="B75" s="1178"/>
      <c r="C75" s="888" t="s">
        <v>1930</v>
      </c>
      <c r="D75" s="889" t="str">
        <f>IF(OR(DAGQuroumStatus="DAG Quorum Failed",ISNA(MATCH(MIN(E75:AK75),E75:AK75,0))),"FAILED", IF(OR(MATCH(MIN(E75:AK75),E75:AK75,0)&lt;17,AND(MIN(E75:AK75)&lt;17,IsSecSiteActive())),GetServer(MATCH(MIN(E75:AK75),E75:AK75,0)),"FAILED"))</f>
        <v>SRV-nn-07</v>
      </c>
      <c r="E75" s="891">
        <v>4</v>
      </c>
      <c r="F75" s="891"/>
      <c r="G75" s="891">
        <v>3</v>
      </c>
      <c r="H75" s="891"/>
      <c r="V75" s="891">
        <v>2</v>
      </c>
      <c r="W75" s="891"/>
      <c r="X75" s="891">
        <v>1</v>
      </c>
      <c r="Y75" s="891"/>
      <c r="AN75" s="271"/>
    </row>
    <row r="76" spans="1:40" ht="12.75" customHeight="1" thickBot="1" x14ac:dyDescent="0.25">
      <c r="A76" s="1087"/>
      <c r="B76" s="1178"/>
      <c r="C76" s="888" t="s">
        <v>1931</v>
      </c>
      <c r="D76" s="889" t="str">
        <f>IF(OR(DAGQuroumStatus="DAG Quorum Failed",ISNA(MATCH(MIN(E76:AK76),E76:AK76,0))),"FAILED", IF(OR(MATCH(MIN(E76:AK76),E76:AK76,0)&lt;17,AND(MIN(E76:AK76)&lt;17,IsSecSiteActive())),GetServer(MATCH(MIN(E76:AK76),E76:AK76,0)),"FAILED"))</f>
        <v>SRV-nn-08</v>
      </c>
      <c r="E76" s="891"/>
      <c r="F76" s="891">
        <v>4</v>
      </c>
      <c r="G76" s="891"/>
      <c r="H76" s="891">
        <v>3</v>
      </c>
      <c r="V76" s="891"/>
      <c r="W76" s="891">
        <v>2</v>
      </c>
      <c r="X76" s="891"/>
      <c r="Y76" s="891">
        <v>1</v>
      </c>
      <c r="AN76" s="271"/>
    </row>
    <row r="77" spans="1:40" ht="12.75" customHeight="1" x14ac:dyDescent="0.2">
      <c r="A77" s="1087"/>
      <c r="B77" s="1177" t="s">
        <v>1865</v>
      </c>
      <c r="C77" s="888" t="s">
        <v>1932</v>
      </c>
      <c r="D77" s="889" t="str">
        <f>IF(OR(DAGQuroumStatus="DAG Quorum Failed",ISNA(MATCH(MIN(E77:AK77),E77:AK77,0))),"FAILED", IF(OR(MATCH(MIN(E77:AK77),E77:AK77,0)&lt;17,AND(MIN(E77:AK77)&lt;17,IsSecSiteActive())),GetServer(MATCH(MIN(E77:AK77),E77:AK77,0)),"FAILED"))</f>
        <v>SRV-nn-01</v>
      </c>
      <c r="E77" s="891">
        <v>1</v>
      </c>
      <c r="F77" s="891"/>
      <c r="G77" s="891"/>
      <c r="H77" s="891">
        <v>2</v>
      </c>
      <c r="I77" s="886"/>
      <c r="J77" s="886"/>
      <c r="K77" s="886"/>
      <c r="L77" s="886"/>
      <c r="M77" s="886"/>
      <c r="N77" s="886"/>
      <c r="O77" s="886"/>
      <c r="P77" s="886"/>
      <c r="Q77" s="886"/>
      <c r="R77" s="886"/>
      <c r="S77" s="886"/>
      <c r="T77" s="886"/>
      <c r="U77" s="886"/>
      <c r="V77" s="891">
        <v>3</v>
      </c>
      <c r="W77" s="891"/>
      <c r="X77" s="891"/>
      <c r="Y77" s="891">
        <v>4</v>
      </c>
      <c r="Z77" s="886"/>
      <c r="AA77" s="886"/>
      <c r="AB77" s="886"/>
      <c r="AC77" s="886"/>
      <c r="AD77" s="886"/>
      <c r="AE77" s="886"/>
      <c r="AF77" s="886"/>
      <c r="AG77" s="886"/>
      <c r="AH77" s="886"/>
      <c r="AI77" s="886"/>
      <c r="AJ77" s="886"/>
      <c r="AK77" s="886"/>
      <c r="AL77" s="886"/>
      <c r="AM77" s="886"/>
      <c r="AN77" s="271"/>
    </row>
    <row r="78" spans="1:40" x14ac:dyDescent="0.2">
      <c r="A78" s="1087"/>
      <c r="B78" s="1178"/>
      <c r="C78" s="888" t="s">
        <v>1933</v>
      </c>
      <c r="D78" s="889" t="str">
        <f>IF(OR(DAGQuroumStatus="DAG Quorum Failed",ISNA(MATCH(MIN(E78:AK78),E78:AK78,0))),"FAILED", IF(OR(MATCH(MIN(E78:AK78),E78:AK78,0)&lt;17,AND(MIN(E78:AK78)&lt;17,IsSecSiteActive())),GetServer(MATCH(MIN(E78:AK78),E78:AK78,0)),"FAILED"))</f>
        <v>SRV-nn-02</v>
      </c>
      <c r="E78" s="891">
        <v>2</v>
      </c>
      <c r="F78" s="891">
        <v>1</v>
      </c>
      <c r="G78" s="891"/>
      <c r="H78" s="891"/>
      <c r="V78" s="891">
        <v>4</v>
      </c>
      <c r="W78" s="891">
        <v>3</v>
      </c>
      <c r="X78" s="891"/>
      <c r="Y78" s="891"/>
      <c r="AN78" s="271"/>
    </row>
    <row r="79" spans="1:40" ht="12.75" customHeight="1" x14ac:dyDescent="0.2">
      <c r="A79" s="1087"/>
      <c r="B79" s="1178"/>
      <c r="C79" s="888" t="s">
        <v>1934</v>
      </c>
      <c r="D79" s="889" t="str">
        <f>IF(OR(DAGQuroumStatus="DAG Quorum Failed",ISNA(MATCH(MIN(E79:AK79),E79:AK79,0))),"FAILED", IF(OR(MATCH(MIN(E79:AK79),E79:AK79,0)&lt;17,AND(MIN(E79:AK79)&lt;17,IsSecSiteActive())),GetServer(MATCH(MIN(E79:AK79),E79:AK79,0)),"FAILED"))</f>
        <v>SRV-nn-03</v>
      </c>
      <c r="E79" s="891"/>
      <c r="F79" s="891">
        <v>2</v>
      </c>
      <c r="G79" s="891">
        <v>1</v>
      </c>
      <c r="H79" s="891"/>
      <c r="V79" s="891"/>
      <c r="W79" s="891">
        <v>4</v>
      </c>
      <c r="X79" s="891">
        <v>3</v>
      </c>
      <c r="Y79" s="891"/>
      <c r="AN79" s="271"/>
    </row>
    <row r="80" spans="1:40" ht="12.75" customHeight="1" x14ac:dyDescent="0.2">
      <c r="A80" s="1087"/>
      <c r="B80" s="1178"/>
      <c r="C80" s="888" t="s">
        <v>1935</v>
      </c>
      <c r="D80" s="889" t="str">
        <f>IF(OR(DAGQuroumStatus="DAG Quorum Failed",ISNA(MATCH(MIN(E80:AK80),E80:AK80,0))),"FAILED", IF(OR(MATCH(MIN(E80:AK80),E80:AK80,0)&lt;17,AND(MIN(E80:AK80)&lt;17,IsSecSiteActive())),GetServer(MATCH(MIN(E80:AK80),E80:AK80,0)),"FAILED"))</f>
        <v>SRV-nn-04</v>
      </c>
      <c r="E80" s="891"/>
      <c r="F80" s="891"/>
      <c r="G80" s="891">
        <v>2</v>
      </c>
      <c r="H80" s="891">
        <v>1</v>
      </c>
      <c r="V80" s="891"/>
      <c r="W80" s="891"/>
      <c r="X80" s="891">
        <v>4</v>
      </c>
      <c r="Y80" s="891">
        <v>3</v>
      </c>
      <c r="AN80" s="271"/>
    </row>
    <row r="81" spans="1:40" ht="12.75" customHeight="1" x14ac:dyDescent="0.2">
      <c r="A81" s="1087"/>
      <c r="B81" s="1178"/>
      <c r="C81" s="888" t="s">
        <v>1936</v>
      </c>
      <c r="D81" s="889" t="str">
        <f>IF(OR(DAGQuroumStatus="DAG Quorum Failed",ISNA(MATCH(MIN(E81:AK81),E81:AK81,0))),"FAILED", IF(OR(MATCH(MIN(E81:AK81),E81:AK81,0)&lt;17,AND(MIN(E81:AK81)&lt;17,IsSecSiteActive())),GetServer(MATCH(MIN(E81:AK81),E81:AK81,0)),"FAILED"))</f>
        <v>SRV-nn-05</v>
      </c>
      <c r="E81" s="891">
        <v>3</v>
      </c>
      <c r="F81" s="891">
        <v>4</v>
      </c>
      <c r="G81" s="891"/>
      <c r="H81" s="891"/>
      <c r="V81" s="891">
        <v>1</v>
      </c>
      <c r="W81" s="891">
        <v>2</v>
      </c>
      <c r="X81" s="891"/>
      <c r="Y81" s="891"/>
      <c r="AN81" s="271"/>
    </row>
    <row r="82" spans="1:40" x14ac:dyDescent="0.2">
      <c r="A82" s="1087"/>
      <c r="B82" s="1178"/>
      <c r="C82" s="888" t="s">
        <v>1937</v>
      </c>
      <c r="D82" s="889" t="str">
        <f>IF(OR(DAGQuroumStatus="DAG Quorum Failed",ISNA(MATCH(MIN(E82:AK82),E82:AK82,0))),"FAILED", IF(OR(MATCH(MIN(E82:AK82),E82:AK82,0)&lt;17,AND(MIN(E82:AK82)&lt;17,IsSecSiteActive())),GetServer(MATCH(MIN(E82:AK82),E82:AK82,0)),"FAILED"))</f>
        <v>SRV-nn-06</v>
      </c>
      <c r="E82" s="891"/>
      <c r="F82" s="891">
        <v>3</v>
      </c>
      <c r="G82" s="891">
        <v>4</v>
      </c>
      <c r="H82" s="891"/>
      <c r="V82" s="891"/>
      <c r="W82" s="891">
        <v>1</v>
      </c>
      <c r="X82" s="891">
        <v>2</v>
      </c>
      <c r="Y82" s="891"/>
      <c r="AN82" s="271"/>
    </row>
    <row r="83" spans="1:40" ht="12.75" customHeight="1" x14ac:dyDescent="0.2">
      <c r="A83" s="1087"/>
      <c r="B83" s="1178"/>
      <c r="C83" s="888" t="s">
        <v>1938</v>
      </c>
      <c r="D83" s="889" t="str">
        <f>IF(OR(DAGQuroumStatus="DAG Quorum Failed",ISNA(MATCH(MIN(E83:AK83),E83:AK83,0))),"FAILED", IF(OR(MATCH(MIN(E83:AK83),E83:AK83,0)&lt;17,AND(MIN(E83:AK83)&lt;17,IsSecSiteActive())),GetServer(MATCH(MIN(E83:AK83),E83:AK83,0)),"FAILED"))</f>
        <v>SRV-nn-07</v>
      </c>
      <c r="E83" s="891"/>
      <c r="F83" s="891"/>
      <c r="G83" s="891">
        <v>3</v>
      </c>
      <c r="H83" s="891">
        <v>4</v>
      </c>
      <c r="V83" s="891"/>
      <c r="W83" s="891"/>
      <c r="X83" s="891">
        <v>1</v>
      </c>
      <c r="Y83" s="891">
        <v>2</v>
      </c>
      <c r="AN83" s="271"/>
    </row>
    <row r="84" spans="1:40" ht="12.75" customHeight="1" thickBot="1" x14ac:dyDescent="0.25">
      <c r="A84" s="1087"/>
      <c r="B84" s="1178"/>
      <c r="C84" s="888" t="s">
        <v>1939</v>
      </c>
      <c r="D84" s="889" t="str">
        <f>IF(OR(DAGQuroumStatus="DAG Quorum Failed",ISNA(MATCH(MIN(E84:AK84),E84:AK84,0))),"FAILED", IF(OR(MATCH(MIN(E84:AK84),E84:AK84,0)&lt;17,AND(MIN(E84:AK84)&lt;17,IsSecSiteActive())),GetServer(MATCH(MIN(E84:AK84),E84:AK84,0)),"FAILED"))</f>
        <v>SRV-nn-08</v>
      </c>
      <c r="E84" s="891">
        <v>4</v>
      </c>
      <c r="F84" s="891"/>
      <c r="G84" s="891"/>
      <c r="H84" s="891">
        <v>3</v>
      </c>
      <c r="V84" s="891">
        <v>2</v>
      </c>
      <c r="W84" s="891"/>
      <c r="X84" s="891"/>
      <c r="Y84" s="891">
        <v>1</v>
      </c>
      <c r="AN84" s="271"/>
    </row>
    <row r="85" spans="1:40" ht="12.75" customHeight="1" x14ac:dyDescent="0.2">
      <c r="A85" s="1087"/>
      <c r="B85" s="1177" t="s">
        <v>1866</v>
      </c>
      <c r="C85" s="888" t="s">
        <v>1940</v>
      </c>
      <c r="D85" s="889" t="str">
        <f>IF(OR(DAGQuroumStatus="DAG Quorum Failed",ISNA(MATCH(MIN(E85:AK85),E85:AK85,0))),"FAILED", IF(OR(MATCH(MIN(E85:AK85),E85:AK85,0)&lt;17,AND(MIN(E85:AK85)&lt;17,IsSecSiteActive())),GetServer(MATCH(MIN(E85:AK85),E85:AK85,0)),"FAILED"))</f>
        <v>SRV-nn-01</v>
      </c>
      <c r="E85" s="891">
        <v>1</v>
      </c>
      <c r="F85" s="891"/>
      <c r="G85" s="891">
        <v>2</v>
      </c>
      <c r="H85" s="891"/>
      <c r="I85" s="886"/>
      <c r="J85" s="886"/>
      <c r="K85" s="886"/>
      <c r="L85" s="886"/>
      <c r="M85" s="886"/>
      <c r="N85" s="886"/>
      <c r="O85" s="886"/>
      <c r="P85" s="886"/>
      <c r="Q85" s="886"/>
      <c r="R85" s="886"/>
      <c r="S85" s="886"/>
      <c r="T85" s="886"/>
      <c r="U85" s="886"/>
      <c r="V85" s="891">
        <v>3</v>
      </c>
      <c r="W85" s="891"/>
      <c r="X85" s="891">
        <v>4</v>
      </c>
      <c r="Y85" s="891"/>
      <c r="Z85" s="886"/>
      <c r="AA85" s="886"/>
      <c r="AB85" s="886"/>
      <c r="AC85" s="886"/>
      <c r="AD85" s="886"/>
      <c r="AE85" s="886"/>
      <c r="AF85" s="886"/>
      <c r="AG85" s="886"/>
      <c r="AH85" s="886"/>
      <c r="AI85" s="886"/>
      <c r="AJ85" s="886"/>
      <c r="AK85" s="886"/>
      <c r="AL85" s="886"/>
      <c r="AM85" s="886"/>
      <c r="AN85" s="271"/>
    </row>
    <row r="86" spans="1:40" ht="12.75" customHeight="1" x14ac:dyDescent="0.2">
      <c r="A86" s="1087"/>
      <c r="B86" s="1178"/>
      <c r="C86" s="888" t="s">
        <v>1941</v>
      </c>
      <c r="D86" s="889" t="str">
        <f>IF(OR(DAGQuroumStatus="DAG Quorum Failed",ISNA(MATCH(MIN(E86:AK86),E86:AK86,0))),"FAILED", IF(OR(MATCH(MIN(E86:AK86),E86:AK86,0)&lt;17,AND(MIN(E86:AK86)&lt;17,IsSecSiteActive())),GetServer(MATCH(MIN(E86:AK86),E86:AK86,0)),"FAILED"))</f>
        <v>SRV-nn-02</v>
      </c>
      <c r="E86" s="891"/>
      <c r="F86" s="891">
        <v>1</v>
      </c>
      <c r="G86" s="891"/>
      <c r="H86" s="891">
        <v>2</v>
      </c>
      <c r="V86" s="891"/>
      <c r="W86" s="891">
        <v>3</v>
      </c>
      <c r="X86" s="891"/>
      <c r="Y86" s="891">
        <v>4</v>
      </c>
      <c r="AN86" s="271"/>
    </row>
    <row r="87" spans="1:40" ht="12.75" customHeight="1" x14ac:dyDescent="0.2">
      <c r="A87" s="1087"/>
      <c r="B87" s="1178"/>
      <c r="C87" s="888" t="s">
        <v>1942</v>
      </c>
      <c r="D87" s="889" t="str">
        <f>IF(OR(DAGQuroumStatus="DAG Quorum Failed",ISNA(MATCH(MIN(E87:AK87),E87:AK87,0))),"FAILED", IF(OR(MATCH(MIN(E87:AK87),E87:AK87,0)&lt;17,AND(MIN(E87:AK87)&lt;17,IsSecSiteActive())),GetServer(MATCH(MIN(E87:AK87),E87:AK87,0)),"FAILED"))</f>
        <v>SRV-nn-03</v>
      </c>
      <c r="E87" s="891">
        <v>2</v>
      </c>
      <c r="F87" s="891"/>
      <c r="G87" s="891">
        <v>1</v>
      </c>
      <c r="H87" s="891"/>
      <c r="V87" s="891">
        <v>4</v>
      </c>
      <c r="W87" s="891"/>
      <c r="X87" s="891">
        <v>3</v>
      </c>
      <c r="Y87" s="891"/>
      <c r="AN87" s="271"/>
    </row>
    <row r="88" spans="1:40" x14ac:dyDescent="0.2">
      <c r="A88" s="1087"/>
      <c r="B88" s="1178"/>
      <c r="C88" s="888" t="s">
        <v>1943</v>
      </c>
      <c r="D88" s="889" t="str">
        <f>IF(OR(DAGQuroumStatus="DAG Quorum Failed",ISNA(MATCH(MIN(E88:AK88),E88:AK88,0))),"FAILED", IF(OR(MATCH(MIN(E88:AK88),E88:AK88,0)&lt;17,AND(MIN(E88:AK88)&lt;17,IsSecSiteActive())),GetServer(MATCH(MIN(E88:AK88),E88:AK88,0)),"FAILED"))</f>
        <v>SRV-nn-04</v>
      </c>
      <c r="E88" s="891"/>
      <c r="F88" s="891">
        <v>2</v>
      </c>
      <c r="G88" s="891"/>
      <c r="H88" s="891">
        <v>1</v>
      </c>
      <c r="V88" s="891"/>
      <c r="W88" s="891">
        <v>4</v>
      </c>
      <c r="X88" s="891"/>
      <c r="Y88" s="891">
        <v>3</v>
      </c>
      <c r="AN88" s="271"/>
    </row>
    <row r="89" spans="1:40" ht="12.75" customHeight="1" x14ac:dyDescent="0.2">
      <c r="A89" s="1087"/>
      <c r="B89" s="1178"/>
      <c r="C89" s="888" t="s">
        <v>1944</v>
      </c>
      <c r="D89" s="889" t="str">
        <f>IF(OR(DAGQuroumStatus="DAG Quorum Failed",ISNA(MATCH(MIN(E89:AK89),E89:AK89,0))),"FAILED", IF(OR(MATCH(MIN(E89:AK89),E89:AK89,0)&lt;17,AND(MIN(E89:AK89)&lt;17,IsSecSiteActive())),GetServer(MATCH(MIN(E89:AK89),E89:AK89,0)),"FAILED"))</f>
        <v>SRV-nn-05</v>
      </c>
      <c r="E89" s="891">
        <v>3</v>
      </c>
      <c r="F89" s="891"/>
      <c r="G89" s="891"/>
      <c r="H89" s="891">
        <v>4</v>
      </c>
      <c r="V89" s="891">
        <v>1</v>
      </c>
      <c r="W89" s="891"/>
      <c r="X89" s="891"/>
      <c r="Y89" s="891">
        <v>2</v>
      </c>
      <c r="AN89" s="271"/>
    </row>
    <row r="90" spans="1:40" x14ac:dyDescent="0.2">
      <c r="A90" s="1087"/>
      <c r="B90" s="1178"/>
      <c r="C90" s="888" t="s">
        <v>1945</v>
      </c>
      <c r="D90" s="889" t="str">
        <f>IF(OR(DAGQuroumStatus="DAG Quorum Failed",ISNA(MATCH(MIN(E90:AK90),E90:AK90,0))),"FAILED", IF(OR(MATCH(MIN(E90:AK90),E90:AK90,0)&lt;17,AND(MIN(E90:AK90)&lt;17,IsSecSiteActive())),GetServer(MATCH(MIN(E90:AK90),E90:AK90,0)),"FAILED"))</f>
        <v>SRV-nn-06</v>
      </c>
      <c r="E90" s="891">
        <v>4</v>
      </c>
      <c r="F90" s="891">
        <v>3</v>
      </c>
      <c r="G90" s="891"/>
      <c r="H90" s="891"/>
      <c r="V90" s="891">
        <v>2</v>
      </c>
      <c r="W90" s="891">
        <v>1</v>
      </c>
      <c r="X90" s="891"/>
      <c r="Y90" s="891"/>
      <c r="AN90" s="271"/>
    </row>
    <row r="91" spans="1:40" ht="12.75" customHeight="1" x14ac:dyDescent="0.2">
      <c r="A91" s="1087"/>
      <c r="B91" s="1178"/>
      <c r="C91" s="888" t="s">
        <v>1946</v>
      </c>
      <c r="D91" s="889" t="str">
        <f>IF(OR(DAGQuroumStatus="DAG Quorum Failed",ISNA(MATCH(MIN(E91:AK91),E91:AK91,0))),"FAILED", IF(OR(MATCH(MIN(E91:AK91),E91:AK91,0)&lt;17,AND(MIN(E91:AK91)&lt;17,IsSecSiteActive())),GetServer(MATCH(MIN(E91:AK91),E91:AK91,0)),"FAILED"))</f>
        <v>SRV-nn-07</v>
      </c>
      <c r="E91" s="891"/>
      <c r="F91" s="891">
        <v>4</v>
      </c>
      <c r="G91" s="891">
        <v>3</v>
      </c>
      <c r="H91" s="891"/>
      <c r="V91" s="891"/>
      <c r="W91" s="891">
        <v>2</v>
      </c>
      <c r="X91" s="891">
        <v>1</v>
      </c>
      <c r="Y91" s="891"/>
      <c r="AN91" s="271"/>
    </row>
    <row r="92" spans="1:40" ht="12.75" customHeight="1" x14ac:dyDescent="0.2">
      <c r="A92" s="1087"/>
      <c r="B92" s="1178"/>
      <c r="C92" s="888" t="s">
        <v>1947</v>
      </c>
      <c r="D92" s="889" t="str">
        <f>IF(OR(DAGQuroumStatus="DAG Quorum Failed",ISNA(MATCH(MIN(E92:AK92),E92:AK92,0))),"FAILED", IF(OR(MATCH(MIN(E92:AK92),E92:AK92,0)&lt;17,AND(MIN(E92:AK92)&lt;17,IsSecSiteActive())),GetServer(MATCH(MIN(E92:AK92),E92:AK92,0)),"FAILED"))</f>
        <v>SRV-nn-08</v>
      </c>
      <c r="E92" s="891"/>
      <c r="F92" s="891"/>
      <c r="G92" s="891">
        <v>4</v>
      </c>
      <c r="H92" s="891">
        <v>3</v>
      </c>
      <c r="V92" s="891"/>
      <c r="W92" s="891"/>
      <c r="X92" s="891">
        <v>2</v>
      </c>
      <c r="Y92" s="891">
        <v>1</v>
      </c>
      <c r="AN92" s="271"/>
    </row>
    <row r="93" spans="1:40" ht="12.75" customHeight="1" thickBot="1" x14ac:dyDescent="0.25">
      <c r="B93" s="1085"/>
      <c r="C93" s="897"/>
      <c r="D93" s="897"/>
      <c r="E93" s="897"/>
      <c r="F93" s="897"/>
      <c r="G93" s="897"/>
      <c r="H93" s="897"/>
      <c r="I93" s="897"/>
      <c r="J93" s="897"/>
      <c r="K93" s="897"/>
      <c r="L93" s="897"/>
      <c r="M93" s="897"/>
      <c r="N93" s="897"/>
      <c r="O93" s="897"/>
      <c r="P93" s="897"/>
      <c r="Q93" s="897"/>
      <c r="R93" s="897"/>
      <c r="S93" s="897"/>
      <c r="T93" s="897"/>
      <c r="U93" s="897"/>
      <c r="V93" s="897"/>
      <c r="W93" s="897"/>
      <c r="X93" s="897"/>
      <c r="Y93" s="897"/>
      <c r="Z93" s="897"/>
      <c r="AA93" s="897"/>
      <c r="AB93" s="897"/>
      <c r="AC93" s="897"/>
      <c r="AD93" s="897"/>
      <c r="AE93" s="897"/>
      <c r="AF93" s="897"/>
      <c r="AG93" s="897"/>
      <c r="AH93" s="897"/>
      <c r="AI93" s="897"/>
      <c r="AJ93" s="897"/>
      <c r="AK93" s="897"/>
      <c r="AL93" s="897"/>
      <c r="AM93" s="911"/>
    </row>
    <row r="94" spans="1:40" x14ac:dyDescent="0.2">
      <c r="B94" s="907"/>
    </row>
    <row r="95" spans="1:40" ht="12.75" customHeight="1" x14ac:dyDescent="0.2">
      <c r="B95" s="907"/>
    </row>
    <row r="96" spans="1:40" x14ac:dyDescent="0.2">
      <c r="B96" s="907"/>
    </row>
    <row r="97" spans="2:2" ht="12.75" customHeight="1" x14ac:dyDescent="0.2">
      <c r="B97" s="907"/>
    </row>
    <row r="98" spans="2:2" ht="12.75" customHeight="1" x14ac:dyDescent="0.2">
      <c r="B98" s="907"/>
    </row>
    <row r="99" spans="2:2" ht="12.75" customHeight="1" x14ac:dyDescent="0.2">
      <c r="B99" s="907"/>
    </row>
    <row r="100" spans="2:2" x14ac:dyDescent="0.2">
      <c r="B100" s="907"/>
    </row>
    <row r="101" spans="2:2" ht="12.75" customHeight="1" x14ac:dyDescent="0.2">
      <c r="B101" s="907"/>
    </row>
    <row r="102" spans="2:2" x14ac:dyDescent="0.2">
      <c r="B102" s="907"/>
    </row>
    <row r="103" spans="2:2" ht="12.75" customHeight="1" x14ac:dyDescent="0.2">
      <c r="B103" s="907"/>
    </row>
    <row r="104" spans="2:2" ht="12.75" customHeight="1" x14ac:dyDescent="0.2">
      <c r="B104" s="907"/>
    </row>
    <row r="105" spans="2:2" ht="12.75" customHeight="1" x14ac:dyDescent="0.2">
      <c r="B105" s="907"/>
    </row>
    <row r="106" spans="2:2" x14ac:dyDescent="0.2">
      <c r="B106" s="907"/>
    </row>
    <row r="107" spans="2:2" ht="12.75" customHeight="1" x14ac:dyDescent="0.2">
      <c r="B107" s="907"/>
    </row>
    <row r="108" spans="2:2" x14ac:dyDescent="0.2">
      <c r="B108" s="907"/>
    </row>
    <row r="109" spans="2:2" ht="12.75" customHeight="1" x14ac:dyDescent="0.2">
      <c r="B109" s="907"/>
    </row>
    <row r="110" spans="2:2" ht="12.75" customHeight="1" x14ac:dyDescent="0.2">
      <c r="B110" s="907"/>
    </row>
    <row r="111" spans="2:2" ht="12.75" customHeight="1" x14ac:dyDescent="0.2">
      <c r="B111" s="907"/>
    </row>
    <row r="112" spans="2:2" ht="12.75" customHeight="1" x14ac:dyDescent="0.2">
      <c r="B112" s="907"/>
    </row>
    <row r="113" spans="2:2" ht="12.75" customHeight="1" x14ac:dyDescent="0.2">
      <c r="B113" s="907"/>
    </row>
    <row r="114" spans="2:2" x14ac:dyDescent="0.2">
      <c r="B114" s="907"/>
    </row>
    <row r="115" spans="2:2" ht="12.75" customHeight="1" x14ac:dyDescent="0.2">
      <c r="B115" s="907"/>
    </row>
    <row r="116" spans="2:2" ht="12.75" customHeight="1" x14ac:dyDescent="0.2">
      <c r="B116" s="907"/>
    </row>
    <row r="117" spans="2:2" ht="12.75" customHeight="1" x14ac:dyDescent="0.2">
      <c r="B117" s="907"/>
    </row>
    <row r="118" spans="2:2" x14ac:dyDescent="0.2">
      <c r="B118" s="907"/>
    </row>
    <row r="119" spans="2:2" ht="12.75" customHeight="1" x14ac:dyDescent="0.2">
      <c r="B119" s="907"/>
    </row>
    <row r="120" spans="2:2" x14ac:dyDescent="0.2">
      <c r="B120" s="907"/>
    </row>
    <row r="121" spans="2:2" ht="12.75" customHeight="1" x14ac:dyDescent="0.2">
      <c r="B121" s="907"/>
    </row>
    <row r="122" spans="2:2" ht="12.75" customHeight="1" x14ac:dyDescent="0.2">
      <c r="B122" s="907"/>
    </row>
    <row r="123" spans="2:2" ht="12.75" customHeight="1" x14ac:dyDescent="0.2">
      <c r="B123" s="907"/>
    </row>
    <row r="124" spans="2:2" x14ac:dyDescent="0.2">
      <c r="B124" s="907"/>
    </row>
    <row r="125" spans="2:2" ht="12.75" customHeight="1" x14ac:dyDescent="0.2">
      <c r="B125" s="907"/>
    </row>
    <row r="126" spans="2:2" ht="12.75" customHeight="1" x14ac:dyDescent="0.2">
      <c r="B126" s="907"/>
    </row>
    <row r="127" spans="2:2" ht="12.75" customHeight="1" x14ac:dyDescent="0.2">
      <c r="B127" s="907"/>
    </row>
    <row r="128" spans="2:2" ht="12.75" customHeight="1" x14ac:dyDescent="0.2">
      <c r="B128" s="907"/>
    </row>
    <row r="129" spans="2:2" ht="12.75" customHeight="1" x14ac:dyDescent="0.2">
      <c r="B129" s="907"/>
    </row>
    <row r="130" spans="2:2" x14ac:dyDescent="0.2">
      <c r="B130" s="907"/>
    </row>
    <row r="131" spans="2:2" ht="12.75" customHeight="1" x14ac:dyDescent="0.2">
      <c r="B131" s="907"/>
    </row>
    <row r="132" spans="2:2" x14ac:dyDescent="0.2">
      <c r="B132" s="907"/>
    </row>
    <row r="133" spans="2:2" ht="12.75" customHeight="1" x14ac:dyDescent="0.2">
      <c r="B133" s="907"/>
    </row>
    <row r="134" spans="2:2" x14ac:dyDescent="0.2">
      <c r="B134" s="907"/>
    </row>
    <row r="135" spans="2:2" ht="12.75" customHeight="1" x14ac:dyDescent="0.2">
      <c r="B135" s="907"/>
    </row>
    <row r="136" spans="2:2" x14ac:dyDescent="0.2">
      <c r="B136" s="907"/>
    </row>
    <row r="137" spans="2:2" ht="12.75" customHeight="1" x14ac:dyDescent="0.2">
      <c r="B137" s="907"/>
    </row>
    <row r="138" spans="2:2" x14ac:dyDescent="0.2">
      <c r="B138" s="907"/>
    </row>
    <row r="139" spans="2:2" ht="12.75" customHeight="1" x14ac:dyDescent="0.2">
      <c r="B139" s="907"/>
    </row>
    <row r="140" spans="2:2" x14ac:dyDescent="0.2">
      <c r="B140" s="907"/>
    </row>
    <row r="141" spans="2:2" ht="12.75" customHeight="1" x14ac:dyDescent="0.2">
      <c r="B141" s="907"/>
    </row>
    <row r="142" spans="2:2" x14ac:dyDescent="0.2">
      <c r="B142" s="907"/>
    </row>
    <row r="143" spans="2:2" ht="12.75" customHeight="1" x14ac:dyDescent="0.2">
      <c r="B143" s="907"/>
    </row>
    <row r="144" spans="2:2" x14ac:dyDescent="0.2">
      <c r="B144" s="907"/>
    </row>
    <row r="145" spans="2:2" ht="12.75" customHeight="1" x14ac:dyDescent="0.2">
      <c r="B145" s="907"/>
    </row>
    <row r="146" spans="2:2" x14ac:dyDescent="0.2">
      <c r="B146" s="907"/>
    </row>
    <row r="147" spans="2:2" ht="12.75" customHeight="1" x14ac:dyDescent="0.2">
      <c r="B147" s="907"/>
    </row>
    <row r="148" spans="2:2" x14ac:dyDescent="0.2">
      <c r="B148" s="907"/>
    </row>
    <row r="149" spans="2:2" ht="12.75" customHeight="1" x14ac:dyDescent="0.2">
      <c r="B149" s="907"/>
    </row>
    <row r="150" spans="2:2" x14ac:dyDescent="0.2">
      <c r="B150" s="907"/>
    </row>
    <row r="151" spans="2:2" ht="12.75" customHeight="1" x14ac:dyDescent="0.2">
      <c r="B151" s="907"/>
    </row>
    <row r="152" spans="2:2" x14ac:dyDescent="0.2">
      <c r="B152" s="907"/>
    </row>
    <row r="153" spans="2:2" ht="12.75" customHeight="1" x14ac:dyDescent="0.2">
      <c r="B153" s="907"/>
    </row>
    <row r="154" spans="2:2" x14ac:dyDescent="0.2">
      <c r="B154" s="907"/>
    </row>
    <row r="155" spans="2:2" ht="12.75" customHeight="1" x14ac:dyDescent="0.2">
      <c r="B155" s="907"/>
    </row>
    <row r="156" spans="2:2" x14ac:dyDescent="0.2">
      <c r="B156" s="907"/>
    </row>
    <row r="157" spans="2:2" ht="12.75" customHeight="1" x14ac:dyDescent="0.2">
      <c r="B157" s="907"/>
    </row>
    <row r="158" spans="2:2" x14ac:dyDescent="0.2">
      <c r="B158" s="907"/>
    </row>
    <row r="159" spans="2:2" ht="12.75" customHeight="1" x14ac:dyDescent="0.2">
      <c r="B159" s="907"/>
    </row>
    <row r="160" spans="2:2" x14ac:dyDescent="0.2">
      <c r="B160" s="907"/>
    </row>
    <row r="161" spans="2:2" ht="12.75" customHeight="1" x14ac:dyDescent="0.2">
      <c r="B161" s="907"/>
    </row>
    <row r="162" spans="2:2" x14ac:dyDescent="0.2">
      <c r="B162" s="907"/>
    </row>
    <row r="163" spans="2:2" ht="12.75" customHeight="1" x14ac:dyDescent="0.2">
      <c r="B163" s="907"/>
    </row>
    <row r="164" spans="2:2" x14ac:dyDescent="0.2">
      <c r="B164" s="907"/>
    </row>
    <row r="165" spans="2:2" ht="12.75" customHeight="1" x14ac:dyDescent="0.2">
      <c r="B165" s="907"/>
    </row>
    <row r="166" spans="2:2" x14ac:dyDescent="0.2">
      <c r="B166" s="907"/>
    </row>
    <row r="167" spans="2:2" ht="12.75" customHeight="1" x14ac:dyDescent="0.2">
      <c r="B167" s="907"/>
    </row>
    <row r="168" spans="2:2" x14ac:dyDescent="0.2">
      <c r="B168" s="907"/>
    </row>
    <row r="169" spans="2:2" ht="12.75" customHeight="1" x14ac:dyDescent="0.2">
      <c r="B169" s="907"/>
    </row>
    <row r="170" spans="2:2" x14ac:dyDescent="0.2">
      <c r="B170" s="907"/>
    </row>
    <row r="171" spans="2:2" ht="12.75" customHeight="1" x14ac:dyDescent="0.2">
      <c r="B171" s="907"/>
    </row>
    <row r="172" spans="2:2" x14ac:dyDescent="0.2">
      <c r="B172" s="907"/>
    </row>
    <row r="173" spans="2:2" ht="12.75" customHeight="1" x14ac:dyDescent="0.2">
      <c r="B173" s="907"/>
    </row>
    <row r="174" spans="2:2" x14ac:dyDescent="0.2">
      <c r="B174" s="907"/>
    </row>
    <row r="175" spans="2:2" ht="12.75" customHeight="1" x14ac:dyDescent="0.2">
      <c r="B175" s="907"/>
    </row>
    <row r="176" spans="2:2" x14ac:dyDescent="0.2">
      <c r="B176" s="907"/>
    </row>
    <row r="177" spans="2:2" ht="12.75" customHeight="1" x14ac:dyDescent="0.2">
      <c r="B177" s="907"/>
    </row>
    <row r="178" spans="2:2" x14ac:dyDescent="0.2">
      <c r="B178" s="907"/>
    </row>
    <row r="179" spans="2:2" ht="12.75" customHeight="1" x14ac:dyDescent="0.2">
      <c r="B179" s="907"/>
    </row>
    <row r="180" spans="2:2" x14ac:dyDescent="0.2">
      <c r="B180" s="907"/>
    </row>
    <row r="181" spans="2:2" ht="12.75" customHeight="1" x14ac:dyDescent="0.2">
      <c r="B181" s="907"/>
    </row>
    <row r="182" spans="2:2" x14ac:dyDescent="0.2">
      <c r="B182" s="907"/>
    </row>
    <row r="183" spans="2:2" x14ac:dyDescent="0.2">
      <c r="B183" s="907"/>
    </row>
    <row r="184" spans="2:2" x14ac:dyDescent="0.2">
      <c r="B184" s="907"/>
    </row>
    <row r="185" spans="2:2" x14ac:dyDescent="0.2">
      <c r="B185" s="907"/>
    </row>
    <row r="186" spans="2:2" x14ac:dyDescent="0.2">
      <c r="B186" s="907"/>
    </row>
    <row r="187" spans="2:2" x14ac:dyDescent="0.2">
      <c r="B187" s="907"/>
    </row>
    <row r="188" spans="2:2" x14ac:dyDescent="0.2">
      <c r="B188" s="907"/>
    </row>
    <row r="189" spans="2:2" ht="12.75" customHeight="1" x14ac:dyDescent="0.2">
      <c r="B189" s="907"/>
    </row>
    <row r="190" spans="2:2" x14ac:dyDescent="0.2">
      <c r="B190" s="907"/>
    </row>
    <row r="191" spans="2:2" x14ac:dyDescent="0.2">
      <c r="B191" s="907"/>
    </row>
    <row r="192" spans="2:2" x14ac:dyDescent="0.2">
      <c r="B192" s="907"/>
    </row>
    <row r="193" spans="2:2" x14ac:dyDescent="0.2">
      <c r="B193" s="907"/>
    </row>
    <row r="194" spans="2:2" x14ac:dyDescent="0.2">
      <c r="B194" s="907"/>
    </row>
    <row r="195" spans="2:2" x14ac:dyDescent="0.2">
      <c r="B195" s="907"/>
    </row>
    <row r="196" spans="2:2" x14ac:dyDescent="0.2">
      <c r="B196" s="907"/>
    </row>
    <row r="197" spans="2:2" ht="12.75" customHeight="1" x14ac:dyDescent="0.2">
      <c r="B197" s="907"/>
    </row>
    <row r="198" spans="2:2" x14ac:dyDescent="0.2">
      <c r="B198" s="907"/>
    </row>
    <row r="199" spans="2:2" x14ac:dyDescent="0.2">
      <c r="B199" s="907"/>
    </row>
    <row r="200" spans="2:2" x14ac:dyDescent="0.2">
      <c r="B200" s="907"/>
    </row>
    <row r="201" spans="2:2" x14ac:dyDescent="0.2">
      <c r="B201" s="907"/>
    </row>
    <row r="202" spans="2:2" x14ac:dyDescent="0.2">
      <c r="B202" s="907"/>
    </row>
    <row r="203" spans="2:2" x14ac:dyDescent="0.2">
      <c r="B203" s="907"/>
    </row>
    <row r="204" spans="2:2" x14ac:dyDescent="0.2">
      <c r="B204" s="907"/>
    </row>
    <row r="205" spans="2:2" ht="12.75" customHeight="1" x14ac:dyDescent="0.2">
      <c r="B205" s="907"/>
    </row>
    <row r="206" spans="2:2" x14ac:dyDescent="0.2">
      <c r="B206" s="907"/>
    </row>
    <row r="207" spans="2:2" x14ac:dyDescent="0.2">
      <c r="B207" s="907"/>
    </row>
    <row r="208" spans="2:2" x14ac:dyDescent="0.2">
      <c r="B208" s="907"/>
    </row>
    <row r="209" spans="2:2" x14ac:dyDescent="0.2">
      <c r="B209" s="907"/>
    </row>
    <row r="210" spans="2:2" x14ac:dyDescent="0.2">
      <c r="B210" s="907"/>
    </row>
    <row r="211" spans="2:2" x14ac:dyDescent="0.2">
      <c r="B211" s="907"/>
    </row>
    <row r="212" spans="2:2" x14ac:dyDescent="0.2">
      <c r="B212" s="907"/>
    </row>
    <row r="213" spans="2:2" ht="13.9" customHeight="1" x14ac:dyDescent="0.2">
      <c r="B213" s="907"/>
    </row>
    <row r="214" spans="2:2" x14ac:dyDescent="0.2">
      <c r="B214" s="907"/>
    </row>
    <row r="215" spans="2:2" x14ac:dyDescent="0.2">
      <c r="B215" s="907"/>
    </row>
    <row r="216" spans="2:2" x14ac:dyDescent="0.2">
      <c r="B216" s="907"/>
    </row>
    <row r="217" spans="2:2" x14ac:dyDescent="0.2">
      <c r="B217" s="907"/>
    </row>
    <row r="218" spans="2:2" x14ac:dyDescent="0.2">
      <c r="B218" s="907"/>
    </row>
    <row r="219" spans="2:2" x14ac:dyDescent="0.2">
      <c r="B219" s="907"/>
    </row>
    <row r="220" spans="2:2" x14ac:dyDescent="0.2">
      <c r="B220" s="907"/>
    </row>
    <row r="221" spans="2:2" x14ac:dyDescent="0.2">
      <c r="B221" s="907"/>
    </row>
    <row r="222" spans="2:2" x14ac:dyDescent="0.2">
      <c r="B222" s="907"/>
    </row>
    <row r="223" spans="2:2" x14ac:dyDescent="0.2">
      <c r="B223" s="907"/>
    </row>
    <row r="224" spans="2:2" x14ac:dyDescent="0.2">
      <c r="B224" s="907"/>
    </row>
    <row r="225" spans="2:2" x14ac:dyDescent="0.2">
      <c r="B225" s="907"/>
    </row>
    <row r="226" spans="2:2" x14ac:dyDescent="0.2">
      <c r="B226" s="907"/>
    </row>
    <row r="227" spans="2:2" x14ac:dyDescent="0.2">
      <c r="B227" s="907"/>
    </row>
    <row r="228" spans="2:2" x14ac:dyDescent="0.2">
      <c r="B228" s="907"/>
    </row>
    <row r="229" spans="2:2" ht="13.9" customHeight="1" x14ac:dyDescent="0.2">
      <c r="B229" s="907"/>
    </row>
    <row r="230" spans="2:2" x14ac:dyDescent="0.2">
      <c r="B230" s="907"/>
    </row>
    <row r="231" spans="2:2" x14ac:dyDescent="0.2">
      <c r="B231" s="907"/>
    </row>
    <row r="232" spans="2:2" x14ac:dyDescent="0.2">
      <c r="B232" s="907"/>
    </row>
    <row r="233" spans="2:2" x14ac:dyDescent="0.2">
      <c r="B233" s="907"/>
    </row>
    <row r="234" spans="2:2" x14ac:dyDescent="0.2">
      <c r="B234" s="907"/>
    </row>
    <row r="235" spans="2:2" x14ac:dyDescent="0.2">
      <c r="B235" s="907"/>
    </row>
    <row r="236" spans="2:2" x14ac:dyDescent="0.2">
      <c r="B236" s="907"/>
    </row>
    <row r="237" spans="2:2" x14ac:dyDescent="0.2">
      <c r="B237" s="907"/>
    </row>
    <row r="238" spans="2:2" x14ac:dyDescent="0.2">
      <c r="B238" s="907"/>
    </row>
    <row r="239" spans="2:2" x14ac:dyDescent="0.2">
      <c r="B239" s="907"/>
    </row>
    <row r="240" spans="2:2" x14ac:dyDescent="0.2">
      <c r="B240" s="907"/>
    </row>
    <row r="241" spans="2:2" x14ac:dyDescent="0.2">
      <c r="B241" s="907"/>
    </row>
    <row r="242" spans="2:2" x14ac:dyDescent="0.2">
      <c r="B242" s="907"/>
    </row>
    <row r="243" spans="2:2" x14ac:dyDescent="0.2">
      <c r="B243" s="907"/>
    </row>
    <row r="244" spans="2:2" x14ac:dyDescent="0.2">
      <c r="B244" s="907"/>
    </row>
  </sheetData>
  <dataConsolidate/>
  <mergeCells count="11">
    <mergeCell ref="B45:B52"/>
    <mergeCell ref="J3:K6"/>
    <mergeCell ref="C8:AI8"/>
    <mergeCell ref="B21:B28"/>
    <mergeCell ref="B29:B36"/>
    <mergeCell ref="B37:B44"/>
    <mergeCell ref="B53:B60"/>
    <mergeCell ref="B61:B68"/>
    <mergeCell ref="B69:B76"/>
    <mergeCell ref="B77:B84"/>
    <mergeCell ref="B85:B92"/>
  </mergeCells>
  <conditionalFormatting sqref="E21:T1621 V21:AK1621">
    <cfRule type="cellIs" dxfId="18" priority="19" stopIfTrue="1" operator="equal">
      <formula>1</formula>
    </cfRule>
    <cfRule type="cellIs" dxfId="17" priority="18" stopIfTrue="1" operator="equal">
      <formula>2</formula>
    </cfRule>
    <cfRule type="cellIs" dxfId="16" priority="17" stopIfTrue="1" operator="equal">
      <formula>3</formula>
    </cfRule>
    <cfRule type="cellIs" dxfId="15" priority="16" stopIfTrue="1" operator="equal">
      <formula>4</formula>
    </cfRule>
    <cfRule type="cellIs" dxfId="14" priority="15" stopIfTrue="1" operator="equal">
      <formula>5</formula>
    </cfRule>
    <cfRule type="cellIs" dxfId="13" priority="14" stopIfTrue="1" operator="equal">
      <formula>6</formula>
    </cfRule>
    <cfRule type="cellIs" dxfId="12" priority="13" stopIfTrue="1" operator="equal">
      <formula>7</formula>
    </cfRule>
    <cfRule type="cellIs" dxfId="11" priority="12" stopIfTrue="1" operator="equal">
      <formula>8</formula>
    </cfRule>
    <cfRule type="cellIs" dxfId="10" priority="11" stopIfTrue="1" operator="equal">
      <formula>9</formula>
    </cfRule>
    <cfRule type="cellIs" dxfId="9" priority="10" stopIfTrue="1" operator="equal">
      <formula>10</formula>
    </cfRule>
    <cfRule type="cellIs" dxfId="8" priority="9" stopIfTrue="1" operator="equal">
      <formula>11</formula>
    </cfRule>
    <cfRule type="cellIs" dxfId="7" priority="8" stopIfTrue="1" operator="equal">
      <formula>12</formula>
    </cfRule>
    <cfRule type="cellIs" dxfId="6" priority="7" stopIfTrue="1" operator="equal">
      <formula>13</formula>
    </cfRule>
    <cfRule type="cellIs" dxfId="5" priority="6" stopIfTrue="1" operator="equal">
      <formula>14</formula>
    </cfRule>
    <cfRule type="cellIs" dxfId="4" priority="5" stopIfTrue="1" operator="equal">
      <formula>15</formula>
    </cfRule>
    <cfRule type="cellIs" dxfId="3" priority="4" stopIfTrue="1" operator="equal">
      <formula>16</formula>
    </cfRule>
  </conditionalFormatting>
  <conditionalFormatting sqref="D21:D1621">
    <cfRule type="cellIs" dxfId="2" priority="3" stopIfTrue="1" operator="equal">
      <formula>"FAILED"</formula>
    </cfRule>
  </conditionalFormatting>
  <conditionalFormatting sqref="D16">
    <cfRule type="expression" dxfId="1" priority="2" stopIfTrue="1">
      <formula>IF(SUM(E19:AK19)&lt;72,1,0)</formula>
    </cfRule>
  </conditionalFormatting>
  <conditionalFormatting sqref="C8">
    <cfRule type="expression" dxfId="0" priority="1" stopIfTrue="1">
      <formula>IF(OR(ValidationCheck,FailureDomainCheck),1,0)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8</xdr:col>
                    <xdr:colOff>0</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0</xdr:colOff>
                    <xdr:row>4</xdr:row>
                    <xdr:rowOff>47625</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0</xdr:colOff>
                    <xdr:row>5</xdr:row>
                    <xdr:rowOff>47625</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16</xdr:col>
                    <xdr:colOff>0</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0</xdr:colOff>
                    <xdr:row>4</xdr:row>
                    <xdr:rowOff>47625</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0</xdr:colOff>
                    <xdr:row>5</xdr:row>
                    <xdr:rowOff>47625</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0</xdr:colOff>
                    <xdr:row>4</xdr:row>
                    <xdr:rowOff>47625</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294615" r:id="rId17" name="Server 1">
              <controlPr defaultSize="0" print="0" autoFill="0" autoPict="0" macro="[0]!'FailServer &quot;E&quot;'">
                <anchor moveWithCells="1" sizeWithCells="1">
                  <from>
                    <xdr:col>4</xdr:col>
                    <xdr:colOff>0</xdr:colOff>
                    <xdr:row>11</xdr:row>
                    <xdr:rowOff>0</xdr:rowOff>
                  </from>
                  <to>
                    <xdr:col>5</xdr:col>
                    <xdr:colOff>0</xdr:colOff>
                    <xdr:row>17</xdr:row>
                    <xdr:rowOff>0</xdr:rowOff>
                  </to>
                </anchor>
              </controlPr>
            </control>
          </mc:Choice>
        </mc:AlternateContent>
        <mc:AlternateContent xmlns:mc="http://schemas.openxmlformats.org/markup-compatibility/2006">
          <mc:Choice Requires="x14">
            <control shapeId="294616" r:id="rId18" name="Server 2">
              <controlPr defaultSize="0" print="0" autoFill="0" autoPict="0" macro="[0]!'FailServer &quot;F&quot;'">
                <anchor moveWithCells="1" sizeWithCells="1">
                  <from>
                    <xdr:col>5</xdr:col>
                    <xdr:colOff>0</xdr:colOff>
                    <xdr:row>11</xdr:row>
                    <xdr:rowOff>0</xdr:rowOff>
                  </from>
                  <to>
                    <xdr:col>6</xdr:col>
                    <xdr:colOff>0</xdr:colOff>
                    <xdr:row>17</xdr:row>
                    <xdr:rowOff>0</xdr:rowOff>
                  </to>
                </anchor>
              </controlPr>
            </control>
          </mc:Choice>
        </mc:AlternateContent>
        <mc:AlternateContent xmlns:mc="http://schemas.openxmlformats.org/markup-compatibility/2006">
          <mc:Choice Requires="x14">
            <control shapeId="294617" r:id="rId19" name="Server 3">
              <controlPr defaultSize="0" print="0" autoFill="0" autoPict="0" macro="[0]!'FailServer &quot;G&quot;'">
                <anchor moveWithCells="1" sizeWithCells="1">
                  <from>
                    <xdr:col>6</xdr:col>
                    <xdr:colOff>0</xdr:colOff>
                    <xdr:row>11</xdr:row>
                    <xdr:rowOff>0</xdr:rowOff>
                  </from>
                  <to>
                    <xdr:col>7</xdr:col>
                    <xdr:colOff>0</xdr:colOff>
                    <xdr:row>17</xdr:row>
                    <xdr:rowOff>0</xdr:rowOff>
                  </to>
                </anchor>
              </controlPr>
            </control>
          </mc:Choice>
        </mc:AlternateContent>
        <mc:AlternateContent xmlns:mc="http://schemas.openxmlformats.org/markup-compatibility/2006">
          <mc:Choice Requires="x14">
            <control shapeId="294618" r:id="rId20" name="Server 4">
              <controlPr defaultSize="0" print="0" autoFill="0" autoPict="0" macro="[0]!'FailServer &quot;H&quot;'">
                <anchor moveWithCells="1" sizeWithCells="1">
                  <from>
                    <xdr:col>7</xdr:col>
                    <xdr:colOff>0</xdr:colOff>
                    <xdr:row>11</xdr:row>
                    <xdr:rowOff>0</xdr:rowOff>
                  </from>
                  <to>
                    <xdr:col>8</xdr:col>
                    <xdr:colOff>0</xdr:colOff>
                    <xdr:row>17</xdr:row>
                    <xdr:rowOff>0</xdr:rowOff>
                  </to>
                </anchor>
              </controlPr>
            </control>
          </mc:Choice>
        </mc:AlternateContent>
        <mc:AlternateContent xmlns:mc="http://schemas.openxmlformats.org/markup-compatibility/2006">
          <mc:Choice Requires="x14">
            <control shapeId="294619" r:id="rId21" name="WAN Link 1">
              <controlPr defaultSize="0" print="0" autoFill="0" autoPict="0" macro="[0]!'FailWAN &quot;1&quot;'">
                <anchor moveWithCells="1" sizeWithCells="1">
                  <from>
                    <xdr:col>4</xdr:col>
                    <xdr:colOff>0</xdr:colOff>
                    <xdr:row>9</xdr:row>
                    <xdr:rowOff>0</xdr:rowOff>
                  </from>
                  <to>
                    <xdr:col>8</xdr:col>
                    <xdr:colOff>0</xdr:colOff>
                    <xdr:row>11</xdr:row>
                    <xdr:rowOff>0</xdr:rowOff>
                  </to>
                </anchor>
              </controlPr>
            </control>
          </mc:Choice>
        </mc:AlternateContent>
        <mc:AlternateContent xmlns:mc="http://schemas.openxmlformats.org/markup-compatibility/2006">
          <mc:Choice Requires="x14">
            <control shapeId="294620" r:id="rId22" name="Server 5">
              <controlPr defaultSize="0" print="0" autoFill="0" autoPict="0" macro="[0]!'FailServer &quot;V&quot;'">
                <anchor moveWithCells="1" sizeWithCells="1">
                  <from>
                    <xdr:col>21</xdr:col>
                    <xdr:colOff>0</xdr:colOff>
                    <xdr:row>11</xdr:row>
                    <xdr:rowOff>0</xdr:rowOff>
                  </from>
                  <to>
                    <xdr:col>22</xdr:col>
                    <xdr:colOff>0</xdr:colOff>
                    <xdr:row>17</xdr:row>
                    <xdr:rowOff>0</xdr:rowOff>
                  </to>
                </anchor>
              </controlPr>
            </control>
          </mc:Choice>
        </mc:AlternateContent>
        <mc:AlternateContent xmlns:mc="http://schemas.openxmlformats.org/markup-compatibility/2006">
          <mc:Choice Requires="x14">
            <control shapeId="294621" r:id="rId23" name="Server 6">
              <controlPr defaultSize="0" print="0" autoFill="0" autoPict="0" macro="[0]!'FailServer &quot;W&quot;'">
                <anchor moveWithCells="1" sizeWithCells="1">
                  <from>
                    <xdr:col>22</xdr:col>
                    <xdr:colOff>0</xdr:colOff>
                    <xdr:row>11</xdr:row>
                    <xdr:rowOff>0</xdr:rowOff>
                  </from>
                  <to>
                    <xdr:col>23</xdr:col>
                    <xdr:colOff>0</xdr:colOff>
                    <xdr:row>17</xdr:row>
                    <xdr:rowOff>0</xdr:rowOff>
                  </to>
                </anchor>
              </controlPr>
            </control>
          </mc:Choice>
        </mc:AlternateContent>
        <mc:AlternateContent xmlns:mc="http://schemas.openxmlformats.org/markup-compatibility/2006">
          <mc:Choice Requires="x14">
            <control shapeId="294622" r:id="rId24" name="Server 7">
              <controlPr defaultSize="0" print="0" autoFill="0" autoPict="0" macro="[0]!'FailServer &quot;X&quot;'">
                <anchor moveWithCells="1" sizeWithCells="1">
                  <from>
                    <xdr:col>23</xdr:col>
                    <xdr:colOff>0</xdr:colOff>
                    <xdr:row>11</xdr:row>
                    <xdr:rowOff>0</xdr:rowOff>
                  </from>
                  <to>
                    <xdr:col>24</xdr:col>
                    <xdr:colOff>0</xdr:colOff>
                    <xdr:row>17</xdr:row>
                    <xdr:rowOff>0</xdr:rowOff>
                  </to>
                </anchor>
              </controlPr>
            </control>
          </mc:Choice>
        </mc:AlternateContent>
        <mc:AlternateContent xmlns:mc="http://schemas.openxmlformats.org/markup-compatibility/2006">
          <mc:Choice Requires="x14">
            <control shapeId="294623" r:id="rId25" name="Server 8">
              <controlPr defaultSize="0" print="0" autoFill="0" autoPict="0" macro="[0]!'FailServer &quot;Y&quot;'">
                <anchor moveWithCells="1" sizeWithCells="1">
                  <from>
                    <xdr:col>24</xdr:col>
                    <xdr:colOff>0</xdr:colOff>
                    <xdr:row>11</xdr:row>
                    <xdr:rowOff>0</xdr:rowOff>
                  </from>
                  <to>
                    <xdr:col>25</xdr:col>
                    <xdr:colOff>0</xdr:colOff>
                    <xdr:row>17</xdr:row>
                    <xdr:rowOff>0</xdr:rowOff>
                  </to>
                </anchor>
              </controlPr>
            </control>
          </mc:Choice>
        </mc:AlternateContent>
        <mc:AlternateContent xmlns:mc="http://schemas.openxmlformats.org/markup-compatibility/2006">
          <mc:Choice Requires="x14">
            <control shapeId="294624" r:id="rId26" name="WAN Link 2">
              <controlPr defaultSize="0" print="0" autoFill="0" autoPict="0" macro="[0]!'FailWAN &quot;2&quot;'">
                <anchor moveWithCells="1" sizeWithCells="1">
                  <from>
                    <xdr:col>21</xdr:col>
                    <xdr:colOff>0</xdr:colOff>
                    <xdr:row>9</xdr:row>
                    <xdr:rowOff>0</xdr:rowOff>
                  </from>
                  <to>
                    <xdr:col>25</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27"/>
  <sheetViews>
    <sheetView showGridLines="0" showRowColHeaders="0" zoomScale="85" zoomScaleNormal="85" workbookViewId="0">
      <selection activeCell="E115" sqref="E115"/>
    </sheetView>
  </sheetViews>
  <sheetFormatPr defaultColWidth="9.140625" defaultRowHeight="15" outlineLevelRow="1" x14ac:dyDescent="0.2"/>
  <cols>
    <col min="1" max="1" width="3.42578125" style="35" customWidth="1"/>
    <col min="2" max="2" width="27.140625" style="35" customWidth="1"/>
    <col min="3" max="3" width="25" style="35" customWidth="1"/>
    <col min="4" max="4" width="16.140625" style="35" bestFit="1" customWidth="1"/>
    <col min="5" max="5" width="19.7109375" style="35" customWidth="1"/>
    <col min="6" max="6" width="20" style="35" customWidth="1"/>
    <col min="7" max="7" width="14.140625" style="35" bestFit="1" customWidth="1"/>
    <col min="8" max="8" width="36.5703125" style="35" customWidth="1"/>
    <col min="9" max="9" width="30.28515625" style="35" customWidth="1"/>
    <col min="10" max="10" width="23.28515625" style="35" customWidth="1"/>
    <col min="11" max="16384" width="9.140625" style="35"/>
  </cols>
  <sheetData>
    <row r="1" spans="1:14" x14ac:dyDescent="0.2">
      <c r="B1" s="1167" t="s">
        <v>272</v>
      </c>
      <c r="C1" s="1168"/>
      <c r="D1" s="1168"/>
      <c r="E1" s="1168"/>
      <c r="F1" s="1168"/>
      <c r="G1" s="1168"/>
      <c r="H1" s="1168"/>
      <c r="I1" s="1168"/>
      <c r="J1" s="1169"/>
    </row>
    <row r="2" spans="1:14" x14ac:dyDescent="0.2">
      <c r="B2" s="56"/>
      <c r="C2" s="34"/>
      <c r="D2" s="34"/>
      <c r="E2" s="34"/>
      <c r="F2" s="34"/>
      <c r="G2" s="36"/>
      <c r="H2" s="36"/>
      <c r="I2" s="36"/>
      <c r="J2" s="37"/>
    </row>
    <row r="3" spans="1:14" x14ac:dyDescent="0.2">
      <c r="A3" s="42"/>
      <c r="B3" s="1170" t="s">
        <v>843</v>
      </c>
      <c r="C3" s="1170"/>
      <c r="D3" s="1170"/>
      <c r="E3" s="1170"/>
      <c r="F3" s="1170"/>
      <c r="G3" s="1170"/>
      <c r="H3" s="1170"/>
      <c r="I3" s="1170"/>
      <c r="J3" s="1188"/>
    </row>
    <row r="4" spans="1:14" hidden="1" outlineLevel="1" x14ac:dyDescent="0.2">
      <c r="A4" s="42"/>
      <c r="B4" s="32"/>
      <c r="C4" s="32"/>
      <c r="D4" s="32"/>
      <c r="E4" s="38"/>
      <c r="F4" s="38"/>
      <c r="G4" s="39"/>
      <c r="H4" s="39"/>
      <c r="I4" s="33"/>
      <c r="J4" s="40"/>
      <c r="K4" s="53"/>
    </row>
    <row r="5" spans="1:14" hidden="1" outlineLevel="1" x14ac:dyDescent="0.2">
      <c r="A5" s="42"/>
      <c r="B5" s="309" t="s">
        <v>27</v>
      </c>
      <c r="C5" s="204" t="s">
        <v>116</v>
      </c>
      <c r="D5" s="204" t="s">
        <v>448</v>
      </c>
      <c r="E5" s="39"/>
      <c r="F5" s="39"/>
      <c r="G5" s="39"/>
      <c r="H5" s="204" t="s">
        <v>846</v>
      </c>
      <c r="I5" s="204" t="s">
        <v>249</v>
      </c>
      <c r="J5" s="212"/>
      <c r="K5" s="53"/>
    </row>
    <row r="6" spans="1:14" hidden="1" outlineLevel="1" x14ac:dyDescent="0.2">
      <c r="A6" s="42"/>
      <c r="B6" s="45">
        <f>IF(B123="DB-x",1,B123)</f>
        <v>1</v>
      </c>
      <c r="C6" s="263">
        <f>IF(B123="--","",ROUNDUP(Table30[[#This Row],[DB Number]]/NumDBPerVol,0))</f>
        <v>1</v>
      </c>
      <c r="D6" s="263">
        <f t="shared" ref="D6:D14" si="0">IF(H123="--","",ROUNDUP(VALUE(IF(LEFT(RIGHT(H123,2),1)="B",RIGHT(H123,1),RIGHT(H123,2)))/NumDBPerVol,0))</f>
        <v>1</v>
      </c>
      <c r="E6" s="39"/>
      <c r="F6" s="39"/>
      <c r="G6" s="39"/>
      <c r="H6" s="59" t="s">
        <v>847</v>
      </c>
      <c r="I6" s="287" t="str">
        <f>IF(BackupMethod="Hardware VSS Backup/Restore",1,IF(AND(HAOption="Yes",NumDBCopies&gt;=2,DBLogIsolation="No",OR(JBODEvaluation="No",AND(JBODEvaluation="Yes",calcMultipleDBVolume="No"))),1,IF(AND(HAOption="Yes",NumDBCopies&gt;=2,DBLogIsolation="No",JBODEvaluation="Yes",calcMultipleDBVolume="Yes"),"MultDBs",VLOOKUP(BackupFreq,TblBackupFreq,2,FALSE))))</f>
        <v>MultDBs</v>
      </c>
      <c r="J6" s="42"/>
      <c r="K6" s="53"/>
    </row>
    <row r="7" spans="1:14" hidden="1" outlineLevel="1" x14ac:dyDescent="0.2">
      <c r="A7" s="42"/>
      <c r="B7" s="45">
        <f t="shared" ref="B7:B38" si="1">IF(B124&lt;&gt;"--",IF(B124="DB-x",B6+1,B124),"")</f>
        <v>2</v>
      </c>
      <c r="C7" s="263">
        <f>IF(B124="--","",ROUNDUP(Table30[[#This Row],[DB Number]]/NumDBPerVol,0))</f>
        <v>1</v>
      </c>
      <c r="D7" s="263">
        <f t="shared" si="0"/>
        <v>2</v>
      </c>
      <c r="E7" s="39"/>
      <c r="F7" s="39"/>
      <c r="G7" s="39"/>
      <c r="H7" s="59" t="s">
        <v>848</v>
      </c>
      <c r="I7" s="59">
        <f>IF(VolDesign="1/7",ROUND(TotNumDBCopiesServer/NumDBVol,0),RecDBperVolume)</f>
        <v>4</v>
      </c>
      <c r="J7" s="42"/>
      <c r="K7" s="53"/>
    </row>
    <row r="8" spans="1:14" hidden="1" outlineLevel="1" x14ac:dyDescent="0.2">
      <c r="A8" s="42"/>
      <c r="B8" s="45">
        <f t="shared" si="1"/>
        <v>3</v>
      </c>
      <c r="C8" s="263">
        <f>IF(B125="--","",ROUNDUP(Table30[[#This Row],[DB Number]]/NumDBPerVol,0))</f>
        <v>1</v>
      </c>
      <c r="D8" s="263">
        <f t="shared" si="0"/>
        <v>3</v>
      </c>
      <c r="E8" s="39"/>
      <c r="F8" s="39"/>
      <c r="G8" s="39"/>
      <c r="H8" s="59" t="s">
        <v>849</v>
      </c>
      <c r="I8" s="59">
        <f>MIN(IF(VolDesign="1/7",VLOOKUP(TotNumDBCopiesServer,tblVolBackupSet,2,TRUE),IF(VolDesign="MultDBs",TotNumDBCopiesServer/RecDBperVolume,1)),IF(calcDiskLimitOverride="No",NumDisksPerServer,99999))</f>
        <v>9</v>
      </c>
      <c r="J8" s="42"/>
      <c r="K8" s="53"/>
      <c r="L8" s="35">
        <f>IF(VolDesign="1/7",VLOOKUP(TotNumDBCopiesServer,tblVolBackupSet,2,TRUE),IF(VolDesign="MultDBs",TotNumDBCopiesServer/RecDBperVolume,1))</f>
        <v>9</v>
      </c>
      <c r="N8" s="35">
        <f>IF(calcDiskLimitOverride="Yes",IF(VolDesign="1/7",VLOOKUP(TotNumDBCopiesServer,tblVolBackupSet,2,TRUE),IF(VolDesign="MultDBs",TotNumDBCopiesServer/RecDBperVolume,1)),NumDisksPerServer)</f>
        <v>9</v>
      </c>
    </row>
    <row r="9" spans="1:14" hidden="1" outlineLevel="1" x14ac:dyDescent="0.2">
      <c r="A9" s="42"/>
      <c r="B9" s="45">
        <f t="shared" si="1"/>
        <v>4</v>
      </c>
      <c r="C9" s="263">
        <f>IF(B126="--","",ROUNDUP(Table30[[#This Row],[DB Number]]/NumDBPerVol,0))</f>
        <v>1</v>
      </c>
      <c r="D9" s="263">
        <f t="shared" si="0"/>
        <v>4</v>
      </c>
      <c r="E9" s="39"/>
      <c r="F9" s="39"/>
      <c r="G9" s="39"/>
      <c r="H9" s="59" t="s">
        <v>850</v>
      </c>
      <c r="I9" s="205">
        <f>IF(RestoreVol="Yes",((SUMIF(C$6:C$105,D6,E$123:E$222)+SUMIF(C$6:C$105,D6,F$123:F$222))*IF(calcTotNumHACopies+calcTotNumLagCopies&gt;=2,1,IF(VolDesign=1,VLOOKUP(RecNumDBs,TblNumRestoreLun,2,TRUE),1)))/(1-VolGrowth),0)</f>
        <v>2898.5659950657896</v>
      </c>
      <c r="J9" s="42"/>
      <c r="K9" s="53"/>
    </row>
    <row r="10" spans="1:14" hidden="1" outlineLevel="1" x14ac:dyDescent="0.25">
      <c r="A10" s="42"/>
      <c r="B10" s="45">
        <f t="shared" si="1"/>
        <v>5</v>
      </c>
      <c r="C10" s="263">
        <f>IF(B127="--","",ROUNDUP(Table30[[#This Row],[DB Number]]/NumDBPerVol,0))</f>
        <v>2</v>
      </c>
      <c r="D10" s="263">
        <f t="shared" si="0"/>
        <v>5</v>
      </c>
      <c r="E10" s="38"/>
      <c r="F10" s="38"/>
      <c r="G10" s="39"/>
      <c r="H10" s="58" t="s">
        <v>1335</v>
      </c>
      <c r="I10" s="58">
        <f>IF(DBLogIsolation="Yes",0,IF(calcMultipleDBVolume="Yes",AutoReseedVolumes,0))</f>
        <v>1</v>
      </c>
      <c r="J10" s="40"/>
      <c r="K10" s="53"/>
    </row>
    <row r="11" spans="1:14" hidden="1" outlineLevel="1" x14ac:dyDescent="0.2">
      <c r="A11" s="42"/>
      <c r="B11" s="45">
        <f t="shared" si="1"/>
        <v>6</v>
      </c>
      <c r="C11" s="263">
        <f>IF(B128="--","",ROUNDUP(Table30[[#This Row],[DB Number]]/NumDBPerVol,0))</f>
        <v>2</v>
      </c>
      <c r="D11" s="263">
        <f t="shared" si="0"/>
        <v>6</v>
      </c>
      <c r="E11" s="38"/>
      <c r="F11" s="38"/>
      <c r="G11" s="39"/>
      <c r="H11" s="39"/>
      <c r="I11" s="39"/>
      <c r="J11" s="40"/>
      <c r="K11" s="53"/>
    </row>
    <row r="12" spans="1:14" hidden="1" outlineLevel="1" x14ac:dyDescent="0.2">
      <c r="A12" s="42"/>
      <c r="B12" s="45">
        <f t="shared" si="1"/>
        <v>7</v>
      </c>
      <c r="C12" s="263">
        <f>IF(B129="--","",ROUNDUP(Table30[[#This Row],[DB Number]]/NumDBPerVol,0))</f>
        <v>2</v>
      </c>
      <c r="D12" s="263">
        <f t="shared" si="0"/>
        <v>7</v>
      </c>
      <c r="E12" s="38"/>
      <c r="F12" s="38"/>
      <c r="G12" s="39"/>
      <c r="H12" s="39"/>
      <c r="I12" s="39"/>
      <c r="J12" s="40"/>
      <c r="K12" s="53"/>
    </row>
    <row r="13" spans="1:14" hidden="1" outlineLevel="1" x14ac:dyDescent="0.2">
      <c r="A13" s="42"/>
      <c r="B13" s="45">
        <f t="shared" si="1"/>
        <v>8</v>
      </c>
      <c r="C13" s="263">
        <f>IF(B130="--","",ROUNDUP(Table30[[#This Row],[DB Number]]/NumDBPerVol,0))</f>
        <v>2</v>
      </c>
      <c r="D13" s="263">
        <f t="shared" si="0"/>
        <v>8</v>
      </c>
      <c r="E13" s="38"/>
      <c r="F13" s="38"/>
      <c r="G13" s="39"/>
      <c r="H13" s="39"/>
      <c r="I13" s="33"/>
      <c r="J13" s="40"/>
      <c r="K13" s="53"/>
    </row>
    <row r="14" spans="1:14" hidden="1" outlineLevel="1" x14ac:dyDescent="0.2">
      <c r="A14" s="42"/>
      <c r="B14" s="45">
        <f t="shared" si="1"/>
        <v>9</v>
      </c>
      <c r="C14" s="263">
        <f>IF(B131="--","",ROUNDUP(Table30[[#This Row],[DB Number]]/NumDBPerVol,0))</f>
        <v>3</v>
      </c>
      <c r="D14" s="263">
        <f t="shared" si="0"/>
        <v>9</v>
      </c>
      <c r="E14" s="38"/>
      <c r="F14" s="38"/>
      <c r="G14" s="39"/>
      <c r="H14" s="39"/>
      <c r="I14" s="33"/>
      <c r="J14" s="40"/>
      <c r="K14" s="53"/>
    </row>
    <row r="15" spans="1:14" hidden="1" outlineLevel="1" x14ac:dyDescent="0.2">
      <c r="A15" s="42"/>
      <c r="B15" s="45">
        <f t="shared" si="1"/>
        <v>10</v>
      </c>
      <c r="C15" s="263">
        <f>IF(B132="--","",ROUNDUP(Table30[[#This Row],[DB Number]]/NumDBPerVol,0))</f>
        <v>3</v>
      </c>
      <c r="D15" s="263" t="str">
        <f t="shared" ref="D15:D46" si="2">IF(H132="--","",ROUNDUP(VALUE(IF(LEFT(RIGHT(H132,2),1)="B",RIGHT(H132,1),IF(LEN(H132)&gt;=10,RIGHT(H132,3),RIGHT(H132,2))))/NumDBPerVol,0))</f>
        <v/>
      </c>
      <c r="E15" s="38"/>
      <c r="F15" s="38"/>
      <c r="G15" s="39"/>
      <c r="H15" s="39"/>
      <c r="I15" s="33"/>
      <c r="J15" s="40"/>
      <c r="K15" s="53"/>
    </row>
    <row r="16" spans="1:14" hidden="1" outlineLevel="1" x14ac:dyDescent="0.2">
      <c r="A16" s="42"/>
      <c r="B16" s="45">
        <f t="shared" si="1"/>
        <v>11</v>
      </c>
      <c r="C16" s="263">
        <f>IF(B133="--","",ROUNDUP(Table30[[#This Row],[DB Number]]/NumDBPerVol,0))</f>
        <v>3</v>
      </c>
      <c r="D16" s="263" t="str">
        <f t="shared" si="2"/>
        <v/>
      </c>
      <c r="E16" s="38"/>
      <c r="F16" s="38"/>
      <c r="G16" s="39"/>
      <c r="J16" s="40"/>
      <c r="K16" s="53"/>
    </row>
    <row r="17" spans="1:11" hidden="1" outlineLevel="1" x14ac:dyDescent="0.2">
      <c r="A17" s="42"/>
      <c r="B17" s="45">
        <f t="shared" si="1"/>
        <v>12</v>
      </c>
      <c r="C17" s="263">
        <f>IF(B134="--","",ROUNDUP(Table30[[#This Row],[DB Number]]/NumDBPerVol,0))</f>
        <v>3</v>
      </c>
      <c r="D17" s="263" t="str">
        <f t="shared" si="2"/>
        <v/>
      </c>
      <c r="E17" s="38"/>
      <c r="F17" s="38"/>
      <c r="G17" s="39"/>
      <c r="H17" s="855"/>
      <c r="I17" s="33"/>
      <c r="J17" s="40"/>
      <c r="K17" s="53"/>
    </row>
    <row r="18" spans="1:11" hidden="1" outlineLevel="1" x14ac:dyDescent="0.2">
      <c r="A18" s="42"/>
      <c r="B18" s="45">
        <f t="shared" si="1"/>
        <v>13</v>
      </c>
      <c r="C18" s="263">
        <f>IF(B135="--","",ROUNDUP(Table30[[#This Row],[DB Number]]/NumDBPerVol,0))</f>
        <v>4</v>
      </c>
      <c r="D18" s="263" t="str">
        <f t="shared" si="2"/>
        <v/>
      </c>
      <c r="E18" s="38"/>
      <c r="F18" s="38"/>
      <c r="G18" s="39"/>
      <c r="H18" s="36"/>
      <c r="I18" s="34"/>
      <c r="J18" s="37"/>
      <c r="K18" s="53"/>
    </row>
    <row r="19" spans="1:11" hidden="1" outlineLevel="1" x14ac:dyDescent="0.2">
      <c r="A19" s="42"/>
      <c r="B19" s="45">
        <f t="shared" si="1"/>
        <v>14</v>
      </c>
      <c r="C19" s="263">
        <f>IF(B136="--","",ROUNDUP(Table30[[#This Row],[DB Number]]/NumDBPerVol,0))</f>
        <v>4</v>
      </c>
      <c r="D19" s="263" t="str">
        <f t="shared" si="2"/>
        <v/>
      </c>
      <c r="E19" s="38"/>
      <c r="F19" s="38"/>
      <c r="G19" s="39"/>
      <c r="H19" s="36"/>
      <c r="I19" s="34"/>
      <c r="J19" s="37"/>
      <c r="K19" s="53"/>
    </row>
    <row r="20" spans="1:11" hidden="1" outlineLevel="1" x14ac:dyDescent="0.2">
      <c r="A20" s="42"/>
      <c r="B20" s="45">
        <f t="shared" si="1"/>
        <v>15</v>
      </c>
      <c r="C20" s="263">
        <f>IF(B137="--","",ROUNDUP(Table30[[#This Row],[DB Number]]/NumDBPerVol,0))</f>
        <v>4</v>
      </c>
      <c r="D20" s="263" t="str">
        <f t="shared" si="2"/>
        <v/>
      </c>
      <c r="E20" s="38"/>
      <c r="F20" s="38"/>
      <c r="G20" s="39"/>
      <c r="H20" s="381"/>
      <c r="I20" s="34"/>
      <c r="J20" s="37"/>
      <c r="K20" s="53"/>
    </row>
    <row r="21" spans="1:11" hidden="1" outlineLevel="1" x14ac:dyDescent="0.2">
      <c r="A21" s="42"/>
      <c r="B21" s="45">
        <f t="shared" si="1"/>
        <v>16</v>
      </c>
      <c r="C21" s="263">
        <f>IF(B138="--","",ROUNDUP(Table30[[#This Row],[DB Number]]/NumDBPerVol,0))</f>
        <v>4</v>
      </c>
      <c r="D21" s="263" t="str">
        <f t="shared" si="2"/>
        <v/>
      </c>
      <c r="E21" s="38"/>
      <c r="F21" s="38"/>
      <c r="G21" s="39"/>
      <c r="H21" s="381"/>
      <c r="I21" s="34"/>
      <c r="J21" s="37"/>
      <c r="K21" s="53"/>
    </row>
    <row r="22" spans="1:11" hidden="1" outlineLevel="1" x14ac:dyDescent="0.2">
      <c r="A22" s="42"/>
      <c r="B22" s="45">
        <f t="shared" si="1"/>
        <v>17</v>
      </c>
      <c r="C22" s="263">
        <f>IF(B139="--","",ROUNDUP(Table30[[#This Row],[DB Number]]/NumDBPerVol,0))</f>
        <v>5</v>
      </c>
      <c r="D22" s="263" t="str">
        <f t="shared" si="2"/>
        <v/>
      </c>
      <c r="E22" s="38"/>
      <c r="F22" s="38"/>
      <c r="G22" s="39"/>
      <c r="H22" s="381"/>
      <c r="I22" s="34"/>
      <c r="J22" s="37"/>
      <c r="K22" s="53"/>
    </row>
    <row r="23" spans="1:11" hidden="1" outlineLevel="1" x14ac:dyDescent="0.2">
      <c r="A23" s="42"/>
      <c r="B23" s="45">
        <f t="shared" si="1"/>
        <v>18</v>
      </c>
      <c r="C23" s="263">
        <f>IF(B140="--","",ROUNDUP(Table30[[#This Row],[DB Number]]/NumDBPerVol,0))</f>
        <v>5</v>
      </c>
      <c r="D23" s="263" t="str">
        <f t="shared" si="2"/>
        <v/>
      </c>
      <c r="E23" s="38"/>
      <c r="F23" s="38"/>
      <c r="G23" s="39"/>
      <c r="H23" s="381"/>
      <c r="I23" s="34"/>
      <c r="J23" s="37"/>
      <c r="K23" s="53"/>
    </row>
    <row r="24" spans="1:11" hidden="1" outlineLevel="1" x14ac:dyDescent="0.2">
      <c r="A24" s="42"/>
      <c r="B24" s="45">
        <f t="shared" si="1"/>
        <v>19</v>
      </c>
      <c r="C24" s="263">
        <f>IF(B141="--","",ROUNDUP(Table30[[#This Row],[DB Number]]/NumDBPerVol,0))</f>
        <v>5</v>
      </c>
      <c r="D24" s="263" t="str">
        <f t="shared" si="2"/>
        <v/>
      </c>
      <c r="E24" s="38"/>
      <c r="F24" s="38"/>
      <c r="G24" s="39"/>
      <c r="H24" s="381"/>
      <c r="I24" s="34"/>
      <c r="J24" s="37"/>
      <c r="K24" s="53"/>
    </row>
    <row r="25" spans="1:11" hidden="1" outlineLevel="1" x14ac:dyDescent="0.2">
      <c r="A25" s="42"/>
      <c r="B25" s="45">
        <f t="shared" si="1"/>
        <v>20</v>
      </c>
      <c r="C25" s="263">
        <f>IF(B142="--","",ROUNDUP(Table30[[#This Row],[DB Number]]/NumDBPerVol,0))</f>
        <v>5</v>
      </c>
      <c r="D25" s="263" t="str">
        <f t="shared" si="2"/>
        <v/>
      </c>
      <c r="E25" s="38"/>
      <c r="F25" s="38"/>
      <c r="G25" s="39"/>
      <c r="H25" s="381"/>
      <c r="I25" s="34"/>
      <c r="J25" s="37"/>
      <c r="K25" s="53"/>
    </row>
    <row r="26" spans="1:11" hidden="1" outlineLevel="1" x14ac:dyDescent="0.2">
      <c r="A26" s="42"/>
      <c r="B26" s="45">
        <f t="shared" si="1"/>
        <v>21</v>
      </c>
      <c r="C26" s="263">
        <f>IF(B143="--","",ROUNDUP(Table30[[#This Row],[DB Number]]/NumDBPerVol,0))</f>
        <v>6</v>
      </c>
      <c r="D26" s="263" t="str">
        <f t="shared" si="2"/>
        <v/>
      </c>
      <c r="E26" s="38"/>
      <c r="F26" s="38"/>
      <c r="G26" s="39"/>
      <c r="H26" s="36"/>
      <c r="I26" s="34"/>
      <c r="J26" s="37"/>
      <c r="K26" s="53"/>
    </row>
    <row r="27" spans="1:11" hidden="1" outlineLevel="1" x14ac:dyDescent="0.2">
      <c r="A27" s="42"/>
      <c r="B27" s="45">
        <f t="shared" si="1"/>
        <v>22</v>
      </c>
      <c r="C27" s="263">
        <f>IF(B144="--","",ROUNDUP(Table30[[#This Row],[DB Number]]/NumDBPerVol,0))</f>
        <v>6</v>
      </c>
      <c r="D27" s="263" t="str">
        <f t="shared" si="2"/>
        <v/>
      </c>
      <c r="E27" s="38"/>
      <c r="F27" s="38"/>
      <c r="G27" s="39"/>
      <c r="H27" s="36"/>
      <c r="I27" s="34"/>
      <c r="J27" s="37"/>
      <c r="K27" s="53"/>
    </row>
    <row r="28" spans="1:11" hidden="1" outlineLevel="1" x14ac:dyDescent="0.2">
      <c r="A28" s="42"/>
      <c r="B28" s="45">
        <f t="shared" si="1"/>
        <v>23</v>
      </c>
      <c r="C28" s="263">
        <f>IF(B145="--","",ROUNDUP(Table30[[#This Row],[DB Number]]/NumDBPerVol,0))</f>
        <v>6</v>
      </c>
      <c r="D28" s="263" t="str">
        <f t="shared" si="2"/>
        <v/>
      </c>
      <c r="E28" s="38"/>
      <c r="F28" s="38"/>
      <c r="G28" s="39"/>
      <c r="H28" s="36"/>
      <c r="I28" s="34"/>
      <c r="J28" s="37"/>
      <c r="K28" s="53"/>
    </row>
    <row r="29" spans="1:11" hidden="1" outlineLevel="1" x14ac:dyDescent="0.2">
      <c r="A29" s="42"/>
      <c r="B29" s="45">
        <f t="shared" si="1"/>
        <v>24</v>
      </c>
      <c r="C29" s="263">
        <f>IF(B146="--","",ROUNDUP(Table30[[#This Row],[DB Number]]/NumDBPerVol,0))</f>
        <v>6</v>
      </c>
      <c r="D29" s="263" t="str">
        <f t="shared" si="2"/>
        <v/>
      </c>
      <c r="E29" s="38"/>
      <c r="F29" s="38"/>
      <c r="G29" s="39"/>
      <c r="H29" s="36"/>
      <c r="I29" s="34"/>
      <c r="J29" s="37"/>
      <c r="K29" s="53"/>
    </row>
    <row r="30" spans="1:11" hidden="1" outlineLevel="1" x14ac:dyDescent="0.2">
      <c r="A30" s="42"/>
      <c r="B30" s="45">
        <f t="shared" si="1"/>
        <v>25</v>
      </c>
      <c r="C30" s="263">
        <f>IF(B147="--","",ROUNDUP(Table30[[#This Row],[DB Number]]/NumDBPerVol,0))</f>
        <v>7</v>
      </c>
      <c r="D30" s="263" t="str">
        <f t="shared" si="2"/>
        <v/>
      </c>
      <c r="E30" s="38"/>
      <c r="F30" s="38"/>
      <c r="G30" s="39"/>
      <c r="H30" s="36"/>
      <c r="I30" s="34"/>
      <c r="J30" s="37"/>
      <c r="K30" s="53"/>
    </row>
    <row r="31" spans="1:11" hidden="1" outlineLevel="1" x14ac:dyDescent="0.2">
      <c r="A31" s="42"/>
      <c r="B31" s="45">
        <f t="shared" si="1"/>
        <v>26</v>
      </c>
      <c r="C31" s="263">
        <f>IF(B148="--","",ROUNDUP(Table30[[#This Row],[DB Number]]/NumDBPerVol,0))</f>
        <v>7</v>
      </c>
      <c r="D31" s="263" t="str">
        <f t="shared" si="2"/>
        <v/>
      </c>
      <c r="E31" s="38"/>
      <c r="F31" s="38"/>
      <c r="G31" s="39"/>
      <c r="H31" s="36"/>
      <c r="I31" s="34"/>
      <c r="J31" s="37"/>
      <c r="K31" s="53"/>
    </row>
    <row r="32" spans="1:11" hidden="1" outlineLevel="1" x14ac:dyDescent="0.2">
      <c r="A32" s="42"/>
      <c r="B32" s="45">
        <f t="shared" si="1"/>
        <v>27</v>
      </c>
      <c r="C32" s="263">
        <f>IF(B149="--","",ROUNDUP(Table30[[#This Row],[DB Number]]/NumDBPerVol,0))</f>
        <v>7</v>
      </c>
      <c r="D32" s="263" t="str">
        <f t="shared" si="2"/>
        <v/>
      </c>
      <c r="E32" s="38"/>
      <c r="F32" s="38"/>
      <c r="G32" s="39"/>
      <c r="H32" s="36"/>
      <c r="I32" s="34"/>
      <c r="J32" s="37"/>
      <c r="K32" s="53"/>
    </row>
    <row r="33" spans="1:11" hidden="1" outlineLevel="1" x14ac:dyDescent="0.2">
      <c r="A33" s="42"/>
      <c r="B33" s="45">
        <f t="shared" si="1"/>
        <v>28</v>
      </c>
      <c r="C33" s="263">
        <f>IF(B150="--","",ROUNDUP(Table30[[#This Row],[DB Number]]/NumDBPerVol,0))</f>
        <v>7</v>
      </c>
      <c r="D33" s="263" t="str">
        <f t="shared" si="2"/>
        <v/>
      </c>
      <c r="E33" s="38"/>
      <c r="F33" s="38"/>
      <c r="G33" s="39"/>
      <c r="H33" s="36"/>
      <c r="I33" s="34"/>
      <c r="J33" s="37"/>
      <c r="K33" s="53"/>
    </row>
    <row r="34" spans="1:11" hidden="1" outlineLevel="1" x14ac:dyDescent="0.2">
      <c r="A34" s="42"/>
      <c r="B34" s="45">
        <f t="shared" si="1"/>
        <v>29</v>
      </c>
      <c r="C34" s="263">
        <f>IF(B151="--","",ROUNDUP(Table30[[#This Row],[DB Number]]/NumDBPerVol,0))</f>
        <v>8</v>
      </c>
      <c r="D34" s="263" t="str">
        <f t="shared" si="2"/>
        <v/>
      </c>
      <c r="E34" s="38"/>
      <c r="F34" s="38"/>
      <c r="G34" s="39"/>
      <c r="H34" s="36"/>
      <c r="I34" s="34"/>
      <c r="J34" s="37"/>
      <c r="K34" s="53"/>
    </row>
    <row r="35" spans="1:11" hidden="1" outlineLevel="1" x14ac:dyDescent="0.2">
      <c r="A35" s="42"/>
      <c r="B35" s="45">
        <f t="shared" si="1"/>
        <v>30</v>
      </c>
      <c r="C35" s="263">
        <f>IF(B152="--","",ROUNDUP(Table30[[#This Row],[DB Number]]/NumDBPerVol,0))</f>
        <v>8</v>
      </c>
      <c r="D35" s="263" t="str">
        <f t="shared" si="2"/>
        <v/>
      </c>
      <c r="E35" s="38"/>
      <c r="F35" s="38"/>
      <c r="G35" s="39"/>
      <c r="H35" s="36"/>
      <c r="I35" s="34"/>
      <c r="J35" s="37"/>
      <c r="K35" s="53"/>
    </row>
    <row r="36" spans="1:11" hidden="1" outlineLevel="1" x14ac:dyDescent="0.2">
      <c r="A36" s="42"/>
      <c r="B36" s="45">
        <f t="shared" si="1"/>
        <v>31</v>
      </c>
      <c r="C36" s="263">
        <f>IF(B153="--","",ROUNDUP(Table30[[#This Row],[DB Number]]/NumDBPerVol,0))</f>
        <v>8</v>
      </c>
      <c r="D36" s="263" t="str">
        <f t="shared" si="2"/>
        <v/>
      </c>
      <c r="E36" s="38"/>
      <c r="F36" s="38"/>
      <c r="G36" s="39"/>
      <c r="H36" s="36"/>
      <c r="I36" s="34"/>
      <c r="J36" s="37"/>
      <c r="K36" s="53"/>
    </row>
    <row r="37" spans="1:11" hidden="1" outlineLevel="1" x14ac:dyDescent="0.2">
      <c r="A37" s="42"/>
      <c r="B37" s="45">
        <f t="shared" si="1"/>
        <v>32</v>
      </c>
      <c r="C37" s="263">
        <f>IF(B154="--","",ROUNDUP(Table30[[#This Row],[DB Number]]/NumDBPerVol,0))</f>
        <v>8</v>
      </c>
      <c r="D37" s="263" t="str">
        <f t="shared" si="2"/>
        <v/>
      </c>
      <c r="E37" s="38"/>
      <c r="F37" s="38"/>
      <c r="G37" s="39"/>
      <c r="H37" s="36"/>
      <c r="I37" s="34"/>
      <c r="J37" s="37"/>
      <c r="K37" s="53"/>
    </row>
    <row r="38" spans="1:11" hidden="1" outlineLevel="1" x14ac:dyDescent="0.2">
      <c r="A38" s="42"/>
      <c r="B38" s="45">
        <f t="shared" si="1"/>
        <v>33</v>
      </c>
      <c r="C38" s="263">
        <f>IF(B155="--","",ROUNDUP(Table30[[#This Row],[DB Number]]/NumDBPerVol,0))</f>
        <v>9</v>
      </c>
      <c r="D38" s="263" t="str">
        <f t="shared" si="2"/>
        <v/>
      </c>
      <c r="E38" s="38"/>
      <c r="F38" s="38"/>
      <c r="G38" s="39"/>
      <c r="H38" s="36"/>
      <c r="I38" s="34"/>
      <c r="J38" s="37"/>
      <c r="K38" s="53"/>
    </row>
    <row r="39" spans="1:11" hidden="1" outlineLevel="1" x14ac:dyDescent="0.2">
      <c r="A39" s="42"/>
      <c r="B39" s="45">
        <f t="shared" ref="B39:B70" si="3">IF(B156&lt;&gt;"--",IF(B156="DB-x",B38+1,B156),"")</f>
        <v>34</v>
      </c>
      <c r="C39" s="263">
        <f>IF(B156="--","",ROUNDUP(Table30[[#This Row],[DB Number]]/NumDBPerVol,0))</f>
        <v>9</v>
      </c>
      <c r="D39" s="263" t="str">
        <f t="shared" si="2"/>
        <v/>
      </c>
      <c r="E39" s="38"/>
      <c r="F39" s="38"/>
      <c r="G39" s="39"/>
      <c r="H39" s="36"/>
      <c r="I39" s="34"/>
      <c r="J39" s="37"/>
      <c r="K39" s="53"/>
    </row>
    <row r="40" spans="1:11" hidden="1" outlineLevel="1" x14ac:dyDescent="0.2">
      <c r="A40" s="42"/>
      <c r="B40" s="45">
        <f t="shared" si="3"/>
        <v>35</v>
      </c>
      <c r="C40" s="263">
        <f>IF(B157="--","",ROUNDUP(Table30[[#This Row],[DB Number]]/NumDBPerVol,0))</f>
        <v>9</v>
      </c>
      <c r="D40" s="263" t="str">
        <f t="shared" si="2"/>
        <v/>
      </c>
      <c r="E40" s="38"/>
      <c r="F40" s="38"/>
      <c r="G40" s="39"/>
      <c r="H40" s="36"/>
      <c r="I40" s="34"/>
      <c r="J40" s="37"/>
      <c r="K40" s="53"/>
    </row>
    <row r="41" spans="1:11" hidden="1" outlineLevel="1" x14ac:dyDescent="0.2">
      <c r="A41" s="42"/>
      <c r="B41" s="45">
        <f t="shared" si="3"/>
        <v>36</v>
      </c>
      <c r="C41" s="263">
        <f>IF(B158="--","",ROUNDUP(Table30[[#This Row],[DB Number]]/NumDBPerVol,0))</f>
        <v>9</v>
      </c>
      <c r="D41" s="263" t="str">
        <f t="shared" si="2"/>
        <v/>
      </c>
      <c r="E41" s="38"/>
      <c r="F41" s="38"/>
      <c r="G41" s="39"/>
      <c r="H41" s="36"/>
      <c r="I41" s="34"/>
      <c r="J41" s="37"/>
      <c r="K41" s="53"/>
    </row>
    <row r="42" spans="1:11" hidden="1" outlineLevel="1" x14ac:dyDescent="0.2">
      <c r="A42" s="42"/>
      <c r="B42" s="45" t="str">
        <f t="shared" si="3"/>
        <v/>
      </c>
      <c r="C42" s="263" t="str">
        <f>IF(B159="--","",ROUNDUP(Table30[[#This Row],[DB Number]]/NumDBPerVol,0))</f>
        <v/>
      </c>
      <c r="D42" s="263" t="str">
        <f t="shared" si="2"/>
        <v/>
      </c>
      <c r="E42" s="38"/>
      <c r="F42" s="38"/>
      <c r="G42" s="39"/>
      <c r="H42" s="36"/>
      <c r="I42" s="34"/>
      <c r="J42" s="37"/>
      <c r="K42" s="53"/>
    </row>
    <row r="43" spans="1:11" hidden="1" outlineLevel="1" x14ac:dyDescent="0.2">
      <c r="A43" s="42"/>
      <c r="B43" s="45" t="str">
        <f t="shared" si="3"/>
        <v/>
      </c>
      <c r="C43" s="263" t="str">
        <f>IF(B160="--","",ROUNDUP(Table30[[#This Row],[DB Number]]/NumDBPerVol,0))</f>
        <v/>
      </c>
      <c r="D43" s="263" t="str">
        <f t="shared" si="2"/>
        <v/>
      </c>
      <c r="E43" s="38"/>
      <c r="F43" s="38"/>
      <c r="G43" s="39"/>
      <c r="H43" s="36"/>
      <c r="I43" s="34"/>
      <c r="J43" s="37"/>
      <c r="K43" s="53"/>
    </row>
    <row r="44" spans="1:11" hidden="1" outlineLevel="1" x14ac:dyDescent="0.2">
      <c r="A44" s="42"/>
      <c r="B44" s="45" t="str">
        <f t="shared" si="3"/>
        <v/>
      </c>
      <c r="C44" s="263" t="str">
        <f>IF(B161="--","",ROUNDUP(Table30[[#This Row],[DB Number]]/NumDBPerVol,0))</f>
        <v/>
      </c>
      <c r="D44" s="263" t="str">
        <f t="shared" si="2"/>
        <v/>
      </c>
      <c r="E44" s="38"/>
      <c r="F44" s="38"/>
      <c r="G44" s="39"/>
      <c r="H44" s="36"/>
      <c r="I44" s="34"/>
      <c r="J44" s="37"/>
      <c r="K44" s="53"/>
    </row>
    <row r="45" spans="1:11" hidden="1" outlineLevel="1" x14ac:dyDescent="0.2">
      <c r="A45" s="42"/>
      <c r="B45" s="45" t="str">
        <f t="shared" si="3"/>
        <v/>
      </c>
      <c r="C45" s="263" t="str">
        <f>IF(B162="--","",ROUNDUP(Table30[[#This Row],[DB Number]]/NumDBPerVol,0))</f>
        <v/>
      </c>
      <c r="D45" s="263" t="str">
        <f t="shared" si="2"/>
        <v/>
      </c>
      <c r="E45" s="38"/>
      <c r="F45" s="38"/>
      <c r="G45" s="39"/>
      <c r="H45" s="36"/>
      <c r="I45" s="34"/>
      <c r="J45" s="37"/>
      <c r="K45" s="53"/>
    </row>
    <row r="46" spans="1:11" hidden="1" outlineLevel="1" x14ac:dyDescent="0.2">
      <c r="A46" s="42"/>
      <c r="B46" s="45" t="str">
        <f t="shared" si="3"/>
        <v/>
      </c>
      <c r="C46" s="263" t="str">
        <f>IF(B163="--","",ROUNDUP(Table30[[#This Row],[DB Number]]/NumDBPerVol,0))</f>
        <v/>
      </c>
      <c r="D46" s="263" t="str">
        <f t="shared" si="2"/>
        <v/>
      </c>
      <c r="E46" s="38"/>
      <c r="F46" s="38"/>
      <c r="G46" s="39"/>
      <c r="H46" s="36"/>
      <c r="I46" s="34"/>
      <c r="J46" s="37"/>
      <c r="K46" s="53"/>
    </row>
    <row r="47" spans="1:11" hidden="1" outlineLevel="1" x14ac:dyDescent="0.2">
      <c r="A47" s="42"/>
      <c r="B47" s="45" t="str">
        <f t="shared" si="3"/>
        <v/>
      </c>
      <c r="C47" s="263" t="str">
        <f>IF(B164="--","",ROUNDUP(Table30[[#This Row],[DB Number]]/NumDBPerVol,0))</f>
        <v/>
      </c>
      <c r="D47" s="263" t="str">
        <f t="shared" ref="D47:D78" si="4">IF(H164="--","",ROUNDUP(VALUE(IF(LEFT(RIGHT(H164,2),1)="B",RIGHT(H164,1),IF(LEN(H164)&gt;=10,RIGHT(H164,3),RIGHT(H164,2))))/NumDBPerVol,0))</f>
        <v/>
      </c>
      <c r="E47" s="38"/>
      <c r="F47" s="38"/>
      <c r="G47" s="39"/>
      <c r="H47" s="36"/>
      <c r="I47" s="34"/>
      <c r="J47" s="37"/>
      <c r="K47" s="53"/>
    </row>
    <row r="48" spans="1:11" hidden="1" outlineLevel="1" x14ac:dyDescent="0.2">
      <c r="A48" s="42"/>
      <c r="B48" s="45" t="str">
        <f t="shared" si="3"/>
        <v/>
      </c>
      <c r="C48" s="263" t="str">
        <f>IF(B165="--","",ROUNDUP(Table30[[#This Row],[DB Number]]/NumDBPerVol,0))</f>
        <v/>
      </c>
      <c r="D48" s="263" t="str">
        <f t="shared" si="4"/>
        <v/>
      </c>
      <c r="E48" s="38"/>
      <c r="F48" s="38"/>
      <c r="G48" s="39"/>
      <c r="H48" s="36"/>
      <c r="I48" s="34"/>
      <c r="J48" s="37"/>
      <c r="K48" s="53"/>
    </row>
    <row r="49" spans="1:11" hidden="1" outlineLevel="1" x14ac:dyDescent="0.2">
      <c r="A49" s="42"/>
      <c r="B49" s="45" t="str">
        <f t="shared" si="3"/>
        <v/>
      </c>
      <c r="C49" s="263" t="str">
        <f>IF(B166="--","",ROUNDUP(Table30[[#This Row],[DB Number]]/NumDBPerVol,0))</f>
        <v/>
      </c>
      <c r="D49" s="263" t="str">
        <f t="shared" si="4"/>
        <v/>
      </c>
      <c r="E49" s="38"/>
      <c r="F49" s="38"/>
      <c r="G49" s="39"/>
      <c r="H49" s="36"/>
      <c r="I49" s="34"/>
      <c r="J49" s="37"/>
      <c r="K49" s="53"/>
    </row>
    <row r="50" spans="1:11" hidden="1" outlineLevel="1" x14ac:dyDescent="0.2">
      <c r="A50" s="42"/>
      <c r="B50" s="45" t="str">
        <f t="shared" si="3"/>
        <v/>
      </c>
      <c r="C50" s="263" t="str">
        <f>IF(B167="--","",ROUNDUP(Table30[[#This Row],[DB Number]]/NumDBPerVol,0))</f>
        <v/>
      </c>
      <c r="D50" s="263" t="str">
        <f t="shared" si="4"/>
        <v/>
      </c>
      <c r="E50" s="38"/>
      <c r="F50" s="38"/>
      <c r="G50" s="39"/>
      <c r="H50" s="36"/>
      <c r="I50" s="34"/>
      <c r="J50" s="37"/>
      <c r="K50" s="53"/>
    </row>
    <row r="51" spans="1:11" hidden="1" outlineLevel="1" x14ac:dyDescent="0.2">
      <c r="A51" s="42"/>
      <c r="B51" s="45" t="str">
        <f t="shared" si="3"/>
        <v/>
      </c>
      <c r="C51" s="263" t="str">
        <f>IF(B168="--","",ROUNDUP(Table30[[#This Row],[DB Number]]/NumDBPerVol,0))</f>
        <v/>
      </c>
      <c r="D51" s="263" t="str">
        <f t="shared" si="4"/>
        <v/>
      </c>
      <c r="E51" s="38"/>
      <c r="F51" s="38"/>
      <c r="G51" s="39"/>
      <c r="H51" s="36"/>
      <c r="I51" s="34"/>
      <c r="J51" s="37"/>
      <c r="K51" s="53"/>
    </row>
    <row r="52" spans="1:11" hidden="1" outlineLevel="1" x14ac:dyDescent="0.2">
      <c r="A52" s="42"/>
      <c r="B52" s="45" t="str">
        <f t="shared" si="3"/>
        <v/>
      </c>
      <c r="C52" s="263" t="str">
        <f>IF(B169="--","",ROUNDUP(Table30[[#This Row],[DB Number]]/NumDBPerVol,0))</f>
        <v/>
      </c>
      <c r="D52" s="263" t="str">
        <f t="shared" si="4"/>
        <v/>
      </c>
      <c r="E52" s="38"/>
      <c r="F52" s="38"/>
      <c r="G52" s="39"/>
      <c r="H52" s="36"/>
      <c r="I52" s="34"/>
      <c r="J52" s="37"/>
      <c r="K52" s="53"/>
    </row>
    <row r="53" spans="1:11" hidden="1" outlineLevel="1" x14ac:dyDescent="0.2">
      <c r="A53" s="42"/>
      <c r="B53" s="45" t="str">
        <f t="shared" si="3"/>
        <v/>
      </c>
      <c r="C53" s="263" t="str">
        <f>IF(B170="--","",ROUNDUP(Table30[[#This Row],[DB Number]]/NumDBPerVol,0))</f>
        <v/>
      </c>
      <c r="D53" s="263" t="str">
        <f t="shared" si="4"/>
        <v/>
      </c>
      <c r="E53" s="38"/>
      <c r="F53" s="38"/>
      <c r="G53" s="39"/>
      <c r="H53" s="36"/>
      <c r="I53" s="34"/>
      <c r="J53" s="37"/>
      <c r="K53" s="53"/>
    </row>
    <row r="54" spans="1:11" hidden="1" outlineLevel="1" x14ac:dyDescent="0.2">
      <c r="A54" s="42"/>
      <c r="B54" s="45" t="str">
        <f t="shared" si="3"/>
        <v/>
      </c>
      <c r="C54" s="263" t="str">
        <f>IF(B171="--","",ROUNDUP(Table30[[#This Row],[DB Number]]/NumDBPerVol,0))</f>
        <v/>
      </c>
      <c r="D54" s="263" t="str">
        <f t="shared" si="4"/>
        <v/>
      </c>
      <c r="E54" s="38"/>
      <c r="F54" s="38"/>
      <c r="G54" s="39"/>
      <c r="H54" s="36"/>
      <c r="I54" s="34"/>
      <c r="J54" s="37"/>
      <c r="K54" s="53"/>
    </row>
    <row r="55" spans="1:11" hidden="1" outlineLevel="1" x14ac:dyDescent="0.2">
      <c r="A55" s="42"/>
      <c r="B55" s="45" t="str">
        <f t="shared" si="3"/>
        <v/>
      </c>
      <c r="C55" s="263" t="str">
        <f>IF(B172="--","",ROUNDUP(Table30[[#This Row],[DB Number]]/NumDBPerVol,0))</f>
        <v/>
      </c>
      <c r="D55" s="263" t="str">
        <f t="shared" si="4"/>
        <v/>
      </c>
      <c r="E55" s="38"/>
      <c r="F55" s="38"/>
      <c r="G55" s="39"/>
      <c r="H55" s="36"/>
      <c r="I55" s="34"/>
      <c r="J55" s="37"/>
      <c r="K55" s="53"/>
    </row>
    <row r="56" spans="1:11" hidden="1" outlineLevel="1" x14ac:dyDescent="0.2">
      <c r="A56" s="42"/>
      <c r="B56" s="45" t="str">
        <f t="shared" si="3"/>
        <v/>
      </c>
      <c r="C56" s="263" t="str">
        <f>IF(B173="--","",ROUNDUP(Table30[[#This Row],[DB Number]]/NumDBPerVol,0))</f>
        <v/>
      </c>
      <c r="D56" s="263" t="str">
        <f t="shared" si="4"/>
        <v/>
      </c>
      <c r="E56" s="38"/>
      <c r="F56" s="38"/>
      <c r="G56" s="39"/>
      <c r="H56" s="262"/>
      <c r="I56" s="261"/>
      <c r="J56" s="37"/>
      <c r="K56" s="53"/>
    </row>
    <row r="57" spans="1:11" hidden="1" outlineLevel="1" x14ac:dyDescent="0.2">
      <c r="A57" s="42"/>
      <c r="B57" s="45" t="str">
        <f t="shared" si="3"/>
        <v/>
      </c>
      <c r="C57" s="263" t="str">
        <f>IF(B174="--","",ROUNDUP(Table30[[#This Row],[DB Number]]/NumDBPerVol,0))</f>
        <v/>
      </c>
      <c r="D57" s="263" t="str">
        <f t="shared" si="4"/>
        <v/>
      </c>
      <c r="E57" s="38"/>
      <c r="F57" s="38"/>
      <c r="G57" s="39"/>
      <c r="H57" s="262"/>
      <c r="I57" s="261"/>
      <c r="J57" s="37"/>
      <c r="K57" s="53"/>
    </row>
    <row r="58" spans="1:11" hidden="1" outlineLevel="1" x14ac:dyDescent="0.2">
      <c r="A58" s="42"/>
      <c r="B58" s="45" t="str">
        <f t="shared" si="3"/>
        <v/>
      </c>
      <c r="C58" s="263" t="str">
        <f>IF(B175="--","",ROUNDUP(Table30[[#This Row],[DB Number]]/NumDBPerVol,0))</f>
        <v/>
      </c>
      <c r="D58" s="263" t="str">
        <f t="shared" si="4"/>
        <v/>
      </c>
      <c r="E58" s="38"/>
      <c r="F58" s="38"/>
      <c r="G58" s="39"/>
      <c r="H58" s="262"/>
      <c r="I58" s="261"/>
      <c r="J58" s="37"/>
      <c r="K58" s="53"/>
    </row>
    <row r="59" spans="1:11" hidden="1" outlineLevel="1" x14ac:dyDescent="0.2">
      <c r="A59" s="42"/>
      <c r="B59" s="45" t="str">
        <f t="shared" si="3"/>
        <v/>
      </c>
      <c r="C59" s="263" t="str">
        <f>IF(B176="--","",ROUNDUP(Table30[[#This Row],[DB Number]]/NumDBPerVol,0))</f>
        <v/>
      </c>
      <c r="D59" s="263" t="str">
        <f t="shared" si="4"/>
        <v/>
      </c>
      <c r="E59" s="38"/>
      <c r="F59" s="38"/>
      <c r="G59" s="39"/>
      <c r="H59" s="262"/>
      <c r="I59" s="261"/>
      <c r="J59" s="37"/>
      <c r="K59" s="53"/>
    </row>
    <row r="60" spans="1:11" hidden="1" outlineLevel="1" x14ac:dyDescent="0.2">
      <c r="A60" s="42"/>
      <c r="B60" s="45" t="str">
        <f t="shared" si="3"/>
        <v/>
      </c>
      <c r="C60" s="263" t="str">
        <f>IF(B177="--","",ROUNDUP(Table30[[#This Row],[DB Number]]/NumDBPerVol,0))</f>
        <v/>
      </c>
      <c r="D60" s="263" t="str">
        <f t="shared" si="4"/>
        <v/>
      </c>
      <c r="E60" s="38"/>
      <c r="F60" s="38"/>
      <c r="G60" s="39"/>
      <c r="H60" s="262"/>
      <c r="I60" s="261"/>
      <c r="J60" s="37"/>
      <c r="K60" s="53"/>
    </row>
    <row r="61" spans="1:11" hidden="1" outlineLevel="1" x14ac:dyDescent="0.2">
      <c r="A61" s="42"/>
      <c r="B61" s="45" t="str">
        <f t="shared" si="3"/>
        <v/>
      </c>
      <c r="C61" s="263" t="str">
        <f>IF(B178="--","",ROUNDUP(Table30[[#This Row],[DB Number]]/NumDBPerVol,0))</f>
        <v/>
      </c>
      <c r="D61" s="263" t="str">
        <f t="shared" si="4"/>
        <v/>
      </c>
      <c r="E61" s="38"/>
      <c r="F61" s="38"/>
      <c r="G61" s="39"/>
      <c r="H61" s="262"/>
      <c r="I61" s="261"/>
      <c r="J61" s="37"/>
      <c r="K61" s="53"/>
    </row>
    <row r="62" spans="1:11" hidden="1" outlineLevel="1" x14ac:dyDescent="0.2">
      <c r="A62" s="42"/>
      <c r="B62" s="45" t="str">
        <f t="shared" si="3"/>
        <v/>
      </c>
      <c r="C62" s="263" t="str">
        <f>IF(B179="--","",ROUNDUP(Table30[[#This Row],[DB Number]]/NumDBPerVol,0))</f>
        <v/>
      </c>
      <c r="D62" s="263" t="str">
        <f t="shared" si="4"/>
        <v/>
      </c>
      <c r="E62" s="38"/>
      <c r="F62" s="38"/>
      <c r="G62" s="39"/>
      <c r="H62" s="262"/>
      <c r="I62" s="261"/>
      <c r="J62" s="37"/>
      <c r="K62" s="53"/>
    </row>
    <row r="63" spans="1:11" hidden="1" outlineLevel="1" x14ac:dyDescent="0.2">
      <c r="A63" s="42"/>
      <c r="B63" s="45" t="str">
        <f t="shared" si="3"/>
        <v/>
      </c>
      <c r="C63" s="263" t="str">
        <f>IF(B180="--","",ROUNDUP(Table30[[#This Row],[DB Number]]/NumDBPerVol,0))</f>
        <v/>
      </c>
      <c r="D63" s="263" t="str">
        <f t="shared" si="4"/>
        <v/>
      </c>
      <c r="E63" s="38"/>
      <c r="F63" s="38"/>
      <c r="G63" s="39"/>
      <c r="H63" s="262"/>
      <c r="I63" s="261"/>
      <c r="J63" s="37"/>
      <c r="K63" s="53"/>
    </row>
    <row r="64" spans="1:11" hidden="1" outlineLevel="1" x14ac:dyDescent="0.2">
      <c r="A64" s="42"/>
      <c r="B64" s="45" t="str">
        <f t="shared" si="3"/>
        <v/>
      </c>
      <c r="C64" s="263" t="str">
        <f>IF(B181="--","",ROUNDUP(Table30[[#This Row],[DB Number]]/NumDBPerVol,0))</f>
        <v/>
      </c>
      <c r="D64" s="263" t="str">
        <f t="shared" si="4"/>
        <v/>
      </c>
      <c r="E64" s="38"/>
      <c r="F64" s="38"/>
      <c r="G64" s="39"/>
      <c r="H64" s="262"/>
      <c r="I64" s="261"/>
      <c r="J64" s="37"/>
      <c r="K64" s="53"/>
    </row>
    <row r="65" spans="1:11" hidden="1" outlineLevel="1" x14ac:dyDescent="0.2">
      <c r="A65" s="42"/>
      <c r="B65" s="45" t="str">
        <f t="shared" si="3"/>
        <v/>
      </c>
      <c r="C65" s="263" t="str">
        <f>IF(B182="--","",ROUNDUP(Table30[[#This Row],[DB Number]]/NumDBPerVol,0))</f>
        <v/>
      </c>
      <c r="D65" s="263" t="str">
        <f t="shared" si="4"/>
        <v/>
      </c>
      <c r="E65" s="38"/>
      <c r="F65" s="38"/>
      <c r="G65" s="39"/>
      <c r="H65" s="262"/>
      <c r="I65" s="261"/>
      <c r="J65" s="37"/>
      <c r="K65" s="53"/>
    </row>
    <row r="66" spans="1:11" hidden="1" outlineLevel="1" x14ac:dyDescent="0.2">
      <c r="A66" s="42"/>
      <c r="B66" s="45" t="str">
        <f t="shared" si="3"/>
        <v/>
      </c>
      <c r="C66" s="263" t="str">
        <f>IF(B183="--","",ROUNDUP(Table30[[#This Row],[DB Number]]/NumDBPerVol,0))</f>
        <v/>
      </c>
      <c r="D66" s="263" t="str">
        <f t="shared" si="4"/>
        <v/>
      </c>
      <c r="E66" s="38"/>
      <c r="F66" s="38"/>
      <c r="G66" s="39"/>
      <c r="H66" s="262"/>
      <c r="I66" s="261"/>
      <c r="J66" s="37"/>
      <c r="K66" s="53"/>
    </row>
    <row r="67" spans="1:11" hidden="1" outlineLevel="1" x14ac:dyDescent="0.2">
      <c r="A67" s="42"/>
      <c r="B67" s="45" t="str">
        <f t="shared" si="3"/>
        <v/>
      </c>
      <c r="C67" s="263" t="str">
        <f>IF(B184="--","",ROUNDUP(Table30[[#This Row],[DB Number]]/NumDBPerVol,0))</f>
        <v/>
      </c>
      <c r="D67" s="263" t="str">
        <f t="shared" si="4"/>
        <v/>
      </c>
      <c r="E67" s="38"/>
      <c r="F67" s="38"/>
      <c r="G67" s="39"/>
      <c r="H67" s="262"/>
      <c r="I67" s="261"/>
      <c r="J67" s="37"/>
      <c r="K67" s="53"/>
    </row>
    <row r="68" spans="1:11" hidden="1" outlineLevel="1" x14ac:dyDescent="0.2">
      <c r="A68" s="42"/>
      <c r="B68" s="45" t="str">
        <f t="shared" si="3"/>
        <v/>
      </c>
      <c r="C68" s="263" t="str">
        <f>IF(B185="--","",ROUNDUP(Table30[[#This Row],[DB Number]]/NumDBPerVol,0))</f>
        <v/>
      </c>
      <c r="D68" s="263" t="str">
        <f t="shared" si="4"/>
        <v/>
      </c>
      <c r="E68" s="38"/>
      <c r="F68" s="38"/>
      <c r="G68" s="39"/>
      <c r="H68" s="262"/>
      <c r="I68" s="261"/>
      <c r="J68" s="37"/>
      <c r="K68" s="53"/>
    </row>
    <row r="69" spans="1:11" hidden="1" outlineLevel="1" x14ac:dyDescent="0.2">
      <c r="A69" s="42"/>
      <c r="B69" s="45" t="str">
        <f t="shared" si="3"/>
        <v/>
      </c>
      <c r="C69" s="263" t="str">
        <f>IF(B186="--","",ROUNDUP(Table30[[#This Row],[DB Number]]/NumDBPerVol,0))</f>
        <v/>
      </c>
      <c r="D69" s="263" t="str">
        <f t="shared" si="4"/>
        <v/>
      </c>
      <c r="E69" s="38"/>
      <c r="F69" s="38"/>
      <c r="G69" s="39"/>
      <c r="H69" s="262"/>
      <c r="I69" s="261"/>
      <c r="J69" s="37"/>
      <c r="K69" s="53"/>
    </row>
    <row r="70" spans="1:11" hidden="1" outlineLevel="1" x14ac:dyDescent="0.2">
      <c r="A70" s="42"/>
      <c r="B70" s="45" t="str">
        <f t="shared" si="3"/>
        <v/>
      </c>
      <c r="C70" s="263" t="str">
        <f>IF(B187="--","",ROUNDUP(Table30[[#This Row],[DB Number]]/NumDBPerVol,0))</f>
        <v/>
      </c>
      <c r="D70" s="263" t="str">
        <f t="shared" si="4"/>
        <v/>
      </c>
      <c r="E70" s="38"/>
      <c r="F70" s="38"/>
      <c r="G70" s="39"/>
      <c r="H70" s="262"/>
      <c r="I70" s="261"/>
      <c r="J70" s="37"/>
      <c r="K70" s="53"/>
    </row>
    <row r="71" spans="1:11" hidden="1" outlineLevel="1" x14ac:dyDescent="0.2">
      <c r="A71" s="42"/>
      <c r="B71" s="45" t="str">
        <f t="shared" ref="B71:B102" si="5">IF(B188&lt;&gt;"--",IF(B188="DB-x",B70+1,B188),"")</f>
        <v/>
      </c>
      <c r="C71" s="263" t="str">
        <f>IF(B188="--","",ROUNDUP(Table30[[#This Row],[DB Number]]/NumDBPerVol,0))</f>
        <v/>
      </c>
      <c r="D71" s="263" t="str">
        <f t="shared" si="4"/>
        <v/>
      </c>
      <c r="E71" s="38"/>
      <c r="F71" s="38"/>
      <c r="G71" s="39"/>
      <c r="H71" s="262"/>
      <c r="I71" s="261"/>
      <c r="J71" s="37"/>
      <c r="K71" s="53"/>
    </row>
    <row r="72" spans="1:11" hidden="1" outlineLevel="1" x14ac:dyDescent="0.2">
      <c r="A72" s="42"/>
      <c r="B72" s="45" t="str">
        <f t="shared" si="5"/>
        <v/>
      </c>
      <c r="C72" s="263" t="str">
        <f>IF(B189="--","",ROUNDUP(Table30[[#This Row],[DB Number]]/NumDBPerVol,0))</f>
        <v/>
      </c>
      <c r="D72" s="263" t="str">
        <f t="shared" si="4"/>
        <v/>
      </c>
      <c r="E72" s="38"/>
      <c r="F72" s="38"/>
      <c r="G72" s="39"/>
      <c r="H72" s="262"/>
      <c r="I72" s="261"/>
      <c r="J72" s="37"/>
      <c r="K72" s="53"/>
    </row>
    <row r="73" spans="1:11" hidden="1" outlineLevel="1" x14ac:dyDescent="0.2">
      <c r="A73" s="42"/>
      <c r="B73" s="45" t="str">
        <f t="shared" si="5"/>
        <v/>
      </c>
      <c r="C73" s="263" t="str">
        <f>IF(B190="--","",ROUNDUP(Table30[[#This Row],[DB Number]]/NumDBPerVol,0))</f>
        <v/>
      </c>
      <c r="D73" s="263" t="str">
        <f t="shared" si="4"/>
        <v/>
      </c>
      <c r="E73" s="38"/>
      <c r="F73" s="38"/>
      <c r="G73" s="39"/>
      <c r="H73" s="262"/>
      <c r="I73" s="261"/>
      <c r="J73" s="37"/>
      <c r="K73" s="53"/>
    </row>
    <row r="74" spans="1:11" hidden="1" outlineLevel="1" x14ac:dyDescent="0.2">
      <c r="A74" s="42"/>
      <c r="B74" s="45" t="str">
        <f t="shared" si="5"/>
        <v/>
      </c>
      <c r="C74" s="263" t="str">
        <f>IF(B191="--","",ROUNDUP(Table30[[#This Row],[DB Number]]/NumDBPerVol,0))</f>
        <v/>
      </c>
      <c r="D74" s="263" t="str">
        <f t="shared" si="4"/>
        <v/>
      </c>
      <c r="E74" s="38"/>
      <c r="F74" s="38"/>
      <c r="G74" s="39"/>
      <c r="H74" s="262"/>
      <c r="I74" s="261"/>
      <c r="J74" s="37"/>
      <c r="K74" s="53"/>
    </row>
    <row r="75" spans="1:11" hidden="1" outlineLevel="1" x14ac:dyDescent="0.2">
      <c r="A75" s="42"/>
      <c r="B75" s="45" t="str">
        <f t="shared" si="5"/>
        <v/>
      </c>
      <c r="C75" s="263" t="str">
        <f>IF(B192="--","",ROUNDUP(Table30[[#This Row],[DB Number]]/NumDBPerVol,0))</f>
        <v/>
      </c>
      <c r="D75" s="263" t="str">
        <f t="shared" si="4"/>
        <v/>
      </c>
      <c r="E75" s="38"/>
      <c r="F75" s="38"/>
      <c r="G75" s="39"/>
      <c r="H75" s="262"/>
      <c r="I75" s="261"/>
      <c r="J75" s="37"/>
      <c r="K75" s="53"/>
    </row>
    <row r="76" spans="1:11" hidden="1" outlineLevel="1" x14ac:dyDescent="0.2">
      <c r="A76" s="42"/>
      <c r="B76" s="45" t="str">
        <f t="shared" si="5"/>
        <v/>
      </c>
      <c r="C76" s="263" t="str">
        <f>IF(B193="--","",ROUNDUP(Table30[[#This Row],[DB Number]]/NumDBPerVol,0))</f>
        <v/>
      </c>
      <c r="D76" s="263" t="str">
        <f t="shared" si="4"/>
        <v/>
      </c>
      <c r="E76" s="38"/>
      <c r="F76" s="38"/>
      <c r="G76" s="39"/>
      <c r="H76" s="262"/>
      <c r="I76" s="261"/>
      <c r="J76" s="37"/>
      <c r="K76" s="53"/>
    </row>
    <row r="77" spans="1:11" hidden="1" outlineLevel="1" x14ac:dyDescent="0.2">
      <c r="A77" s="42"/>
      <c r="B77" s="45" t="str">
        <f t="shared" si="5"/>
        <v/>
      </c>
      <c r="C77" s="263" t="str">
        <f>IF(B194="--","",ROUNDUP(Table30[[#This Row],[DB Number]]/NumDBPerVol,0))</f>
        <v/>
      </c>
      <c r="D77" s="263" t="str">
        <f t="shared" si="4"/>
        <v/>
      </c>
      <c r="E77" s="38"/>
      <c r="F77" s="38"/>
      <c r="G77" s="39"/>
      <c r="H77" s="262"/>
      <c r="I77" s="261"/>
      <c r="J77" s="37"/>
      <c r="K77" s="53"/>
    </row>
    <row r="78" spans="1:11" hidden="1" outlineLevel="1" x14ac:dyDescent="0.2">
      <c r="A78" s="42"/>
      <c r="B78" s="45" t="str">
        <f t="shared" si="5"/>
        <v/>
      </c>
      <c r="C78" s="263" t="str">
        <f>IF(B195="--","",ROUNDUP(Table30[[#This Row],[DB Number]]/NumDBPerVol,0))</f>
        <v/>
      </c>
      <c r="D78" s="263" t="str">
        <f t="shared" si="4"/>
        <v/>
      </c>
      <c r="E78" s="38"/>
      <c r="F78" s="38"/>
      <c r="G78" s="39"/>
      <c r="H78" s="262"/>
      <c r="I78" s="261"/>
      <c r="J78" s="37"/>
      <c r="K78" s="53"/>
    </row>
    <row r="79" spans="1:11" hidden="1" outlineLevel="1" x14ac:dyDescent="0.2">
      <c r="A79" s="42"/>
      <c r="B79" s="45" t="str">
        <f t="shared" si="5"/>
        <v/>
      </c>
      <c r="C79" s="263" t="str">
        <f>IF(B196="--","",ROUNDUP(Table30[[#This Row],[DB Number]]/NumDBPerVol,0))</f>
        <v/>
      </c>
      <c r="D79" s="263" t="str">
        <f t="shared" ref="D79:D104" si="6">IF(H196="--","",ROUNDUP(VALUE(IF(LEFT(RIGHT(H196,2),1)="B",RIGHT(H196,1),IF(LEN(H196)&gt;=10,RIGHT(H196,3),RIGHT(H196,2))))/NumDBPerVol,0))</f>
        <v/>
      </c>
      <c r="E79" s="38"/>
      <c r="F79" s="38"/>
      <c r="G79" s="39"/>
      <c r="H79" s="262"/>
      <c r="I79" s="261"/>
      <c r="J79" s="37"/>
      <c r="K79" s="53"/>
    </row>
    <row r="80" spans="1:11" hidden="1" outlineLevel="1" x14ac:dyDescent="0.2">
      <c r="A80" s="42"/>
      <c r="B80" s="45" t="str">
        <f t="shared" si="5"/>
        <v/>
      </c>
      <c r="C80" s="263" t="str">
        <f>IF(B197="--","",ROUNDUP(Table30[[#This Row],[DB Number]]/NumDBPerVol,0))</f>
        <v/>
      </c>
      <c r="D80" s="263" t="str">
        <f t="shared" si="6"/>
        <v/>
      </c>
      <c r="E80" s="38"/>
      <c r="F80" s="38"/>
      <c r="G80" s="39"/>
      <c r="H80" s="262"/>
      <c r="I80" s="261"/>
      <c r="J80" s="37"/>
      <c r="K80" s="53"/>
    </row>
    <row r="81" spans="1:11" hidden="1" outlineLevel="1" x14ac:dyDescent="0.2">
      <c r="A81" s="42"/>
      <c r="B81" s="45" t="str">
        <f t="shared" si="5"/>
        <v/>
      </c>
      <c r="C81" s="263" t="str">
        <f>IF(B198="--","",ROUNDUP(Table30[[#This Row],[DB Number]]/NumDBPerVol,0))</f>
        <v/>
      </c>
      <c r="D81" s="263" t="str">
        <f t="shared" si="6"/>
        <v/>
      </c>
      <c r="E81" s="38"/>
      <c r="F81" s="38"/>
      <c r="G81" s="39"/>
      <c r="H81" s="262"/>
      <c r="I81" s="261"/>
      <c r="J81" s="37"/>
      <c r="K81" s="53"/>
    </row>
    <row r="82" spans="1:11" hidden="1" outlineLevel="1" x14ac:dyDescent="0.2">
      <c r="A82" s="42"/>
      <c r="B82" s="45" t="str">
        <f t="shared" si="5"/>
        <v/>
      </c>
      <c r="C82" s="263" t="str">
        <f>IF(B199="--","",ROUNDUP(Table30[[#This Row],[DB Number]]/NumDBPerVol,0))</f>
        <v/>
      </c>
      <c r="D82" s="263" t="str">
        <f t="shared" si="6"/>
        <v/>
      </c>
      <c r="E82" s="38"/>
      <c r="F82" s="38"/>
      <c r="G82" s="39"/>
      <c r="H82" s="262"/>
      <c r="I82" s="261"/>
      <c r="J82" s="37"/>
      <c r="K82" s="53"/>
    </row>
    <row r="83" spans="1:11" hidden="1" outlineLevel="1" x14ac:dyDescent="0.2">
      <c r="A83" s="42"/>
      <c r="B83" s="45" t="str">
        <f t="shared" si="5"/>
        <v/>
      </c>
      <c r="C83" s="263" t="str">
        <f>IF(B200="--","",ROUNDUP(Table30[[#This Row],[DB Number]]/NumDBPerVol,0))</f>
        <v/>
      </c>
      <c r="D83" s="263" t="str">
        <f t="shared" si="6"/>
        <v/>
      </c>
      <c r="E83" s="38"/>
      <c r="F83" s="38"/>
      <c r="G83" s="39"/>
      <c r="H83" s="262"/>
      <c r="I83" s="261"/>
      <c r="J83" s="37"/>
      <c r="K83" s="53"/>
    </row>
    <row r="84" spans="1:11" hidden="1" outlineLevel="1" x14ac:dyDescent="0.2">
      <c r="A84" s="42"/>
      <c r="B84" s="45" t="str">
        <f t="shared" si="5"/>
        <v/>
      </c>
      <c r="C84" s="263" t="str">
        <f>IF(B201="--","",ROUNDUP(Table30[[#This Row],[DB Number]]/NumDBPerVol,0))</f>
        <v/>
      </c>
      <c r="D84" s="263" t="str">
        <f t="shared" si="6"/>
        <v/>
      </c>
      <c r="E84" s="38"/>
      <c r="F84" s="38"/>
      <c r="G84" s="39"/>
      <c r="H84" s="262"/>
      <c r="I84" s="261"/>
      <c r="J84" s="37"/>
      <c r="K84" s="53"/>
    </row>
    <row r="85" spans="1:11" hidden="1" outlineLevel="1" x14ac:dyDescent="0.2">
      <c r="A85" s="42"/>
      <c r="B85" s="45" t="str">
        <f t="shared" si="5"/>
        <v/>
      </c>
      <c r="C85" s="263" t="str">
        <f>IF(B202="--","",ROUNDUP(Table30[[#This Row],[DB Number]]/NumDBPerVol,0))</f>
        <v/>
      </c>
      <c r="D85" s="263" t="str">
        <f t="shared" si="6"/>
        <v/>
      </c>
      <c r="E85" s="38"/>
      <c r="F85" s="38"/>
      <c r="G85" s="39"/>
      <c r="H85" s="262"/>
      <c r="I85" s="261"/>
      <c r="J85" s="37"/>
      <c r="K85" s="53"/>
    </row>
    <row r="86" spans="1:11" hidden="1" outlineLevel="1" x14ac:dyDescent="0.2">
      <c r="A86" s="42"/>
      <c r="B86" s="45" t="str">
        <f t="shared" si="5"/>
        <v/>
      </c>
      <c r="C86" s="263" t="str">
        <f>IF(B203="--","",ROUNDUP(Table30[[#This Row],[DB Number]]/NumDBPerVol,0))</f>
        <v/>
      </c>
      <c r="D86" s="263" t="str">
        <f t="shared" si="6"/>
        <v/>
      </c>
      <c r="E86" s="38"/>
      <c r="F86" s="38"/>
      <c r="G86" s="39"/>
      <c r="H86" s="262"/>
      <c r="I86" s="261"/>
      <c r="J86" s="37"/>
      <c r="K86" s="53"/>
    </row>
    <row r="87" spans="1:11" hidden="1" outlineLevel="1" x14ac:dyDescent="0.2">
      <c r="A87" s="42"/>
      <c r="B87" s="45" t="str">
        <f t="shared" si="5"/>
        <v/>
      </c>
      <c r="C87" s="263" t="str">
        <f>IF(B204="--","",ROUNDUP(Table30[[#This Row],[DB Number]]/NumDBPerVol,0))</f>
        <v/>
      </c>
      <c r="D87" s="263" t="str">
        <f t="shared" si="6"/>
        <v/>
      </c>
      <c r="E87" s="38"/>
      <c r="F87" s="38"/>
      <c r="G87" s="39"/>
      <c r="H87" s="262"/>
      <c r="I87" s="261"/>
      <c r="J87" s="37"/>
      <c r="K87" s="53"/>
    </row>
    <row r="88" spans="1:11" hidden="1" outlineLevel="1" x14ac:dyDescent="0.2">
      <c r="A88" s="42"/>
      <c r="B88" s="45" t="str">
        <f t="shared" si="5"/>
        <v/>
      </c>
      <c r="C88" s="263" t="str">
        <f>IF(B205="--","",ROUNDUP(Table30[[#This Row],[DB Number]]/NumDBPerVol,0))</f>
        <v/>
      </c>
      <c r="D88" s="263" t="str">
        <f t="shared" si="6"/>
        <v/>
      </c>
      <c r="E88" s="38"/>
      <c r="F88" s="38"/>
      <c r="G88" s="39"/>
      <c r="H88" s="262"/>
      <c r="I88" s="261"/>
      <c r="J88" s="37"/>
      <c r="K88" s="53"/>
    </row>
    <row r="89" spans="1:11" hidden="1" outlineLevel="1" x14ac:dyDescent="0.2">
      <c r="A89" s="42"/>
      <c r="B89" s="45" t="str">
        <f t="shared" si="5"/>
        <v/>
      </c>
      <c r="C89" s="263" t="str">
        <f>IF(B206="--","",ROUNDUP(Table30[[#This Row],[DB Number]]/NumDBPerVol,0))</f>
        <v/>
      </c>
      <c r="D89" s="263" t="str">
        <f t="shared" si="6"/>
        <v/>
      </c>
      <c r="E89" s="38"/>
      <c r="F89" s="38"/>
      <c r="G89" s="39"/>
      <c r="H89" s="262"/>
      <c r="I89" s="261"/>
      <c r="J89" s="37"/>
      <c r="K89" s="53"/>
    </row>
    <row r="90" spans="1:11" hidden="1" outlineLevel="1" x14ac:dyDescent="0.2">
      <c r="A90" s="42"/>
      <c r="B90" s="45" t="str">
        <f t="shared" si="5"/>
        <v/>
      </c>
      <c r="C90" s="263" t="str">
        <f>IF(B207="--","",ROUNDUP(Table30[[#This Row],[DB Number]]/NumDBPerVol,0))</f>
        <v/>
      </c>
      <c r="D90" s="263" t="str">
        <f t="shared" si="6"/>
        <v/>
      </c>
      <c r="E90" s="38"/>
      <c r="F90" s="38"/>
      <c r="G90" s="39"/>
      <c r="H90" s="262"/>
      <c r="I90" s="261"/>
      <c r="J90" s="37"/>
      <c r="K90" s="53"/>
    </row>
    <row r="91" spans="1:11" hidden="1" outlineLevel="1" x14ac:dyDescent="0.2">
      <c r="A91" s="42"/>
      <c r="B91" s="45" t="str">
        <f t="shared" si="5"/>
        <v/>
      </c>
      <c r="C91" s="263" t="str">
        <f>IF(B208="--","",ROUNDUP(Table30[[#This Row],[DB Number]]/NumDBPerVol,0))</f>
        <v/>
      </c>
      <c r="D91" s="263" t="str">
        <f t="shared" si="6"/>
        <v/>
      </c>
      <c r="E91" s="38"/>
      <c r="F91" s="38"/>
      <c r="G91" s="39"/>
      <c r="H91" s="262"/>
      <c r="I91" s="261"/>
      <c r="J91" s="37"/>
      <c r="K91" s="53"/>
    </row>
    <row r="92" spans="1:11" hidden="1" outlineLevel="1" x14ac:dyDescent="0.2">
      <c r="A92" s="42"/>
      <c r="B92" s="45" t="str">
        <f t="shared" si="5"/>
        <v/>
      </c>
      <c r="C92" s="263" t="str">
        <f>IF(B209="--","",ROUNDUP(Table30[[#This Row],[DB Number]]/NumDBPerVol,0))</f>
        <v/>
      </c>
      <c r="D92" s="263" t="str">
        <f t="shared" si="6"/>
        <v/>
      </c>
      <c r="E92" s="38"/>
      <c r="F92" s="38"/>
      <c r="G92" s="39"/>
      <c r="H92" s="262"/>
      <c r="I92" s="261"/>
      <c r="J92" s="37"/>
      <c r="K92" s="53"/>
    </row>
    <row r="93" spans="1:11" hidden="1" outlineLevel="1" x14ac:dyDescent="0.2">
      <c r="A93" s="42"/>
      <c r="B93" s="45" t="str">
        <f t="shared" si="5"/>
        <v/>
      </c>
      <c r="C93" s="263" t="str">
        <f>IF(B210="--","",ROUNDUP(Table30[[#This Row],[DB Number]]/NumDBPerVol,0))</f>
        <v/>
      </c>
      <c r="D93" s="263" t="str">
        <f t="shared" si="6"/>
        <v/>
      </c>
      <c r="E93" s="38"/>
      <c r="F93" s="38"/>
      <c r="G93" s="39"/>
      <c r="H93" s="262"/>
      <c r="I93" s="261"/>
      <c r="J93" s="37"/>
      <c r="K93" s="53"/>
    </row>
    <row r="94" spans="1:11" hidden="1" outlineLevel="1" x14ac:dyDescent="0.2">
      <c r="A94" s="42"/>
      <c r="B94" s="45" t="str">
        <f t="shared" si="5"/>
        <v/>
      </c>
      <c r="C94" s="263" t="str">
        <f>IF(B211="--","",ROUNDUP(Table30[[#This Row],[DB Number]]/NumDBPerVol,0))</f>
        <v/>
      </c>
      <c r="D94" s="263" t="str">
        <f t="shared" si="6"/>
        <v/>
      </c>
      <c r="E94" s="38"/>
      <c r="F94" s="38"/>
      <c r="G94" s="39"/>
      <c r="H94" s="262"/>
      <c r="I94" s="261"/>
      <c r="J94" s="37"/>
      <c r="K94" s="53"/>
    </row>
    <row r="95" spans="1:11" hidden="1" outlineLevel="1" x14ac:dyDescent="0.2">
      <c r="A95" s="42"/>
      <c r="B95" s="45" t="str">
        <f t="shared" si="5"/>
        <v/>
      </c>
      <c r="C95" s="263" t="str">
        <f>IF(B212="--","",ROUNDUP(Table30[[#This Row],[DB Number]]/NumDBPerVol,0))</f>
        <v/>
      </c>
      <c r="D95" s="263" t="str">
        <f t="shared" si="6"/>
        <v/>
      </c>
      <c r="E95" s="38"/>
      <c r="F95" s="38"/>
      <c r="G95" s="39"/>
      <c r="H95" s="262"/>
      <c r="I95" s="261"/>
      <c r="J95" s="37"/>
      <c r="K95" s="53"/>
    </row>
    <row r="96" spans="1:11" hidden="1" outlineLevel="1" x14ac:dyDescent="0.2">
      <c r="A96" s="42"/>
      <c r="B96" s="45" t="str">
        <f t="shared" si="5"/>
        <v/>
      </c>
      <c r="C96" s="263" t="str">
        <f>IF(B213="--","",ROUNDUP(Table30[[#This Row],[DB Number]]/NumDBPerVol,0))</f>
        <v/>
      </c>
      <c r="D96" s="263" t="str">
        <f t="shared" si="6"/>
        <v/>
      </c>
      <c r="E96" s="38"/>
      <c r="F96" s="38"/>
      <c r="G96" s="39"/>
      <c r="H96" s="262"/>
      <c r="I96" s="261"/>
      <c r="J96" s="37"/>
      <c r="K96" s="53"/>
    </row>
    <row r="97" spans="1:11" hidden="1" outlineLevel="1" x14ac:dyDescent="0.2">
      <c r="A97" s="42"/>
      <c r="B97" s="45" t="str">
        <f t="shared" si="5"/>
        <v/>
      </c>
      <c r="C97" s="263" t="str">
        <f>IF(B214="--","",ROUNDUP(Table30[[#This Row],[DB Number]]/NumDBPerVol,0))</f>
        <v/>
      </c>
      <c r="D97" s="263" t="str">
        <f t="shared" si="6"/>
        <v/>
      </c>
      <c r="E97" s="38"/>
      <c r="F97" s="38"/>
      <c r="G97" s="39"/>
      <c r="H97" s="262"/>
      <c r="I97" s="261"/>
      <c r="J97" s="37"/>
      <c r="K97" s="53"/>
    </row>
    <row r="98" spans="1:11" hidden="1" outlineLevel="1" x14ac:dyDescent="0.2">
      <c r="A98" s="42"/>
      <c r="B98" s="45" t="str">
        <f t="shared" si="5"/>
        <v/>
      </c>
      <c r="C98" s="263" t="str">
        <f>IF(B215="--","",ROUNDUP(Table30[[#This Row],[DB Number]]/NumDBPerVol,0))</f>
        <v/>
      </c>
      <c r="D98" s="263" t="str">
        <f t="shared" si="6"/>
        <v/>
      </c>
      <c r="E98" s="38"/>
      <c r="F98" s="38"/>
      <c r="G98" s="39"/>
      <c r="H98" s="262"/>
      <c r="I98" s="261"/>
      <c r="J98" s="37"/>
      <c r="K98" s="53"/>
    </row>
    <row r="99" spans="1:11" hidden="1" outlineLevel="1" x14ac:dyDescent="0.2">
      <c r="A99" s="42"/>
      <c r="B99" s="45" t="str">
        <f t="shared" si="5"/>
        <v/>
      </c>
      <c r="C99" s="263" t="str">
        <f>IF(B216="--","",ROUNDUP(Table30[[#This Row],[DB Number]]/NumDBPerVol,0))</f>
        <v/>
      </c>
      <c r="D99" s="263" t="str">
        <f t="shared" si="6"/>
        <v/>
      </c>
      <c r="E99" s="38"/>
      <c r="F99" s="38"/>
      <c r="G99" s="39"/>
      <c r="H99" s="262"/>
      <c r="I99" s="261"/>
      <c r="J99" s="37"/>
      <c r="K99" s="53"/>
    </row>
    <row r="100" spans="1:11" hidden="1" outlineLevel="1" x14ac:dyDescent="0.2">
      <c r="A100" s="42"/>
      <c r="B100" s="45" t="str">
        <f t="shared" si="5"/>
        <v/>
      </c>
      <c r="C100" s="263" t="str">
        <f>IF(B217="--","",ROUNDUP(Table30[[#This Row],[DB Number]]/NumDBPerVol,0))</f>
        <v/>
      </c>
      <c r="D100" s="263" t="str">
        <f t="shared" si="6"/>
        <v/>
      </c>
      <c r="E100" s="38"/>
      <c r="F100" s="38"/>
      <c r="G100" s="39"/>
      <c r="H100" s="262"/>
      <c r="I100" s="261"/>
      <c r="J100" s="37"/>
      <c r="K100" s="53"/>
    </row>
    <row r="101" spans="1:11" hidden="1" outlineLevel="1" x14ac:dyDescent="0.2">
      <c r="A101" s="42"/>
      <c r="B101" s="45" t="str">
        <f t="shared" si="5"/>
        <v/>
      </c>
      <c r="C101" s="263" t="str">
        <f>IF(B218="--","",ROUNDUP(Table30[[#This Row],[DB Number]]/NumDBPerVol,0))</f>
        <v/>
      </c>
      <c r="D101" s="263" t="str">
        <f t="shared" si="6"/>
        <v/>
      </c>
      <c r="E101" s="38"/>
      <c r="F101" s="38"/>
      <c r="G101" s="39"/>
      <c r="H101" s="262">
        <f>VALUE(IF(LEFT(RIGHT(H123,2),1)="B",RIGHT(H123,1),RIGHT(H123,2)))</f>
        <v>4</v>
      </c>
      <c r="I101" s="261"/>
      <c r="J101" s="37"/>
      <c r="K101" s="53"/>
    </row>
    <row r="102" spans="1:11" hidden="1" outlineLevel="1" x14ac:dyDescent="0.2">
      <c r="A102" s="42"/>
      <c r="B102" s="45" t="str">
        <f t="shared" si="5"/>
        <v/>
      </c>
      <c r="C102" s="263" t="str">
        <f>IF(B219="--","",ROUNDUP(Table30[[#This Row],[DB Number]]/NumDBPerVol,0))</f>
        <v/>
      </c>
      <c r="D102" s="263" t="str">
        <f t="shared" si="6"/>
        <v/>
      </c>
      <c r="E102" s="38"/>
      <c r="F102" s="38"/>
      <c r="G102" s="39"/>
      <c r="H102" s="262"/>
      <c r="I102" s="261"/>
      <c r="J102" s="37"/>
      <c r="K102" s="53"/>
    </row>
    <row r="103" spans="1:11" hidden="1" outlineLevel="1" x14ac:dyDescent="0.2">
      <c r="A103" s="42"/>
      <c r="B103" s="45" t="str">
        <f t="shared" ref="B103:B105" si="7">IF(B220&lt;&gt;"--",IF(B220="DB-x",B102+1,B220),"")</f>
        <v/>
      </c>
      <c r="C103" s="263" t="str">
        <f>IF(B220="--","",ROUNDUP(Table30[[#This Row],[DB Number]]/NumDBPerVol,0))</f>
        <v/>
      </c>
      <c r="D103" s="263" t="str">
        <f t="shared" si="6"/>
        <v/>
      </c>
      <c r="E103" s="38"/>
      <c r="F103" s="38"/>
      <c r="G103" s="39"/>
      <c r="H103" s="262"/>
      <c r="I103" s="261"/>
      <c r="J103" s="37"/>
      <c r="K103" s="53"/>
    </row>
    <row r="104" spans="1:11" hidden="1" outlineLevel="1" x14ac:dyDescent="0.2">
      <c r="A104" s="42"/>
      <c r="B104" s="45" t="str">
        <f t="shared" si="7"/>
        <v/>
      </c>
      <c r="C104" s="263" t="str">
        <f>IF(B221="--","",ROUNDUP(Table30[[#This Row],[DB Number]]/NumDBPerVol,0))</f>
        <v/>
      </c>
      <c r="D104" s="263" t="str">
        <f t="shared" si="6"/>
        <v/>
      </c>
      <c r="E104" s="38"/>
      <c r="F104" s="38"/>
      <c r="G104" s="39"/>
      <c r="H104" s="262"/>
      <c r="I104" s="261"/>
      <c r="J104" s="37"/>
      <c r="K104" s="53"/>
    </row>
    <row r="105" spans="1:11" hidden="1" outlineLevel="1" x14ac:dyDescent="0.2">
      <c r="A105" s="42"/>
      <c r="B105" s="45" t="str">
        <f t="shared" si="7"/>
        <v/>
      </c>
      <c r="C105" s="263" t="str">
        <f>IF(B222="--","",ROUNDUP(Table30[[#This Row],[DB Number]]/NumDBPerVol,0))</f>
        <v/>
      </c>
      <c r="D105" s="263" t="str">
        <f>IF(H222="--","",ROUNDUP(VALUE(IF(LEFT(RIGHT(H222,3),1)="B",RIGHT(H222,1),IF(LEN(H222)&gt;=10,RIGHT(H222,3),RIGHT(H222,3))))/NumDBPerVol,0))</f>
        <v/>
      </c>
      <c r="E105" s="38"/>
      <c r="F105" s="38"/>
      <c r="G105" s="39"/>
      <c r="H105" s="262"/>
      <c r="I105" s="261"/>
      <c r="J105" s="37"/>
      <c r="K105" s="53"/>
    </row>
    <row r="106" spans="1:11" collapsed="1" x14ac:dyDescent="0.2">
      <c r="A106" s="42"/>
      <c r="B106" s="34"/>
      <c r="C106" s="44"/>
      <c r="D106" s="44"/>
      <c r="E106" s="44"/>
      <c r="F106" s="44"/>
      <c r="G106" s="36"/>
      <c r="H106" s="36"/>
      <c r="I106" s="36"/>
      <c r="J106" s="37"/>
      <c r="K106" s="53"/>
    </row>
    <row r="107" spans="1:11" x14ac:dyDescent="0.2">
      <c r="A107" s="42"/>
      <c r="B107" s="1171" t="s">
        <v>844</v>
      </c>
      <c r="C107" s="1171"/>
      <c r="D107" s="1171"/>
      <c r="E107" s="1171"/>
      <c r="F107" s="1171"/>
      <c r="G107" s="1171"/>
      <c r="H107" s="1171"/>
      <c r="I107" s="1171"/>
      <c r="J107" s="1173"/>
      <c r="K107" s="45"/>
    </row>
    <row r="108" spans="1:11" x14ac:dyDescent="0.2">
      <c r="A108" s="42"/>
      <c r="B108" s="46"/>
      <c r="C108" s="46"/>
      <c r="D108" s="46"/>
      <c r="E108" s="46"/>
      <c r="F108" s="46"/>
      <c r="G108" s="46"/>
      <c r="H108" s="46"/>
      <c r="I108" s="46"/>
      <c r="J108" s="47"/>
      <c r="K108" s="45"/>
    </row>
    <row r="109" spans="1:11" ht="15.75" thickBot="1" x14ac:dyDescent="0.25">
      <c r="A109" s="42"/>
      <c r="B109" s="402" t="s">
        <v>845</v>
      </c>
      <c r="C109" s="204" t="s">
        <v>333</v>
      </c>
      <c r="D109" s="206"/>
      <c r="E109" s="206"/>
      <c r="F109" s="46"/>
      <c r="G109" s="46"/>
      <c r="H109" s="46"/>
      <c r="I109" s="398" t="s">
        <v>841</v>
      </c>
      <c r="J109" s="211" t="s">
        <v>333</v>
      </c>
      <c r="K109" s="45"/>
    </row>
    <row r="110" spans="1:11" ht="15.75" thickTop="1" x14ac:dyDescent="0.2">
      <c r="A110" s="42"/>
      <c r="B110" s="401" t="s">
        <v>836</v>
      </c>
      <c r="C110" s="400" t="str">
        <f>IF(VolDesign="1/7","2 Volumes / Backup Set",IF(AND(HAOption="Yes",calcTotNumHACopies+calcTotNumLagCopies&gt;=2,DBLogIsolation="No",BackupMethod&lt;&gt;"Hardware VSS Backup/Restore"),IF(calcMultipleDBVolume="Yes","Multiple DBs / Volume","1 Volume / DB"),"2 Volumes / DB"))</f>
        <v>Multiple DBs / Volume</v>
      </c>
      <c r="E110" s="59"/>
      <c r="F110" s="46"/>
      <c r="G110" s="46"/>
      <c r="H110" s="46"/>
      <c r="I110" s="482" t="s">
        <v>840</v>
      </c>
      <c r="J110" s="399">
        <f>IF(RestoreVolSize=0,"--",RestoreVolSize)</f>
        <v>2898.5659950657896</v>
      </c>
      <c r="K110" s="45"/>
    </row>
    <row r="111" spans="1:11" x14ac:dyDescent="0.2">
      <c r="A111" s="42"/>
      <c r="B111" s="46"/>
      <c r="C111" s="46"/>
      <c r="D111" s="46"/>
      <c r="E111" s="46"/>
      <c r="F111" s="46"/>
      <c r="G111" s="46"/>
      <c r="H111" s="46"/>
      <c r="I111" s="46"/>
      <c r="J111" s="47"/>
      <c r="K111" s="45"/>
    </row>
    <row r="112" spans="1:11" ht="15.75" thickBot="1" x14ac:dyDescent="0.25">
      <c r="A112" s="42"/>
      <c r="B112" s="1181" t="s">
        <v>846</v>
      </c>
      <c r="C112" s="1182"/>
      <c r="D112" s="1182"/>
      <c r="E112" s="1182"/>
      <c r="H112" s="39"/>
      <c r="J112" s="42"/>
      <c r="K112" s="45"/>
    </row>
    <row r="113" spans="1:13" ht="15.75" customHeight="1" thickTop="1" x14ac:dyDescent="0.2">
      <c r="A113" s="42"/>
      <c r="B113" s="1195" t="s">
        <v>873</v>
      </c>
      <c r="C113" s="1196"/>
      <c r="D113" s="1197"/>
      <c r="E113" s="934">
        <f>RecDBperVolume</f>
        <v>4</v>
      </c>
      <c r="H113" s="39"/>
      <c r="J113" s="42"/>
      <c r="K113" s="45"/>
    </row>
    <row r="114" spans="1:13" ht="15" customHeight="1" x14ac:dyDescent="0.2">
      <c r="A114" s="42"/>
      <c r="B114" s="1189" t="s">
        <v>851</v>
      </c>
      <c r="C114" s="1190"/>
      <c r="D114" s="1191"/>
      <c r="E114" s="622">
        <f>IF(ValidationCheck=FALSE,NumDBPerVol,"--")</f>
        <v>4</v>
      </c>
      <c r="H114" s="1183" t="s">
        <v>842</v>
      </c>
      <c r="I114" s="1183"/>
      <c r="J114" s="42"/>
      <c r="K114" s="45"/>
    </row>
    <row r="115" spans="1:13" ht="15" customHeight="1" x14ac:dyDescent="0.2">
      <c r="A115" s="42"/>
      <c r="B115" s="1192" t="str">
        <f>IF(OR(VolArchitecture="Multiple DBs / Volume",VolArchitecture="1 Volume / DB"),"Recommended Number of Database+Log Volumes / Server","Recommended Number of Database Volumes / Server")</f>
        <v>Recommended Number of Database+Log Volumes / Server</v>
      </c>
      <c r="C115" s="1193"/>
      <c r="D115" s="1194"/>
      <c r="E115" s="299">
        <f>IF(ValidationCheck=FALSE,ABS(COUNTIF(H123:H222,"--")-COUNTA(H123:H222)),"--")</f>
        <v>9</v>
      </c>
      <c r="H115" s="1183"/>
      <c r="I115" s="1183"/>
      <c r="J115" s="40"/>
      <c r="K115" s="45"/>
    </row>
    <row r="116" spans="1:13" ht="15" customHeight="1" x14ac:dyDescent="0.2">
      <c r="A116" s="42"/>
      <c r="B116" s="1189" t="s">
        <v>837</v>
      </c>
      <c r="C116" s="1190"/>
      <c r="D116" s="1191"/>
      <c r="E116" s="622">
        <f>IF(ValidationCheck=FALSE,IF(OR(VolArchitecture="1 Volume / DB",VolArchitecture="Multiple DBs / Volume"),0,E115),"--")</f>
        <v>0</v>
      </c>
      <c r="H116" s="1183"/>
      <c r="I116" s="1183"/>
      <c r="J116" s="49"/>
      <c r="K116" s="45"/>
    </row>
    <row r="117" spans="1:13" ht="15" customHeight="1" x14ac:dyDescent="0.2">
      <c r="A117" s="42"/>
      <c r="B117" s="1198" t="s">
        <v>1439</v>
      </c>
      <c r="C117" s="1193"/>
      <c r="D117" s="1194"/>
      <c r="E117" s="299">
        <f>varAutoReseedVolumes</f>
        <v>1</v>
      </c>
      <c r="H117" s="1183"/>
      <c r="I117" s="1183"/>
      <c r="J117" s="49"/>
      <c r="K117" s="45"/>
    </row>
    <row r="118" spans="1:13" ht="15" customHeight="1" x14ac:dyDescent="0.2">
      <c r="A118" s="42"/>
      <c r="B118" s="1189" t="s">
        <v>838</v>
      </c>
      <c r="C118" s="1190"/>
      <c r="D118" s="1191"/>
      <c r="E118" s="622">
        <f>IF(ValidationCheck=FALSE,IF(RestoreVol="Yes",1,0),"--")</f>
        <v>1</v>
      </c>
      <c r="H118" s="1183"/>
      <c r="I118" s="1183"/>
      <c r="J118" s="49"/>
      <c r="K118" s="45"/>
    </row>
    <row r="119" spans="1:13" ht="15" customHeight="1" x14ac:dyDescent="0.2">
      <c r="A119" s="42"/>
      <c r="B119" s="1192" t="s">
        <v>839</v>
      </c>
      <c r="C119" s="1193"/>
      <c r="D119" s="1194"/>
      <c r="E119" s="299">
        <f>IF(ValidationCheck=FALSE,SUM(E115:E118),"--")</f>
        <v>11</v>
      </c>
      <c r="F119" s="297"/>
      <c r="J119" s="47"/>
      <c r="K119" s="45"/>
    </row>
    <row r="120" spans="1:13" x14ac:dyDescent="0.2">
      <c r="A120" s="42"/>
      <c r="B120" s="46"/>
      <c r="C120" s="46"/>
      <c r="D120" s="46"/>
      <c r="E120" s="46"/>
      <c r="F120" s="46"/>
      <c r="G120" s="46"/>
      <c r="H120" s="51"/>
      <c r="I120" s="51"/>
      <c r="J120" s="47"/>
      <c r="K120" s="45"/>
    </row>
    <row r="121" spans="1:13" x14ac:dyDescent="0.2">
      <c r="A121" s="42"/>
      <c r="B121" s="1186" t="s">
        <v>449</v>
      </c>
      <c r="C121" s="1187"/>
      <c r="D121" s="1187"/>
      <c r="E121" s="1187"/>
      <c r="F121" s="1187"/>
      <c r="G121" s="34"/>
      <c r="H121" s="1184" t="s">
        <v>835</v>
      </c>
      <c r="I121" s="1184"/>
      <c r="J121" s="1185"/>
    </row>
    <row r="122" spans="1:13" ht="15.75" thickBot="1" x14ac:dyDescent="0.25">
      <c r="A122" s="42"/>
      <c r="B122" s="395" t="str">
        <f>IF(HAOption="Yes","Database Copy","Database Number")</f>
        <v>Database Copy</v>
      </c>
      <c r="C122" s="395" t="s">
        <v>348</v>
      </c>
      <c r="D122" s="396" t="s">
        <v>132</v>
      </c>
      <c r="E122" s="396" t="s">
        <v>133</v>
      </c>
      <c r="F122" s="397" t="s">
        <v>134</v>
      </c>
      <c r="G122" s="36"/>
      <c r="H122" s="284" t="str">
        <f>IF(HAOption="Yes","Database Copy","Database")</f>
        <v>Database Copy</v>
      </c>
      <c r="I122" s="284" t="str">
        <f>IF(OR(VolArchitecture="Multiple DBs / Volume",VolArchitecture="1 Volume / DB"),"DB+Log Volume Size Required","DB Volume Size Required")</f>
        <v>DB+Log Volume Size Required</v>
      </c>
      <c r="J122" s="285" t="str">
        <f>IF(OR(VolArchitecture="Multiple DBs / Volume",VolArchitecture="1 Volume / DB"),"--","Log Volume Size Required")</f>
        <v>--</v>
      </c>
    </row>
    <row r="123" spans="1:13" ht="15.75" thickTop="1" x14ac:dyDescent="0.2">
      <c r="A123" s="42"/>
      <c r="B123" s="207" t="str">
        <f>IF(ValidationCheck=FALSE,IF(HAOption="Yes","DB-x",1),"--")</f>
        <v>DB-x</v>
      </c>
      <c r="C123" s="205">
        <f>IF(B123&lt;&gt;"--",MBXPerDB,0)</f>
        <v>62.5</v>
      </c>
      <c r="D123" s="286">
        <f>IF(B123&lt;&gt;"--",(MBXPerDB*((Tier1MBXRatio*Tier1MBXSize)+(Tier3MBXRatio*Tier3MBXSize)+(Tier2MBXRatio*Tier2MBXSize)+(Tier4MBXRatio*Tier4MBXSize))/1024),0)</f>
        <v>664.6728515625</v>
      </c>
      <c r="E123" s="286">
        <f>DBSize*(1+DataGrowth)</f>
        <v>664.6728515625</v>
      </c>
      <c r="F123" s="286">
        <f>IF(B123&lt;&gt;"--",TotLogDiskSpace/RecNumDBs,0)</f>
        <v>23.736572265625</v>
      </c>
      <c r="G123" s="34"/>
      <c r="H123" s="827" t="str">
        <f t="shared" ref="H123:H154" si="8">IF(ValidationCheck=FALSE,IFERROR(IF(TotNumDBCopiesServer/NumDBPerVol&gt;ROW()-ROW(DBSet1),IF(OR(VolDesign=1,NumDBVol=1),CONCATENATE("DB",ROW()-ROW(DBSet1)+1),CONCATENATE("DB",ABS(ROW(DBSet1)-ROW()) * NumDBPerVol+1,"-DB",MIN(TotNumDBCopiesServer,(ABS(ROW(DBSet1)-ROW())+1) * NumDBPerVol))),"--"),"--"),"--")</f>
        <v>DB1-DB4</v>
      </c>
      <c r="I123" s="799">
        <f t="shared" ref="I123:I154" si="9">IF(H123="--",0,(SUMIF(C$6:C$105,D6,E$123:E$222)+IF(RestoreVol="Yes",0,(SUMIF(C$6:C$105,D6,E$123:E$222)*1.1/NumDBPerVol))+IF(ContentIndexing="Enabled",(SUMIF(C$6:C$105,D6,E$123:E$222)+DBSizeOverhead)*CIFactor)+IF(OR(VolArchitecture="1 Volume / DB",VolArchitecture="Multiple DBs / Volume"),SUMIF(C$6:C$105,D6,F$123:F$222),0))/(1-VolGrowth))</f>
        <v>3598.2216282894738</v>
      </c>
      <c r="J123" s="301">
        <f t="shared" ref="J123:J154" si="10">IF(OR(VolArchitecture="Multiple DBs / Volume",VolArchitecture="1 Volume / DB"),0,IF(H123="--",0,SUMIF(C$6:C$105,D6,F$123:F$222)/(1-VolGrowth)))</f>
        <v>0</v>
      </c>
    </row>
    <row r="124" spans="1:13" x14ac:dyDescent="0.2">
      <c r="A124" s="42"/>
      <c r="B124" s="207" t="str">
        <f>IF(AND(TotNumDBCopiesServer&gt;COUNTA(B$123:B123),ValidationCheck=FALSE),IF(HAOption="Yes","DB-x",B123+1),"--")</f>
        <v>DB-x</v>
      </c>
      <c r="C124" s="205">
        <f>IF(B124&lt;&gt;"--",IF(HAOption="Yes",IF(TotNumDBCopiesServer&gt;=COUNT(B$123:B124),IF(TotNumDBCopiesServer&lt;=COUNT(B$123:B124),IF(calcTotNumMBXPerSvr&gt;TotalMBXPerSvr,TotMBXPerDAG-SUM(C$123:C123),MBXPerDB),MBXPerDB)),IF(RecNumDBs&gt;=B124,IF(RecNumDBs&lt;=B124,IF(calcTotNumMBXPerSvr&gt;TotalMBXPerSvr,TotalMBXPerSvr-SUM(C$123:C123),MBXPerDB),MBXPerDB))),0)</f>
        <v>62.5</v>
      </c>
      <c r="D124" s="286">
        <f t="shared" ref="D124:D155" si="11">IF(C124=0,0,(C124*((Tier1MBXRatio*Tier1MBXSize)+(Tier3MBXRatio*Tier3MBXSize)+(Tier2MBXRatio*Tier2MBXSize)+(Tier4MBXRatio*Tier4MBXSize)))/1024)</f>
        <v>664.6728515625</v>
      </c>
      <c r="E124" s="286">
        <f t="shared" ref="E124:E155" si="12">IF(B124&lt;&gt;"--",D124*(1+DataGrowth),0)</f>
        <v>664.6728515625</v>
      </c>
      <c r="F124" s="286">
        <f t="shared" ref="F124:F155" si="13">IF(B124="--",0,TotLogDiskSpace/RecNumDBs)</f>
        <v>23.736572265625</v>
      </c>
      <c r="G124" s="36"/>
      <c r="H124" s="828" t="str">
        <f t="shared" si="8"/>
        <v>DB5-DB8</v>
      </c>
      <c r="I124" s="323">
        <f t="shared" si="9"/>
        <v>3598.2216282894738</v>
      </c>
      <c r="J124" s="302">
        <f t="shared" si="10"/>
        <v>0</v>
      </c>
      <c r="M124" s="740"/>
    </row>
    <row r="125" spans="1:13" x14ac:dyDescent="0.2">
      <c r="A125" s="42"/>
      <c r="B125" s="207" t="str">
        <f>IF(AND(TotNumDBCopiesServer&gt;COUNTA(B$123:B124),ValidationCheck=FALSE),IF(HAOption="Yes","DB-x",B124+1),"--")</f>
        <v>DB-x</v>
      </c>
      <c r="C125" s="205">
        <f>IF(B125&lt;&gt;"--",IF(HAOption="Yes",IF(TotNumDBCopiesServer&gt;=COUNT(B$123:B125),IF(TotNumDBCopiesServer&lt;=COUNT(B$123:B125),IF(calcTotNumMBXPerSvr&gt;TotalMBXPerSvr,TotMBXPerDAG-SUM(C$123:C124),MBXPerDB),MBXPerDB)),IF(RecNumDBs&gt;=B125,IF(RecNumDBs&lt;=B125,IF(calcTotNumMBXPerSvr&gt;TotalMBXPerSvr,TotalMBXPerSvr-SUM(C$123:C124),MBXPerDB),MBXPerDB))),0)</f>
        <v>62.5</v>
      </c>
      <c r="D125" s="286">
        <f t="shared" si="11"/>
        <v>664.6728515625</v>
      </c>
      <c r="E125" s="286">
        <f t="shared" si="12"/>
        <v>664.6728515625</v>
      </c>
      <c r="F125" s="286">
        <f t="shared" si="13"/>
        <v>23.736572265625</v>
      </c>
      <c r="G125" s="36"/>
      <c r="H125" s="829" t="str">
        <f t="shared" si="8"/>
        <v>DB9-DB12</v>
      </c>
      <c r="I125" s="324">
        <f t="shared" si="9"/>
        <v>3598.2216282894738</v>
      </c>
      <c r="J125" s="303">
        <f t="shared" si="10"/>
        <v>0</v>
      </c>
    </row>
    <row r="126" spans="1:13" x14ac:dyDescent="0.2">
      <c r="A126" s="42"/>
      <c r="B126" s="207" t="str">
        <f>IF(AND(TotNumDBCopiesServer&gt;COUNTA(B$123:B125),ValidationCheck=FALSE),IF(HAOption="Yes","DB-x",B125+1),"--")</f>
        <v>DB-x</v>
      </c>
      <c r="C126" s="205">
        <f>IF(B126&lt;&gt;"--",IF(HAOption="Yes",IF(TotNumDBCopiesServer&gt;=COUNT(B$123:B126),IF(TotNumDBCopiesServer&lt;=COUNT(B$123:B126),IF(calcTotNumMBXPerSvr&gt;TotalMBXPerSvr,TotMBXPerDAG-SUM(C$123:C125),MBXPerDB),MBXPerDB)),IF(RecNumDBs&gt;=B126,IF(RecNumDBs&lt;=B126,IF(calcTotNumMBXPerSvr&gt;TotalMBXPerSvr,TotalMBXPerSvr-SUM(C$123:C125),MBXPerDB),MBXPerDB))),0)</f>
        <v>62.5</v>
      </c>
      <c r="D126" s="286">
        <f t="shared" si="11"/>
        <v>664.6728515625</v>
      </c>
      <c r="E126" s="286">
        <f t="shared" si="12"/>
        <v>664.6728515625</v>
      </c>
      <c r="F126" s="286">
        <f t="shared" si="13"/>
        <v>23.736572265625</v>
      </c>
      <c r="G126" s="36"/>
      <c r="H126" s="828" t="str">
        <f t="shared" si="8"/>
        <v>DB13-DB16</v>
      </c>
      <c r="I126" s="323">
        <f t="shared" si="9"/>
        <v>3598.2216282894738</v>
      </c>
      <c r="J126" s="302">
        <f t="shared" si="10"/>
        <v>0</v>
      </c>
    </row>
    <row r="127" spans="1:13" x14ac:dyDescent="0.2">
      <c r="A127" s="42"/>
      <c r="B127" s="207" t="str">
        <f>IF(AND(TotNumDBCopiesServer&gt;COUNTA(B$123:B126),ValidationCheck=FALSE),IF(HAOption="Yes","DB-x",B126+1),"--")</f>
        <v>DB-x</v>
      </c>
      <c r="C127" s="205">
        <f>IF(B127&lt;&gt;"--",IF(HAOption="Yes",IF(TotNumDBCopiesServer&gt;=COUNT(B$123:B127),IF(TotNumDBCopiesServer&lt;=COUNT(B$123:B127),IF(calcTotNumMBXPerSvr&gt;TotalMBXPerSvr,TotMBXPerDAG-SUM(C$123:C126),MBXPerDB),MBXPerDB)),IF(RecNumDBs&gt;=B127,IF(RecNumDBs&lt;=B127,IF(calcTotNumMBXPerSvr&gt;TotalMBXPerSvr,TotalMBXPerSvr-SUM(C$123:C126),MBXPerDB),MBXPerDB))),0)</f>
        <v>62.5</v>
      </c>
      <c r="D127" s="286">
        <f t="shared" si="11"/>
        <v>664.6728515625</v>
      </c>
      <c r="E127" s="286">
        <f t="shared" si="12"/>
        <v>664.6728515625</v>
      </c>
      <c r="F127" s="286">
        <f t="shared" si="13"/>
        <v>23.736572265625</v>
      </c>
      <c r="G127" s="36"/>
      <c r="H127" s="829" t="str">
        <f t="shared" si="8"/>
        <v>DB17-DB20</v>
      </c>
      <c r="I127" s="324">
        <f t="shared" si="9"/>
        <v>3598.2216282894738</v>
      </c>
      <c r="J127" s="303">
        <f t="shared" si="10"/>
        <v>0</v>
      </c>
      <c r="M127" s="52"/>
    </row>
    <row r="128" spans="1:13" x14ac:dyDescent="0.2">
      <c r="A128" s="42"/>
      <c r="B128" s="207" t="str">
        <f>IF(AND(TotNumDBCopiesServer&gt;COUNTA(B$123:B127),ValidationCheck=FALSE),IF(HAOption="Yes","DB-x",B127+1),"--")</f>
        <v>DB-x</v>
      </c>
      <c r="C128" s="205">
        <f>IF(B128&lt;&gt;"--",IF(HAOption="Yes",IF(TotNumDBCopiesServer&gt;=COUNT(B$123:B128),IF(TotNumDBCopiesServer&lt;=COUNT(B$123:B128),IF(calcTotNumMBXPerSvr&gt;TotalMBXPerSvr,TotMBXPerDAG-SUM(C$123:C127),MBXPerDB),MBXPerDB)),IF(RecNumDBs&gt;=B128,IF(RecNumDBs&lt;=B128,IF(calcTotNumMBXPerSvr&gt;TotalMBXPerSvr,TotalMBXPerSvr-SUM(C$123:C127),MBXPerDB),MBXPerDB))),0)</f>
        <v>62.5</v>
      </c>
      <c r="D128" s="286">
        <f t="shared" si="11"/>
        <v>664.6728515625</v>
      </c>
      <c r="E128" s="286">
        <f t="shared" si="12"/>
        <v>664.6728515625</v>
      </c>
      <c r="F128" s="286">
        <f t="shared" si="13"/>
        <v>23.736572265625</v>
      </c>
      <c r="G128" s="36"/>
      <c r="H128" s="828" t="str">
        <f t="shared" si="8"/>
        <v>DB21-DB24</v>
      </c>
      <c r="I128" s="323">
        <f t="shared" si="9"/>
        <v>3598.2216282894738</v>
      </c>
      <c r="J128" s="302">
        <f t="shared" si="10"/>
        <v>0</v>
      </c>
    </row>
    <row r="129" spans="1:10" x14ac:dyDescent="0.2">
      <c r="A129" s="42"/>
      <c r="B129" s="207" t="str">
        <f>IF(AND(TotNumDBCopiesServer&gt;COUNTA(B$123:B128),ValidationCheck=FALSE),IF(HAOption="Yes","DB-x",B128+1),"--")</f>
        <v>DB-x</v>
      </c>
      <c r="C129" s="205">
        <f>IF(B129&lt;&gt;"--",IF(HAOption="Yes",IF(TotNumDBCopiesServer&gt;=COUNT(B$123:B129),IF(TotNumDBCopiesServer&lt;=COUNT(B$123:B129),IF(calcTotNumMBXPerSvr&gt;TotalMBXPerSvr,TotMBXPerDAG-SUM(C$123:C128),MBXPerDB),MBXPerDB)),IF(RecNumDBs&gt;=B129,IF(RecNumDBs&lt;=B129,IF(calcTotNumMBXPerSvr&gt;TotalMBXPerSvr,TotalMBXPerSvr-SUM(C$123:C128),MBXPerDB),MBXPerDB))),0)</f>
        <v>62.5</v>
      </c>
      <c r="D129" s="286">
        <f t="shared" si="11"/>
        <v>664.6728515625</v>
      </c>
      <c r="E129" s="286">
        <f t="shared" si="12"/>
        <v>664.6728515625</v>
      </c>
      <c r="F129" s="286">
        <f t="shared" si="13"/>
        <v>23.736572265625</v>
      </c>
      <c r="G129" s="36"/>
      <c r="H129" s="829" t="str">
        <f t="shared" si="8"/>
        <v>DB25-DB28</v>
      </c>
      <c r="I129" s="324">
        <f t="shared" si="9"/>
        <v>3598.2216282894738</v>
      </c>
      <c r="J129" s="303">
        <f t="shared" si="10"/>
        <v>0</v>
      </c>
    </row>
    <row r="130" spans="1:10" x14ac:dyDescent="0.2">
      <c r="A130" s="42"/>
      <c r="B130" s="207" t="str">
        <f>IF(AND(TotNumDBCopiesServer&gt;COUNTA(B$123:B129),ValidationCheck=FALSE),IF(HAOption="Yes","DB-x",B129+1),"--")</f>
        <v>DB-x</v>
      </c>
      <c r="C130" s="205">
        <f>IF(B130&lt;&gt;"--",IF(HAOption="Yes",IF(TotNumDBCopiesServer&gt;=COUNT(B$123:B130),IF(TotNumDBCopiesServer&lt;=COUNT(B$123:B130),IF(calcTotNumMBXPerSvr&gt;TotalMBXPerSvr,TotMBXPerDAG-SUM(C$123:C129),MBXPerDB),MBXPerDB)),IF(RecNumDBs&gt;=B130,IF(RecNumDBs&lt;=B130,IF(calcTotNumMBXPerSvr&gt;TotalMBXPerSvr,TotalMBXPerSvr-SUM(C$123:C129),MBXPerDB),MBXPerDB))),0)</f>
        <v>62.5</v>
      </c>
      <c r="D130" s="286">
        <f t="shared" si="11"/>
        <v>664.6728515625</v>
      </c>
      <c r="E130" s="286">
        <f t="shared" si="12"/>
        <v>664.6728515625</v>
      </c>
      <c r="F130" s="286">
        <f t="shared" si="13"/>
        <v>23.736572265625</v>
      </c>
      <c r="G130" s="36"/>
      <c r="H130" s="828" t="str">
        <f t="shared" si="8"/>
        <v>DB29-DB32</v>
      </c>
      <c r="I130" s="323">
        <f t="shared" si="9"/>
        <v>3598.2216282894738</v>
      </c>
      <c r="J130" s="302">
        <f t="shared" si="10"/>
        <v>0</v>
      </c>
    </row>
    <row r="131" spans="1:10" x14ac:dyDescent="0.2">
      <c r="A131" s="42"/>
      <c r="B131" s="207" t="str">
        <f>IF(AND(TotNumDBCopiesServer&gt;COUNTA(B$123:B130),ValidationCheck=FALSE),IF(HAOption="Yes","DB-x",B130+1),"--")</f>
        <v>DB-x</v>
      </c>
      <c r="C131" s="205">
        <f>IF(B131&lt;&gt;"--",IF(HAOption="Yes",IF(TotNumDBCopiesServer&gt;=COUNT(B$123:B131),IF(TotNumDBCopiesServer&lt;=COUNT(B$123:B131),IF(calcTotNumMBXPerSvr&gt;TotalMBXPerSvr,TotMBXPerDAG-SUM(C$123:C130),MBXPerDB),MBXPerDB)),IF(RecNumDBs&gt;=B131,IF(RecNumDBs&lt;=B131,IF(calcTotNumMBXPerSvr&gt;TotalMBXPerSvr,TotalMBXPerSvr-SUM(C$123:C130),MBXPerDB),MBXPerDB))),0)</f>
        <v>62.5</v>
      </c>
      <c r="D131" s="286">
        <f t="shared" si="11"/>
        <v>664.6728515625</v>
      </c>
      <c r="E131" s="286">
        <f t="shared" si="12"/>
        <v>664.6728515625</v>
      </c>
      <c r="F131" s="286">
        <f t="shared" si="13"/>
        <v>23.736572265625</v>
      </c>
      <c r="G131" s="36"/>
      <c r="H131" s="829" t="str">
        <f t="shared" si="8"/>
        <v>DB33-DB36</v>
      </c>
      <c r="I131" s="324">
        <f t="shared" si="9"/>
        <v>3598.2216282894738</v>
      </c>
      <c r="J131" s="303">
        <f t="shared" si="10"/>
        <v>0</v>
      </c>
    </row>
    <row r="132" spans="1:10" x14ac:dyDescent="0.2">
      <c r="A132" s="42"/>
      <c r="B132" s="207" t="str">
        <f>IF(AND(TotNumDBCopiesServer&gt;COUNTA(B$123:B131),ValidationCheck=FALSE),IF(HAOption="Yes","DB-x",B131+1),"--")</f>
        <v>DB-x</v>
      </c>
      <c r="C132" s="205">
        <f>IF(B132&lt;&gt;"--",IF(HAOption="Yes",IF(TotNumDBCopiesServer&gt;=COUNT(B$123:B132),IF(TotNumDBCopiesServer&lt;=COUNT(B$123:B132),IF(calcTotNumMBXPerSvr&gt;TotalMBXPerSvr,TotMBXPerDAG-SUM(C$123:C131),MBXPerDB),MBXPerDB)),IF(RecNumDBs&gt;=B132,IF(RecNumDBs&lt;=B132,IF(calcTotNumMBXPerSvr&gt;TotalMBXPerSvr,TotalMBXPerSvr-SUM(C$123:C131),MBXPerDB),MBXPerDB))),0)</f>
        <v>62.5</v>
      </c>
      <c r="D132" s="286">
        <f t="shared" si="11"/>
        <v>664.6728515625</v>
      </c>
      <c r="E132" s="286">
        <f t="shared" si="12"/>
        <v>664.6728515625</v>
      </c>
      <c r="F132" s="286">
        <f t="shared" si="13"/>
        <v>23.736572265625</v>
      </c>
      <c r="G132" s="36"/>
      <c r="H132" s="828" t="str">
        <f t="shared" si="8"/>
        <v>--</v>
      </c>
      <c r="I132" s="323">
        <f t="shared" si="9"/>
        <v>0</v>
      </c>
      <c r="J132" s="302">
        <f t="shared" si="10"/>
        <v>0</v>
      </c>
    </row>
    <row r="133" spans="1:10" x14ac:dyDescent="0.2">
      <c r="A133" s="42"/>
      <c r="B133" s="207" t="str">
        <f>IF(AND(TotNumDBCopiesServer&gt;COUNTA(B$123:B132),ValidationCheck=FALSE),IF(HAOption="Yes","DB-x",B132+1),"--")</f>
        <v>DB-x</v>
      </c>
      <c r="C133" s="205">
        <f>IF(B133&lt;&gt;"--",IF(HAOption="Yes",IF(TotNumDBCopiesServer&gt;=COUNT(B$123:B133),IF(TotNumDBCopiesServer&lt;=COUNT(B$123:B133),IF(calcTotNumMBXPerSvr&gt;TotalMBXPerSvr,TotMBXPerDAG-SUM(C$123:C132),MBXPerDB),MBXPerDB)),IF(RecNumDBs&gt;=B133,IF(RecNumDBs&lt;=B133,IF(calcTotNumMBXPerSvr&gt;TotalMBXPerSvr,TotalMBXPerSvr-SUM(C$123:C132),MBXPerDB),MBXPerDB))),0)</f>
        <v>62.5</v>
      </c>
      <c r="D133" s="286">
        <f t="shared" si="11"/>
        <v>664.6728515625</v>
      </c>
      <c r="E133" s="286">
        <f t="shared" si="12"/>
        <v>664.6728515625</v>
      </c>
      <c r="F133" s="286">
        <f t="shared" si="13"/>
        <v>23.736572265625</v>
      </c>
      <c r="G133" s="36"/>
      <c r="H133" s="829" t="str">
        <f t="shared" si="8"/>
        <v>--</v>
      </c>
      <c r="I133" s="324">
        <f t="shared" si="9"/>
        <v>0</v>
      </c>
      <c r="J133" s="303">
        <f t="shared" si="10"/>
        <v>0</v>
      </c>
    </row>
    <row r="134" spans="1:10" x14ac:dyDescent="0.2">
      <c r="A134" s="42"/>
      <c r="B134" s="207" t="str">
        <f>IF(AND(TotNumDBCopiesServer&gt;COUNTA(B$123:B133),ValidationCheck=FALSE),IF(HAOption="Yes","DB-x",B133+1),"--")</f>
        <v>DB-x</v>
      </c>
      <c r="C134" s="205">
        <f>IF(B134&lt;&gt;"--",IF(HAOption="Yes",IF(TotNumDBCopiesServer&gt;=COUNT(B$123:B134),IF(TotNumDBCopiesServer&lt;=COUNT(B$123:B134),IF(calcTotNumMBXPerSvr&gt;TotalMBXPerSvr,TotMBXPerDAG-SUM(C$123:C133),MBXPerDB),MBXPerDB)),IF(RecNumDBs&gt;=B134,IF(RecNumDBs&lt;=B134,IF(calcTotNumMBXPerSvr&gt;TotalMBXPerSvr,TotalMBXPerSvr-SUM(C$123:C133),MBXPerDB),MBXPerDB))),0)</f>
        <v>62.5</v>
      </c>
      <c r="D134" s="286">
        <f t="shared" si="11"/>
        <v>664.6728515625</v>
      </c>
      <c r="E134" s="286">
        <f t="shared" si="12"/>
        <v>664.6728515625</v>
      </c>
      <c r="F134" s="286">
        <f t="shared" si="13"/>
        <v>23.736572265625</v>
      </c>
      <c r="G134" s="36"/>
      <c r="H134" s="828" t="str">
        <f t="shared" si="8"/>
        <v>--</v>
      </c>
      <c r="I134" s="323">
        <f t="shared" si="9"/>
        <v>0</v>
      </c>
      <c r="J134" s="302">
        <f t="shared" si="10"/>
        <v>0</v>
      </c>
    </row>
    <row r="135" spans="1:10" x14ac:dyDescent="0.2">
      <c r="A135" s="42"/>
      <c r="B135" s="207" t="str">
        <f>IF(AND(TotNumDBCopiesServer&gt;COUNTA(B$123:B134),ValidationCheck=FALSE),IF(HAOption="Yes","DB-x",B134+1),"--")</f>
        <v>DB-x</v>
      </c>
      <c r="C135" s="205">
        <f>IF(B135&lt;&gt;"--",IF(HAOption="Yes",IF(TotNumDBCopiesServer&gt;=COUNT(B$123:B135),IF(TotNumDBCopiesServer&lt;=COUNT(B$123:B135),IF(calcTotNumMBXPerSvr&gt;TotalMBXPerSvr,TotMBXPerDAG-SUM(C$123:C134),MBXPerDB),MBXPerDB)),IF(RecNumDBs&gt;=B135,IF(RecNumDBs&lt;=B135,IF(calcTotNumMBXPerSvr&gt;TotalMBXPerSvr,TotalMBXPerSvr-SUM(C$123:C134),MBXPerDB),MBXPerDB))),0)</f>
        <v>62.5</v>
      </c>
      <c r="D135" s="286">
        <f t="shared" si="11"/>
        <v>664.6728515625</v>
      </c>
      <c r="E135" s="286">
        <f t="shared" si="12"/>
        <v>664.6728515625</v>
      </c>
      <c r="F135" s="286">
        <f t="shared" si="13"/>
        <v>23.736572265625</v>
      </c>
      <c r="G135" s="36"/>
      <c r="H135" s="829" t="str">
        <f t="shared" si="8"/>
        <v>--</v>
      </c>
      <c r="I135" s="324">
        <f t="shared" si="9"/>
        <v>0</v>
      </c>
      <c r="J135" s="303">
        <f t="shared" si="10"/>
        <v>0</v>
      </c>
    </row>
    <row r="136" spans="1:10" x14ac:dyDescent="0.2">
      <c r="A136" s="42"/>
      <c r="B136" s="207" t="str">
        <f>IF(AND(TotNumDBCopiesServer&gt;COUNTA(B$123:B135),ValidationCheck=FALSE),IF(HAOption="Yes","DB-x",B135+1),"--")</f>
        <v>DB-x</v>
      </c>
      <c r="C136" s="205">
        <f>IF(B136&lt;&gt;"--",IF(HAOption="Yes",IF(TotNumDBCopiesServer&gt;=COUNT(B$123:B136),IF(TotNumDBCopiesServer&lt;=COUNT(B$123:B136),IF(calcTotNumMBXPerSvr&gt;TotalMBXPerSvr,TotMBXPerDAG-SUM(C$123:C135),MBXPerDB),MBXPerDB)),IF(RecNumDBs&gt;=B136,IF(RecNumDBs&lt;=B136,IF(calcTotNumMBXPerSvr&gt;TotalMBXPerSvr,TotalMBXPerSvr-SUM(C$123:C135),MBXPerDB),MBXPerDB))),0)</f>
        <v>62.5</v>
      </c>
      <c r="D136" s="286">
        <f t="shared" si="11"/>
        <v>664.6728515625</v>
      </c>
      <c r="E136" s="286">
        <f t="shared" si="12"/>
        <v>664.6728515625</v>
      </c>
      <c r="F136" s="286">
        <f t="shared" si="13"/>
        <v>23.736572265625</v>
      </c>
      <c r="G136" s="36"/>
      <c r="H136" s="828" t="str">
        <f t="shared" si="8"/>
        <v>--</v>
      </c>
      <c r="I136" s="323">
        <f t="shared" si="9"/>
        <v>0</v>
      </c>
      <c r="J136" s="302">
        <f t="shared" si="10"/>
        <v>0</v>
      </c>
    </row>
    <row r="137" spans="1:10" x14ac:dyDescent="0.2">
      <c r="A137" s="42"/>
      <c r="B137" s="207" t="str">
        <f>IF(AND(TotNumDBCopiesServer&gt;COUNTA(B$123:B136),ValidationCheck=FALSE),IF(HAOption="Yes","DB-x",B136+1),"--")</f>
        <v>DB-x</v>
      </c>
      <c r="C137" s="205">
        <f>IF(B137&lt;&gt;"--",IF(HAOption="Yes",IF(TotNumDBCopiesServer&gt;=COUNT(B$123:B137),IF(TotNumDBCopiesServer&lt;=COUNT(B$123:B137),IF(calcTotNumMBXPerSvr&gt;TotalMBXPerSvr,TotMBXPerDAG-SUM(C$123:C136),MBXPerDB),MBXPerDB)),IF(RecNumDBs&gt;=B137,IF(RecNumDBs&lt;=B137,IF(calcTotNumMBXPerSvr&gt;TotalMBXPerSvr,TotalMBXPerSvr-SUM(C$123:C136),MBXPerDB),MBXPerDB))),0)</f>
        <v>62.5</v>
      </c>
      <c r="D137" s="286">
        <f t="shared" si="11"/>
        <v>664.6728515625</v>
      </c>
      <c r="E137" s="286">
        <f t="shared" si="12"/>
        <v>664.6728515625</v>
      </c>
      <c r="F137" s="286">
        <f t="shared" si="13"/>
        <v>23.736572265625</v>
      </c>
      <c r="G137" s="36"/>
      <c r="H137" s="829" t="str">
        <f t="shared" si="8"/>
        <v>--</v>
      </c>
      <c r="I137" s="324">
        <f t="shared" si="9"/>
        <v>0</v>
      </c>
      <c r="J137" s="303">
        <f t="shared" si="10"/>
        <v>0</v>
      </c>
    </row>
    <row r="138" spans="1:10" x14ac:dyDescent="0.2">
      <c r="A138" s="42"/>
      <c r="B138" s="207" t="str">
        <f>IF(AND(TotNumDBCopiesServer&gt;COUNTA(B$123:B137),ValidationCheck=FALSE),IF(HAOption="Yes","DB-x",B137+1),"--")</f>
        <v>DB-x</v>
      </c>
      <c r="C138" s="205">
        <f>IF(B138&lt;&gt;"--",IF(HAOption="Yes",IF(TotNumDBCopiesServer&gt;=COUNT(B$123:B138),IF(TotNumDBCopiesServer&lt;=COUNT(B$123:B138),IF(calcTotNumMBXPerSvr&gt;TotalMBXPerSvr,TotMBXPerDAG-SUM(C$123:C137),MBXPerDB),MBXPerDB)),IF(RecNumDBs&gt;=B138,IF(RecNumDBs&lt;=B138,IF(calcTotNumMBXPerSvr&gt;TotalMBXPerSvr,TotalMBXPerSvr-SUM(C$123:C137),MBXPerDB),MBXPerDB))),0)</f>
        <v>62.5</v>
      </c>
      <c r="D138" s="286">
        <f t="shared" si="11"/>
        <v>664.6728515625</v>
      </c>
      <c r="E138" s="286">
        <f t="shared" si="12"/>
        <v>664.6728515625</v>
      </c>
      <c r="F138" s="286">
        <f t="shared" si="13"/>
        <v>23.736572265625</v>
      </c>
      <c r="G138" s="36"/>
      <c r="H138" s="828" t="str">
        <f t="shared" si="8"/>
        <v>--</v>
      </c>
      <c r="I138" s="800">
        <f t="shared" si="9"/>
        <v>0</v>
      </c>
      <c r="J138" s="302">
        <f t="shared" si="10"/>
        <v>0</v>
      </c>
    </row>
    <row r="139" spans="1:10" x14ac:dyDescent="0.2">
      <c r="A139" s="42"/>
      <c r="B139" s="207" t="str">
        <f>IF(AND(TotNumDBCopiesServer&gt;COUNTA(B$123:B138),ValidationCheck=FALSE),IF(HAOption="Yes","DB-x",B138+1),"--")</f>
        <v>DB-x</v>
      </c>
      <c r="C139" s="205">
        <f>IF(B139&lt;&gt;"--",IF(HAOption="Yes",IF(TotNumDBCopiesServer&gt;=COUNT(B$123:B139),IF(TotNumDBCopiesServer&lt;=COUNT(B$123:B139),IF(calcTotNumMBXPerSvr&gt;TotalMBXPerSvr,TotMBXPerDAG-SUM(C$123:C138),MBXPerDB),MBXPerDB)),IF(RecNumDBs&gt;=B139,IF(RecNumDBs&lt;=B139,IF(calcTotNumMBXPerSvr&gt;TotalMBXPerSvr,TotalMBXPerSvr-SUM(C$123:C138),MBXPerDB),MBXPerDB))),0)</f>
        <v>62.5</v>
      </c>
      <c r="D139" s="286">
        <f t="shared" si="11"/>
        <v>664.6728515625</v>
      </c>
      <c r="E139" s="286">
        <f t="shared" si="12"/>
        <v>664.6728515625</v>
      </c>
      <c r="F139" s="286">
        <f t="shared" si="13"/>
        <v>23.736572265625</v>
      </c>
      <c r="G139" s="36"/>
      <c r="H139" s="829" t="str">
        <f t="shared" si="8"/>
        <v>--</v>
      </c>
      <c r="I139" s="801">
        <f t="shared" si="9"/>
        <v>0</v>
      </c>
      <c r="J139" s="303">
        <f t="shared" si="10"/>
        <v>0</v>
      </c>
    </row>
    <row r="140" spans="1:10" x14ac:dyDescent="0.2">
      <c r="A140" s="42"/>
      <c r="B140" s="207" t="str">
        <f>IF(AND(TotNumDBCopiesServer&gt;COUNTA(B$123:B139),ValidationCheck=FALSE),IF(HAOption="Yes","DB-x",B139+1),"--")</f>
        <v>DB-x</v>
      </c>
      <c r="C140" s="205">
        <f>IF(B140&lt;&gt;"--",IF(HAOption="Yes",IF(TotNumDBCopiesServer&gt;=COUNT(B$123:B140),IF(TotNumDBCopiesServer&lt;=COUNT(B$123:B140),IF(calcTotNumMBXPerSvr&gt;TotalMBXPerSvr,TotMBXPerDAG-SUM(C$123:C139),MBXPerDB),MBXPerDB)),IF(RecNumDBs&gt;=B140,IF(RecNumDBs&lt;=B140,IF(calcTotNumMBXPerSvr&gt;TotalMBXPerSvr,TotalMBXPerSvr-SUM(C$123:C139),MBXPerDB),MBXPerDB))),0)</f>
        <v>62.5</v>
      </c>
      <c r="D140" s="286">
        <f t="shared" si="11"/>
        <v>664.6728515625</v>
      </c>
      <c r="E140" s="286">
        <f t="shared" si="12"/>
        <v>664.6728515625</v>
      </c>
      <c r="F140" s="286">
        <f t="shared" si="13"/>
        <v>23.736572265625</v>
      </c>
      <c r="G140" s="36"/>
      <c r="H140" s="828" t="str">
        <f t="shared" si="8"/>
        <v>--</v>
      </c>
      <c r="I140" s="800">
        <f t="shared" si="9"/>
        <v>0</v>
      </c>
      <c r="J140" s="302">
        <f t="shared" si="10"/>
        <v>0</v>
      </c>
    </row>
    <row r="141" spans="1:10" x14ac:dyDescent="0.2">
      <c r="A141" s="42"/>
      <c r="B141" s="207" t="str">
        <f>IF(AND(TotNumDBCopiesServer&gt;COUNTA(B$123:B140),ValidationCheck=FALSE),IF(HAOption="Yes","DB-x",B140+1),"--")</f>
        <v>DB-x</v>
      </c>
      <c r="C141" s="205">
        <f>IF(B141&lt;&gt;"--",IF(HAOption="Yes",IF(TotNumDBCopiesServer&gt;=COUNT(B$123:B141),IF(TotNumDBCopiesServer&lt;=COUNT(B$123:B141),IF(calcTotNumMBXPerSvr&gt;TotalMBXPerSvr,TotMBXPerDAG-SUM(C$123:C140),MBXPerDB),MBXPerDB)),IF(RecNumDBs&gt;=B141,IF(RecNumDBs&lt;=B141,IF(calcTotNumMBXPerSvr&gt;TotalMBXPerSvr,TotalMBXPerSvr-SUM(C$123:C140),MBXPerDB),MBXPerDB))),0)</f>
        <v>62.5</v>
      </c>
      <c r="D141" s="286">
        <f t="shared" si="11"/>
        <v>664.6728515625</v>
      </c>
      <c r="E141" s="286">
        <f t="shared" si="12"/>
        <v>664.6728515625</v>
      </c>
      <c r="F141" s="286">
        <f t="shared" si="13"/>
        <v>23.736572265625</v>
      </c>
      <c r="G141" s="36"/>
      <c r="H141" s="829" t="str">
        <f t="shared" si="8"/>
        <v>--</v>
      </c>
      <c r="I141" s="801">
        <f t="shared" si="9"/>
        <v>0</v>
      </c>
      <c r="J141" s="303">
        <f t="shared" si="10"/>
        <v>0</v>
      </c>
    </row>
    <row r="142" spans="1:10" x14ac:dyDescent="0.2">
      <c r="A142" s="42"/>
      <c r="B142" s="207" t="str">
        <f>IF(AND(TotNumDBCopiesServer&gt;COUNTA(B$123:B141),ValidationCheck=FALSE),IF(HAOption="Yes","DB-x",B141+1),"--")</f>
        <v>DB-x</v>
      </c>
      <c r="C142" s="205">
        <f>IF(B142&lt;&gt;"--",IF(HAOption="Yes",IF(TotNumDBCopiesServer&gt;=COUNT(B$123:B142),IF(TotNumDBCopiesServer&lt;=COUNT(B$123:B142),IF(calcTotNumMBXPerSvr&gt;TotalMBXPerSvr,TotMBXPerDAG-SUM(C$123:C141),MBXPerDB),MBXPerDB)),IF(RecNumDBs&gt;=B142,IF(RecNumDBs&lt;=B142,IF(calcTotNumMBXPerSvr&gt;TotalMBXPerSvr,TotalMBXPerSvr-SUM(C$123:C141),MBXPerDB),MBXPerDB))),0)</f>
        <v>62.5</v>
      </c>
      <c r="D142" s="286">
        <f t="shared" si="11"/>
        <v>664.6728515625</v>
      </c>
      <c r="E142" s="286">
        <f t="shared" si="12"/>
        <v>664.6728515625</v>
      </c>
      <c r="F142" s="286">
        <f t="shared" si="13"/>
        <v>23.736572265625</v>
      </c>
      <c r="G142" s="36"/>
      <c r="H142" s="828" t="str">
        <f t="shared" si="8"/>
        <v>--</v>
      </c>
      <c r="I142" s="800">
        <f t="shared" si="9"/>
        <v>0</v>
      </c>
      <c r="J142" s="302">
        <f t="shared" si="10"/>
        <v>0</v>
      </c>
    </row>
    <row r="143" spans="1:10" x14ac:dyDescent="0.2">
      <c r="A143" s="42"/>
      <c r="B143" s="207" t="str">
        <f>IF(AND(TotNumDBCopiesServer&gt;COUNTA(B$123:B142),ValidationCheck=FALSE),IF(HAOption="Yes","DB-x",B142+1),"--")</f>
        <v>DB-x</v>
      </c>
      <c r="C143" s="205">
        <f>IF(B143&lt;&gt;"--",IF(HAOption="Yes",IF(TotNumDBCopiesServer&gt;=COUNT(B$123:B143),IF(TotNumDBCopiesServer&lt;=COUNT(B$123:B143),IF(calcTotNumMBXPerSvr&gt;TotalMBXPerSvr,TotMBXPerDAG-SUM(C$123:C142),MBXPerDB),MBXPerDB)),IF(RecNumDBs&gt;=B143,IF(RecNumDBs&lt;=B143,IF(calcTotNumMBXPerSvr&gt;TotalMBXPerSvr,TotalMBXPerSvr-SUM(C$123:C142),MBXPerDB),MBXPerDB))),0)</f>
        <v>62.5</v>
      </c>
      <c r="D143" s="286">
        <f t="shared" si="11"/>
        <v>664.6728515625</v>
      </c>
      <c r="E143" s="286">
        <f t="shared" si="12"/>
        <v>664.6728515625</v>
      </c>
      <c r="F143" s="286">
        <f t="shared" si="13"/>
        <v>23.736572265625</v>
      </c>
      <c r="G143" s="36"/>
      <c r="H143" s="829" t="str">
        <f t="shared" si="8"/>
        <v>--</v>
      </c>
      <c r="I143" s="801">
        <f t="shared" si="9"/>
        <v>0</v>
      </c>
      <c r="J143" s="303">
        <f t="shared" si="10"/>
        <v>0</v>
      </c>
    </row>
    <row r="144" spans="1:10" x14ac:dyDescent="0.2">
      <c r="A144" s="42"/>
      <c r="B144" s="207" t="str">
        <f>IF(AND(TotNumDBCopiesServer&gt;COUNTA(B$123:B143),ValidationCheck=FALSE),IF(HAOption="Yes","DB-x",B143+1),"--")</f>
        <v>DB-x</v>
      </c>
      <c r="C144" s="205">
        <f>IF(B144&lt;&gt;"--",IF(HAOption="Yes",IF(TotNumDBCopiesServer&gt;=COUNT(B$123:B144),IF(TotNumDBCopiesServer&lt;=COUNT(B$123:B144),IF(calcTotNumMBXPerSvr&gt;TotalMBXPerSvr,TotMBXPerDAG-SUM(C$123:C143),MBXPerDB),MBXPerDB)),IF(RecNumDBs&gt;=B144,IF(RecNumDBs&lt;=B144,IF(calcTotNumMBXPerSvr&gt;TotalMBXPerSvr,TotalMBXPerSvr-SUM(C$123:C143),MBXPerDB),MBXPerDB))),0)</f>
        <v>62.5</v>
      </c>
      <c r="D144" s="286">
        <f t="shared" si="11"/>
        <v>664.6728515625</v>
      </c>
      <c r="E144" s="286">
        <f t="shared" si="12"/>
        <v>664.6728515625</v>
      </c>
      <c r="F144" s="286">
        <f t="shared" si="13"/>
        <v>23.736572265625</v>
      </c>
      <c r="G144" s="36"/>
      <c r="H144" s="828" t="str">
        <f t="shared" si="8"/>
        <v>--</v>
      </c>
      <c r="I144" s="800">
        <f t="shared" si="9"/>
        <v>0</v>
      </c>
      <c r="J144" s="302">
        <f t="shared" si="10"/>
        <v>0</v>
      </c>
    </row>
    <row r="145" spans="1:10" x14ac:dyDescent="0.2">
      <c r="A145" s="42"/>
      <c r="B145" s="207" t="str">
        <f>IF(AND(TotNumDBCopiesServer&gt;COUNTA(B$123:B144),ValidationCheck=FALSE),IF(HAOption="Yes","DB-x",B144+1),"--")</f>
        <v>DB-x</v>
      </c>
      <c r="C145" s="205">
        <f>IF(B145&lt;&gt;"--",IF(HAOption="Yes",IF(TotNumDBCopiesServer&gt;=COUNT(B$123:B145),IF(TotNumDBCopiesServer&lt;=COUNT(B$123:B145),IF(calcTotNumMBXPerSvr&gt;TotalMBXPerSvr,TotMBXPerDAG-SUM(C$123:C144),MBXPerDB),MBXPerDB)),IF(RecNumDBs&gt;=B145,IF(RecNumDBs&lt;=B145,IF(calcTotNumMBXPerSvr&gt;TotalMBXPerSvr,TotalMBXPerSvr-SUM(C$123:C144),MBXPerDB),MBXPerDB))),0)</f>
        <v>62.5</v>
      </c>
      <c r="D145" s="286">
        <f t="shared" si="11"/>
        <v>664.6728515625</v>
      </c>
      <c r="E145" s="286">
        <f t="shared" si="12"/>
        <v>664.6728515625</v>
      </c>
      <c r="F145" s="286">
        <f t="shared" si="13"/>
        <v>23.736572265625</v>
      </c>
      <c r="G145" s="36"/>
      <c r="H145" s="829" t="str">
        <f t="shared" si="8"/>
        <v>--</v>
      </c>
      <c r="I145" s="801">
        <f t="shared" si="9"/>
        <v>0</v>
      </c>
      <c r="J145" s="303">
        <f t="shared" si="10"/>
        <v>0</v>
      </c>
    </row>
    <row r="146" spans="1:10" x14ac:dyDescent="0.2">
      <c r="A146" s="42"/>
      <c r="B146" s="207" t="str">
        <f>IF(AND(TotNumDBCopiesServer&gt;COUNTA(B$123:B145),ValidationCheck=FALSE),IF(HAOption="Yes","DB-x",B145+1),"--")</f>
        <v>DB-x</v>
      </c>
      <c r="C146" s="205">
        <f>IF(B146&lt;&gt;"--",IF(HAOption="Yes",IF(TotNumDBCopiesServer&gt;=COUNT(B$123:B146),IF(TotNumDBCopiesServer&lt;=COUNT(B$123:B146),IF(calcTotNumMBXPerSvr&gt;TotalMBXPerSvr,TotMBXPerDAG-SUM(C$123:C145),MBXPerDB),MBXPerDB)),IF(RecNumDBs&gt;=B146,IF(RecNumDBs&lt;=B146,IF(calcTotNumMBXPerSvr&gt;TotalMBXPerSvr,TotalMBXPerSvr-SUM(C$123:C145),MBXPerDB),MBXPerDB))),0)</f>
        <v>62.5</v>
      </c>
      <c r="D146" s="286">
        <f t="shared" si="11"/>
        <v>664.6728515625</v>
      </c>
      <c r="E146" s="286">
        <f t="shared" si="12"/>
        <v>664.6728515625</v>
      </c>
      <c r="F146" s="286">
        <f t="shared" si="13"/>
        <v>23.736572265625</v>
      </c>
      <c r="G146" s="36"/>
      <c r="H146" s="828" t="str">
        <f t="shared" si="8"/>
        <v>--</v>
      </c>
      <c r="I146" s="800">
        <f t="shared" si="9"/>
        <v>0</v>
      </c>
      <c r="J146" s="302">
        <f t="shared" si="10"/>
        <v>0</v>
      </c>
    </row>
    <row r="147" spans="1:10" x14ac:dyDescent="0.2">
      <c r="A147" s="42"/>
      <c r="B147" s="207" t="str">
        <f>IF(AND(TotNumDBCopiesServer&gt;COUNTA(B$123:B146),ValidationCheck=FALSE),IF(HAOption="Yes","DB-x",B146+1),"--")</f>
        <v>DB-x</v>
      </c>
      <c r="C147" s="205">
        <f>IF(B147&lt;&gt;"--",IF(HAOption="Yes",IF(TotNumDBCopiesServer&gt;=COUNT(B$123:B147),IF(TotNumDBCopiesServer&lt;=COUNT(B$123:B147),IF(calcTotNumMBXPerSvr&gt;TotalMBXPerSvr,TotMBXPerDAG-SUM(C$123:C146),MBXPerDB),MBXPerDB)),IF(RecNumDBs&gt;=B147,IF(RecNumDBs&lt;=B147,IF(calcTotNumMBXPerSvr&gt;TotalMBXPerSvr,TotalMBXPerSvr-SUM(C$123:C146),MBXPerDB),MBXPerDB))),0)</f>
        <v>62.5</v>
      </c>
      <c r="D147" s="286">
        <f t="shared" si="11"/>
        <v>664.6728515625</v>
      </c>
      <c r="E147" s="286">
        <f t="shared" si="12"/>
        <v>664.6728515625</v>
      </c>
      <c r="F147" s="286">
        <f t="shared" si="13"/>
        <v>23.736572265625</v>
      </c>
      <c r="G147" s="36"/>
      <c r="H147" s="829" t="str">
        <f t="shared" si="8"/>
        <v>--</v>
      </c>
      <c r="I147" s="801">
        <f t="shared" si="9"/>
        <v>0</v>
      </c>
      <c r="J147" s="303">
        <f t="shared" si="10"/>
        <v>0</v>
      </c>
    </row>
    <row r="148" spans="1:10" x14ac:dyDescent="0.2">
      <c r="A148" s="42"/>
      <c r="B148" s="207" t="str">
        <f>IF(AND(TotNumDBCopiesServer&gt;COUNTA(B$123:B147),ValidationCheck=FALSE),IF(HAOption="Yes","DB-x",B147+1),"--")</f>
        <v>DB-x</v>
      </c>
      <c r="C148" s="205">
        <f>IF(B148&lt;&gt;"--",IF(HAOption="Yes",IF(TotNumDBCopiesServer&gt;=COUNT(B$123:B148),IF(TotNumDBCopiesServer&lt;=COUNT(B$123:B148),IF(calcTotNumMBXPerSvr&gt;TotalMBXPerSvr,TotMBXPerDAG-SUM(C$123:C147),MBXPerDB),MBXPerDB)),IF(RecNumDBs&gt;=B148,IF(RecNumDBs&lt;=B148,IF(calcTotNumMBXPerSvr&gt;TotalMBXPerSvr,TotalMBXPerSvr-SUM(C$123:C147),MBXPerDB),MBXPerDB))),0)</f>
        <v>62.5</v>
      </c>
      <c r="D148" s="286">
        <f t="shared" si="11"/>
        <v>664.6728515625</v>
      </c>
      <c r="E148" s="286">
        <f t="shared" si="12"/>
        <v>664.6728515625</v>
      </c>
      <c r="F148" s="286">
        <f t="shared" si="13"/>
        <v>23.736572265625</v>
      </c>
      <c r="G148" s="36"/>
      <c r="H148" s="828" t="str">
        <f t="shared" si="8"/>
        <v>--</v>
      </c>
      <c r="I148" s="800">
        <f t="shared" si="9"/>
        <v>0</v>
      </c>
      <c r="J148" s="302">
        <f t="shared" si="10"/>
        <v>0</v>
      </c>
    </row>
    <row r="149" spans="1:10" x14ac:dyDescent="0.2">
      <c r="A149" s="42"/>
      <c r="B149" s="207" t="str">
        <f>IF(AND(TotNumDBCopiesServer&gt;COUNTA(B$123:B148),ValidationCheck=FALSE),IF(HAOption="Yes","DB-x",B148+1),"--")</f>
        <v>DB-x</v>
      </c>
      <c r="C149" s="205">
        <f>IF(B149&lt;&gt;"--",IF(HAOption="Yes",IF(TotNumDBCopiesServer&gt;=COUNT(B$123:B149),IF(TotNumDBCopiesServer&lt;=COUNT(B$123:B149),IF(calcTotNumMBXPerSvr&gt;TotalMBXPerSvr,TotMBXPerDAG-SUM(C$123:C148),MBXPerDB),MBXPerDB)),IF(RecNumDBs&gt;=B149,IF(RecNumDBs&lt;=B149,IF(calcTotNumMBXPerSvr&gt;TotalMBXPerSvr,TotalMBXPerSvr-SUM(C$123:C148),MBXPerDB),MBXPerDB))),0)</f>
        <v>62.5</v>
      </c>
      <c r="D149" s="286">
        <f t="shared" si="11"/>
        <v>664.6728515625</v>
      </c>
      <c r="E149" s="286">
        <f t="shared" si="12"/>
        <v>664.6728515625</v>
      </c>
      <c r="F149" s="286">
        <f t="shared" si="13"/>
        <v>23.736572265625</v>
      </c>
      <c r="G149" s="36"/>
      <c r="H149" s="829" t="str">
        <f t="shared" si="8"/>
        <v>--</v>
      </c>
      <c r="I149" s="801">
        <f t="shared" si="9"/>
        <v>0</v>
      </c>
      <c r="J149" s="303">
        <f t="shared" si="10"/>
        <v>0</v>
      </c>
    </row>
    <row r="150" spans="1:10" x14ac:dyDescent="0.2">
      <c r="A150" s="42"/>
      <c r="B150" s="207" t="str">
        <f>IF(AND(TotNumDBCopiesServer&gt;COUNTA(B$123:B149),ValidationCheck=FALSE),IF(HAOption="Yes","DB-x",B149+1),"--")</f>
        <v>DB-x</v>
      </c>
      <c r="C150" s="205">
        <f>IF(B150&lt;&gt;"--",IF(HAOption="Yes",IF(TotNumDBCopiesServer&gt;=COUNT(B$123:B150),IF(TotNumDBCopiesServer&lt;=COUNT(B$123:B150),IF(calcTotNumMBXPerSvr&gt;TotalMBXPerSvr,TotMBXPerDAG-SUM(C$123:C149),MBXPerDB),MBXPerDB)),IF(RecNumDBs&gt;=B150,IF(RecNumDBs&lt;=B150,IF(calcTotNumMBXPerSvr&gt;TotalMBXPerSvr,TotalMBXPerSvr-SUM(C$123:C149),MBXPerDB),MBXPerDB))),0)</f>
        <v>62.5</v>
      </c>
      <c r="D150" s="286">
        <f t="shared" si="11"/>
        <v>664.6728515625</v>
      </c>
      <c r="E150" s="286">
        <f t="shared" si="12"/>
        <v>664.6728515625</v>
      </c>
      <c r="F150" s="286">
        <f t="shared" si="13"/>
        <v>23.736572265625</v>
      </c>
      <c r="G150" s="36"/>
      <c r="H150" s="828" t="str">
        <f t="shared" si="8"/>
        <v>--</v>
      </c>
      <c r="I150" s="800">
        <f t="shared" si="9"/>
        <v>0</v>
      </c>
      <c r="J150" s="302">
        <f t="shared" si="10"/>
        <v>0</v>
      </c>
    </row>
    <row r="151" spans="1:10" x14ac:dyDescent="0.2">
      <c r="A151" s="42"/>
      <c r="B151" s="207" t="str">
        <f>IF(AND(TotNumDBCopiesServer&gt;COUNTA(B$123:B150),ValidationCheck=FALSE),IF(HAOption="Yes","DB-x",B150+1),"--")</f>
        <v>DB-x</v>
      </c>
      <c r="C151" s="205">
        <f>IF(B151&lt;&gt;"--",IF(HAOption="Yes",IF(TotNumDBCopiesServer&gt;=COUNT(B$123:B151),IF(TotNumDBCopiesServer&lt;=COUNT(B$123:B151),IF(calcTotNumMBXPerSvr&gt;TotalMBXPerSvr,TotMBXPerDAG-SUM(C$123:C150),MBXPerDB),MBXPerDB)),IF(RecNumDBs&gt;=B151,IF(RecNumDBs&lt;=B151,IF(calcTotNumMBXPerSvr&gt;TotalMBXPerSvr,TotalMBXPerSvr-SUM(C$123:C150),MBXPerDB),MBXPerDB))),0)</f>
        <v>62.5</v>
      </c>
      <c r="D151" s="286">
        <f t="shared" si="11"/>
        <v>664.6728515625</v>
      </c>
      <c r="E151" s="286">
        <f t="shared" si="12"/>
        <v>664.6728515625</v>
      </c>
      <c r="F151" s="286">
        <f t="shared" si="13"/>
        <v>23.736572265625</v>
      </c>
      <c r="G151" s="36"/>
      <c r="H151" s="829" t="str">
        <f t="shared" si="8"/>
        <v>--</v>
      </c>
      <c r="I151" s="801">
        <f t="shared" si="9"/>
        <v>0</v>
      </c>
      <c r="J151" s="303">
        <f t="shared" si="10"/>
        <v>0</v>
      </c>
    </row>
    <row r="152" spans="1:10" x14ac:dyDescent="0.2">
      <c r="A152" s="42"/>
      <c r="B152" s="207" t="str">
        <f>IF(AND(TotNumDBCopiesServer&gt;COUNTA(B$123:B151),ValidationCheck=FALSE),IF(HAOption="Yes","DB-x",B151+1),"--")</f>
        <v>DB-x</v>
      </c>
      <c r="C152" s="205">
        <f>IF(B152&lt;&gt;"--",IF(HAOption="Yes",IF(TotNumDBCopiesServer&gt;=COUNT(B$123:B152),IF(TotNumDBCopiesServer&lt;=COUNT(B$123:B152),IF(calcTotNumMBXPerSvr&gt;TotalMBXPerSvr,TotMBXPerDAG-SUM(C$123:C151),MBXPerDB),MBXPerDB)),IF(RecNumDBs&gt;=B152,IF(RecNumDBs&lt;=B152,IF(calcTotNumMBXPerSvr&gt;TotalMBXPerSvr,TotalMBXPerSvr-SUM(C$123:C151),MBXPerDB),MBXPerDB))),0)</f>
        <v>62.5</v>
      </c>
      <c r="D152" s="286">
        <f t="shared" si="11"/>
        <v>664.6728515625</v>
      </c>
      <c r="E152" s="286">
        <f t="shared" si="12"/>
        <v>664.6728515625</v>
      </c>
      <c r="F152" s="286">
        <f t="shared" si="13"/>
        <v>23.736572265625</v>
      </c>
      <c r="G152" s="36"/>
      <c r="H152" s="828" t="str">
        <f t="shared" si="8"/>
        <v>--</v>
      </c>
      <c r="I152" s="800">
        <f t="shared" si="9"/>
        <v>0</v>
      </c>
      <c r="J152" s="302">
        <f t="shared" si="10"/>
        <v>0</v>
      </c>
    </row>
    <row r="153" spans="1:10" x14ac:dyDescent="0.2">
      <c r="A153" s="42"/>
      <c r="B153" s="207" t="str">
        <f>IF(AND(TotNumDBCopiesServer&gt;COUNTA(B$123:B152),ValidationCheck=FALSE),IF(HAOption="Yes","DB-x",B152+1),"--")</f>
        <v>DB-x</v>
      </c>
      <c r="C153" s="205">
        <f>IF(B153&lt;&gt;"--",IF(HAOption="Yes",IF(TotNumDBCopiesServer&gt;=COUNT(B$123:B153),IF(TotNumDBCopiesServer&lt;=COUNT(B$123:B153),IF(calcTotNumMBXPerSvr&gt;TotalMBXPerSvr,TotMBXPerDAG-SUM(C$123:C152),MBXPerDB),MBXPerDB)),IF(RecNumDBs&gt;=B153,IF(RecNumDBs&lt;=B153,IF(calcTotNumMBXPerSvr&gt;TotalMBXPerSvr,TotalMBXPerSvr-SUM(C$123:C152),MBXPerDB),MBXPerDB))),0)</f>
        <v>62.5</v>
      </c>
      <c r="D153" s="286">
        <f t="shared" si="11"/>
        <v>664.6728515625</v>
      </c>
      <c r="E153" s="286">
        <f t="shared" si="12"/>
        <v>664.6728515625</v>
      </c>
      <c r="F153" s="286">
        <f t="shared" si="13"/>
        <v>23.736572265625</v>
      </c>
      <c r="G153" s="36"/>
      <c r="H153" s="829" t="str">
        <f t="shared" si="8"/>
        <v>--</v>
      </c>
      <c r="I153" s="801">
        <f t="shared" si="9"/>
        <v>0</v>
      </c>
      <c r="J153" s="303">
        <f t="shared" si="10"/>
        <v>0</v>
      </c>
    </row>
    <row r="154" spans="1:10" x14ac:dyDescent="0.2">
      <c r="A154" s="42"/>
      <c r="B154" s="207" t="str">
        <f>IF(AND(TotNumDBCopiesServer&gt;COUNTA(B$123:B153),ValidationCheck=FALSE),IF(HAOption="Yes","DB-x",B153+1),"--")</f>
        <v>DB-x</v>
      </c>
      <c r="C154" s="205">
        <f>IF(B154&lt;&gt;"--",IF(HAOption="Yes",IF(TotNumDBCopiesServer&gt;=COUNT(B$123:B154),IF(TotNumDBCopiesServer&lt;=COUNT(B$123:B154),IF(calcTotNumMBXPerSvr&gt;TotalMBXPerSvr,TotMBXPerDAG-SUM(C$123:C153),MBXPerDB),MBXPerDB)),IF(RecNumDBs&gt;=B154,IF(RecNumDBs&lt;=B154,IF(calcTotNumMBXPerSvr&gt;TotalMBXPerSvr,TotalMBXPerSvr-SUM(C$123:C153),MBXPerDB),MBXPerDB))),0)</f>
        <v>62.5</v>
      </c>
      <c r="D154" s="286">
        <f t="shared" si="11"/>
        <v>664.6728515625</v>
      </c>
      <c r="E154" s="286">
        <f t="shared" si="12"/>
        <v>664.6728515625</v>
      </c>
      <c r="F154" s="286">
        <f t="shared" si="13"/>
        <v>23.736572265625</v>
      </c>
      <c r="G154" s="36"/>
      <c r="H154" s="828" t="str">
        <f t="shared" si="8"/>
        <v>--</v>
      </c>
      <c r="I154" s="800">
        <f t="shared" si="9"/>
        <v>0</v>
      </c>
      <c r="J154" s="302">
        <f t="shared" si="10"/>
        <v>0</v>
      </c>
    </row>
    <row r="155" spans="1:10" x14ac:dyDescent="0.2">
      <c r="A155" s="42"/>
      <c r="B155" s="207" t="str">
        <f>IF(AND(TotNumDBCopiesServer&gt;COUNTA(B$123:B154),ValidationCheck=FALSE),IF(HAOption="Yes","DB-x",B154+1),"--")</f>
        <v>DB-x</v>
      </c>
      <c r="C155" s="205">
        <f>IF(B155&lt;&gt;"--",IF(HAOption="Yes",IF(TotNumDBCopiesServer&gt;=COUNT(B$123:B155),IF(TotNumDBCopiesServer&lt;=COUNT(B$123:B155),IF(calcTotNumMBXPerSvr&gt;TotalMBXPerSvr,TotMBXPerDAG-SUM(C$123:C154),MBXPerDB),MBXPerDB)),IF(RecNumDBs&gt;=B155,IF(RecNumDBs&lt;=B155,IF(calcTotNumMBXPerSvr&gt;TotalMBXPerSvr,TotalMBXPerSvr-SUM(C$123:C154),MBXPerDB),MBXPerDB))),0)</f>
        <v>62.5</v>
      </c>
      <c r="D155" s="286">
        <f t="shared" si="11"/>
        <v>664.6728515625</v>
      </c>
      <c r="E155" s="286">
        <f t="shared" si="12"/>
        <v>664.6728515625</v>
      </c>
      <c r="F155" s="286">
        <f t="shared" si="13"/>
        <v>23.736572265625</v>
      </c>
      <c r="G155" s="36"/>
      <c r="H155" s="829" t="str">
        <f t="shared" ref="H155:H218" si="14">IF(ValidationCheck=FALSE,IFERROR(IF(TotNumDBCopiesServer/NumDBPerVol&gt;ROW()-ROW(DBSet1),IF(OR(VolDesign=1,NumDBVol=1),CONCATENATE("DB",ROW()-ROW(DBSet1)+1),CONCATENATE("DB",ABS(ROW(DBSet1)-ROW()) * NumDBPerVol+1,"-DB",MIN(TotNumDBCopiesServer,(ABS(ROW(DBSet1)-ROW())+1) * NumDBPerVol))),"--"),"--"),"--")</f>
        <v>--</v>
      </c>
      <c r="I155" s="801">
        <f t="shared" ref="I155:I172" si="15">IF(H155="--",0,(SUMIF(C$6:C$105,D38,E$123:E$222)+IF(RestoreVol="Yes",0,(SUMIF(C$6:C$105,D38,E$123:E$222)*1.1/NumDBPerVol))+IF(ContentIndexing="Enabled",(SUMIF(C$6:C$105,D38,E$123:E$222)+DBSizeOverhead)*CIFactor)+IF(OR(VolArchitecture="1 Volume / DB",VolArchitecture="Multiple DBs / Volume"),SUMIF(C$6:C$105,D38,F$123:F$222),0))/(1-VolGrowth))</f>
        <v>0</v>
      </c>
      <c r="J155" s="303">
        <f t="shared" ref="J155:J186" si="16">IF(OR(VolArchitecture="Multiple DBs / Volume",VolArchitecture="1 Volume / DB"),0,IF(H155="--",0,SUMIF(C$6:C$105,D38,F$123:F$222)/(1-VolGrowth)))</f>
        <v>0</v>
      </c>
    </row>
    <row r="156" spans="1:10" x14ac:dyDescent="0.2">
      <c r="A156" s="42"/>
      <c r="B156" s="207" t="str">
        <f>IF(AND(TotNumDBCopiesServer&gt;COUNTA(B$123:B155),ValidationCheck=FALSE),IF(HAOption="Yes","DB-x",B155+1),"--")</f>
        <v>DB-x</v>
      </c>
      <c r="C156" s="205">
        <f>IF(B156&lt;&gt;"--",IF(HAOption="Yes",IF(TotNumDBCopiesServer&gt;=COUNT(B$123:B156),IF(TotNumDBCopiesServer&lt;=COUNT(B$123:B156),IF(calcTotNumMBXPerSvr&gt;TotalMBXPerSvr,TotMBXPerDAG-SUM(C$123:C155),MBXPerDB),MBXPerDB)),IF(RecNumDBs&gt;=B156,IF(RecNumDBs&lt;=B156,IF(calcTotNumMBXPerSvr&gt;TotalMBXPerSvr,TotalMBXPerSvr-SUM(C$123:C155),MBXPerDB),MBXPerDB))),0)</f>
        <v>62.5</v>
      </c>
      <c r="D156" s="286">
        <f t="shared" ref="D156:D187" si="17">IF(C156=0,0,(C156*((Tier1MBXRatio*Tier1MBXSize)+(Tier3MBXRatio*Tier3MBXSize)+(Tier2MBXRatio*Tier2MBXSize)+(Tier4MBXRatio*Tier4MBXSize)))/1024)</f>
        <v>664.6728515625</v>
      </c>
      <c r="E156" s="286">
        <f t="shared" ref="E156:E187" si="18">IF(B156&lt;&gt;"--",D156*(1+DataGrowth),0)</f>
        <v>664.6728515625</v>
      </c>
      <c r="F156" s="286">
        <f t="shared" ref="F156:F187" si="19">IF(B156="--",0,TotLogDiskSpace/RecNumDBs)</f>
        <v>23.736572265625</v>
      </c>
      <c r="G156" s="36"/>
      <c r="H156" s="828" t="str">
        <f t="shared" si="14"/>
        <v>--</v>
      </c>
      <c r="I156" s="800">
        <f t="shared" si="15"/>
        <v>0</v>
      </c>
      <c r="J156" s="302">
        <f t="shared" si="16"/>
        <v>0</v>
      </c>
    </row>
    <row r="157" spans="1:10" x14ac:dyDescent="0.2">
      <c r="A157" s="42"/>
      <c r="B157" s="207" t="str">
        <f>IF(AND(TotNumDBCopiesServer&gt;COUNTA(B$123:B156),ValidationCheck=FALSE),IF(HAOption="Yes","DB-x",B156+1),"--")</f>
        <v>DB-x</v>
      </c>
      <c r="C157" s="205">
        <f>IF(B157&lt;&gt;"--",IF(HAOption="Yes",IF(TotNumDBCopiesServer&gt;=COUNT(B$123:B157),IF(TotNumDBCopiesServer&lt;=COUNT(B$123:B157),IF(calcTotNumMBXPerSvr&gt;TotalMBXPerSvr,TotMBXPerDAG-SUM(C$123:C156),MBXPerDB),MBXPerDB)),IF(RecNumDBs&gt;=B157,IF(RecNumDBs&lt;=B157,IF(calcTotNumMBXPerSvr&gt;TotalMBXPerSvr,TotalMBXPerSvr-SUM(C$123:C156),MBXPerDB),MBXPerDB))),0)</f>
        <v>62.5</v>
      </c>
      <c r="D157" s="286">
        <f t="shared" si="17"/>
        <v>664.6728515625</v>
      </c>
      <c r="E157" s="286">
        <f t="shared" si="18"/>
        <v>664.6728515625</v>
      </c>
      <c r="F157" s="286">
        <f t="shared" si="19"/>
        <v>23.736572265625</v>
      </c>
      <c r="G157" s="36"/>
      <c r="H157" s="829" t="str">
        <f t="shared" si="14"/>
        <v>--</v>
      </c>
      <c r="I157" s="801">
        <f t="shared" si="15"/>
        <v>0</v>
      </c>
      <c r="J157" s="303">
        <f t="shared" si="16"/>
        <v>0</v>
      </c>
    </row>
    <row r="158" spans="1:10" x14ac:dyDescent="0.2">
      <c r="A158" s="42"/>
      <c r="B158" s="207" t="str">
        <f>IF(AND(TotNumDBCopiesServer&gt;COUNTA(B$123:B157),ValidationCheck=FALSE),IF(HAOption="Yes","DB-x",B157+1),"--")</f>
        <v>DB-x</v>
      </c>
      <c r="C158" s="205">
        <f>IF(B158&lt;&gt;"--",IF(HAOption="Yes",IF(TotNumDBCopiesServer&gt;=COUNT(B$123:B158),IF(TotNumDBCopiesServer&lt;=COUNT(B$123:B158),IF(calcTotNumMBXPerSvr&gt;TotalMBXPerSvr,TotMBXPerDAG-SUM(C$123:C157),MBXPerDB),MBXPerDB)),IF(RecNumDBs&gt;=B158,IF(RecNumDBs&lt;=B158,IF(calcTotNumMBXPerSvr&gt;TotalMBXPerSvr,TotalMBXPerSvr-SUM(C$123:C157),MBXPerDB),MBXPerDB))),0)</f>
        <v>62.5</v>
      </c>
      <c r="D158" s="286">
        <f t="shared" si="17"/>
        <v>664.6728515625</v>
      </c>
      <c r="E158" s="286">
        <f t="shared" si="18"/>
        <v>664.6728515625</v>
      </c>
      <c r="F158" s="286">
        <f t="shared" si="19"/>
        <v>23.736572265625</v>
      </c>
      <c r="G158" s="36"/>
      <c r="H158" s="828" t="str">
        <f t="shared" si="14"/>
        <v>--</v>
      </c>
      <c r="I158" s="800">
        <f t="shared" si="15"/>
        <v>0</v>
      </c>
      <c r="J158" s="302">
        <f t="shared" si="16"/>
        <v>0</v>
      </c>
    </row>
    <row r="159" spans="1:10" x14ac:dyDescent="0.2">
      <c r="A159" s="42"/>
      <c r="B159" s="207" t="str">
        <f>IF(AND(TotNumDBCopiesServer&gt;COUNTA(B$123:B158),ValidationCheck=FALSE),IF(HAOption="Yes","DB-x",B158+1),"--")</f>
        <v>--</v>
      </c>
      <c r="C159" s="205">
        <f>IF(B159&lt;&gt;"--",IF(HAOption="Yes",IF(TotNumDBCopiesServer&gt;=COUNT(B$123:B159),IF(TotNumDBCopiesServer&lt;=COUNT(B$123:B159),IF(calcTotNumMBXPerSvr&gt;TotalMBXPerSvr,TotMBXPerDAG-SUM(C$123:C158),MBXPerDB),MBXPerDB)),IF(RecNumDBs&gt;=B159,IF(RecNumDBs&lt;=B159,IF(calcTotNumMBXPerSvr&gt;TotalMBXPerSvr,TotalMBXPerSvr-SUM(C$123:C158),MBXPerDB),MBXPerDB))),0)</f>
        <v>0</v>
      </c>
      <c r="D159" s="286">
        <f t="shared" si="17"/>
        <v>0</v>
      </c>
      <c r="E159" s="286">
        <f t="shared" si="18"/>
        <v>0</v>
      </c>
      <c r="F159" s="286">
        <f t="shared" si="19"/>
        <v>0</v>
      </c>
      <c r="G159" s="36"/>
      <c r="H159" s="829" t="str">
        <f t="shared" si="14"/>
        <v>--</v>
      </c>
      <c r="I159" s="801">
        <f t="shared" si="15"/>
        <v>0</v>
      </c>
      <c r="J159" s="303">
        <f t="shared" si="16"/>
        <v>0</v>
      </c>
    </row>
    <row r="160" spans="1:10" x14ac:dyDescent="0.2">
      <c r="A160" s="42"/>
      <c r="B160" s="207" t="str">
        <f>IF(AND(TotNumDBCopiesServer&gt;COUNTA(B$123:B159),ValidationCheck=FALSE),IF(HAOption="Yes","DB-x",B159+1),"--")</f>
        <v>--</v>
      </c>
      <c r="C160" s="205">
        <f>IF(B160&lt;&gt;"--",IF(HAOption="Yes",IF(TotNumDBCopiesServer&gt;=COUNT(B$123:B160),IF(TotNumDBCopiesServer&lt;=COUNT(B$123:B160),IF(calcTotNumMBXPerSvr&gt;TotalMBXPerSvr,TotMBXPerDAG-SUM(C$123:C159),MBXPerDB),MBXPerDB)),IF(RecNumDBs&gt;=B160,IF(RecNumDBs&lt;=B160,IF(calcTotNumMBXPerSvr&gt;TotalMBXPerSvr,TotalMBXPerSvr-SUM(C$123:C159),MBXPerDB),MBXPerDB))),0)</f>
        <v>0</v>
      </c>
      <c r="D160" s="286">
        <f t="shared" si="17"/>
        <v>0</v>
      </c>
      <c r="E160" s="286">
        <f t="shared" si="18"/>
        <v>0</v>
      </c>
      <c r="F160" s="286">
        <f t="shared" si="19"/>
        <v>0</v>
      </c>
      <c r="G160" s="36"/>
      <c r="H160" s="828" t="str">
        <f t="shared" si="14"/>
        <v>--</v>
      </c>
      <c r="I160" s="800">
        <f t="shared" si="15"/>
        <v>0</v>
      </c>
      <c r="J160" s="302">
        <f t="shared" si="16"/>
        <v>0</v>
      </c>
    </row>
    <row r="161" spans="1:11" x14ac:dyDescent="0.2">
      <c r="A161" s="42"/>
      <c r="B161" s="207" t="str">
        <f>IF(AND(TotNumDBCopiesServer&gt;COUNTA(B$123:B160),ValidationCheck=FALSE),IF(HAOption="Yes","DB-x",B160+1),"--")</f>
        <v>--</v>
      </c>
      <c r="C161" s="205">
        <f>IF(B161&lt;&gt;"--",IF(HAOption="Yes",IF(TotNumDBCopiesServer&gt;=COUNT(B$123:B161),IF(TotNumDBCopiesServer&lt;=COUNT(B$123:B161),IF(calcTotNumMBXPerSvr&gt;TotalMBXPerSvr,TotMBXPerDAG-SUM(C$123:C160),MBXPerDB),MBXPerDB)),IF(RecNumDBs&gt;=B161,IF(RecNumDBs&lt;=B161,IF(calcTotNumMBXPerSvr&gt;TotalMBXPerSvr,TotalMBXPerSvr-SUM(C$123:C160),MBXPerDB),MBXPerDB))),0)</f>
        <v>0</v>
      </c>
      <c r="D161" s="286">
        <f t="shared" si="17"/>
        <v>0</v>
      </c>
      <c r="E161" s="286">
        <f t="shared" si="18"/>
        <v>0</v>
      </c>
      <c r="F161" s="286">
        <f t="shared" si="19"/>
        <v>0</v>
      </c>
      <c r="G161" s="36"/>
      <c r="H161" s="829" t="str">
        <f t="shared" si="14"/>
        <v>--</v>
      </c>
      <c r="I161" s="801">
        <f t="shared" si="15"/>
        <v>0</v>
      </c>
      <c r="J161" s="303">
        <f t="shared" si="16"/>
        <v>0</v>
      </c>
    </row>
    <row r="162" spans="1:11" x14ac:dyDescent="0.2">
      <c r="A162" s="42"/>
      <c r="B162" s="207" t="str">
        <f>IF(AND(TotNumDBCopiesServer&gt;COUNTA(B$123:B161),ValidationCheck=FALSE),IF(HAOption="Yes","DB-x",B161+1),"--")</f>
        <v>--</v>
      </c>
      <c r="C162" s="205">
        <f>IF(B162&lt;&gt;"--",IF(HAOption="Yes",IF(TotNumDBCopiesServer&gt;=COUNT(B$123:B162),IF(TotNumDBCopiesServer&lt;=COUNT(B$123:B162),IF(calcTotNumMBXPerSvr&gt;TotalMBXPerSvr,TotMBXPerDAG-SUM(C$123:C161),MBXPerDB),MBXPerDB)),IF(RecNumDBs&gt;=B162,IF(RecNumDBs&lt;=B162,IF(calcTotNumMBXPerSvr&gt;TotalMBXPerSvr,TotalMBXPerSvr-SUM(C$123:C161),MBXPerDB),MBXPerDB))),0)</f>
        <v>0</v>
      </c>
      <c r="D162" s="286">
        <f t="shared" si="17"/>
        <v>0</v>
      </c>
      <c r="E162" s="286">
        <f t="shared" si="18"/>
        <v>0</v>
      </c>
      <c r="F162" s="286">
        <f t="shared" si="19"/>
        <v>0</v>
      </c>
      <c r="G162" s="36"/>
      <c r="H162" s="828" t="str">
        <f t="shared" si="14"/>
        <v>--</v>
      </c>
      <c r="I162" s="800">
        <f t="shared" si="15"/>
        <v>0</v>
      </c>
      <c r="J162" s="302">
        <f t="shared" si="16"/>
        <v>0</v>
      </c>
    </row>
    <row r="163" spans="1:11" x14ac:dyDescent="0.2">
      <c r="A163" s="42"/>
      <c r="B163" s="207" t="str">
        <f>IF(AND(TotNumDBCopiesServer&gt;COUNTA(B$123:B162),ValidationCheck=FALSE),IF(HAOption="Yes","DB-x",B162+1),"--")</f>
        <v>--</v>
      </c>
      <c r="C163" s="205">
        <f>IF(B163&lt;&gt;"--",IF(HAOption="Yes",IF(TotNumDBCopiesServer&gt;=COUNT(B$123:B163),IF(TotNumDBCopiesServer&lt;=COUNT(B$123:B163),IF(calcTotNumMBXPerSvr&gt;TotalMBXPerSvr,TotMBXPerDAG-SUM(C$123:C162),MBXPerDB),MBXPerDB)),IF(RecNumDBs&gt;=B163,IF(RecNumDBs&lt;=B163,IF(calcTotNumMBXPerSvr&gt;TotalMBXPerSvr,TotalMBXPerSvr-SUM(C$123:C162),MBXPerDB),MBXPerDB))),0)</f>
        <v>0</v>
      </c>
      <c r="D163" s="286">
        <f t="shared" si="17"/>
        <v>0</v>
      </c>
      <c r="E163" s="286">
        <f t="shared" si="18"/>
        <v>0</v>
      </c>
      <c r="F163" s="286">
        <f t="shared" si="19"/>
        <v>0</v>
      </c>
      <c r="G163" s="36"/>
      <c r="H163" s="829" t="str">
        <f t="shared" si="14"/>
        <v>--</v>
      </c>
      <c r="I163" s="801">
        <f t="shared" si="15"/>
        <v>0</v>
      </c>
      <c r="J163" s="303">
        <f t="shared" si="16"/>
        <v>0</v>
      </c>
    </row>
    <row r="164" spans="1:11" x14ac:dyDescent="0.2">
      <c r="A164" s="42"/>
      <c r="B164" s="207" t="str">
        <f>IF(AND(TotNumDBCopiesServer&gt;COUNTA(B$123:B163),ValidationCheck=FALSE),IF(HAOption="Yes","DB-x",B163+1),"--")</f>
        <v>--</v>
      </c>
      <c r="C164" s="205">
        <f>IF(B164&lt;&gt;"--",IF(HAOption="Yes",IF(TotNumDBCopiesServer&gt;=COUNT(B$123:B164),IF(TotNumDBCopiesServer&lt;=COUNT(B$123:B164),IF(calcTotNumMBXPerSvr&gt;TotalMBXPerSvr,TotMBXPerDAG-SUM(C$123:C163),MBXPerDB),MBXPerDB)),IF(RecNumDBs&gt;=B164,IF(RecNumDBs&lt;=B164,IF(calcTotNumMBXPerSvr&gt;TotalMBXPerSvr,TotalMBXPerSvr-SUM(C$123:C163),MBXPerDB),MBXPerDB))),0)</f>
        <v>0</v>
      </c>
      <c r="D164" s="286">
        <f t="shared" si="17"/>
        <v>0</v>
      </c>
      <c r="E164" s="286">
        <f t="shared" si="18"/>
        <v>0</v>
      </c>
      <c r="F164" s="286">
        <f t="shared" si="19"/>
        <v>0</v>
      </c>
      <c r="G164" s="36"/>
      <c r="H164" s="828" t="str">
        <f t="shared" si="14"/>
        <v>--</v>
      </c>
      <c r="I164" s="800">
        <f t="shared" si="15"/>
        <v>0</v>
      </c>
      <c r="J164" s="302">
        <f t="shared" si="16"/>
        <v>0</v>
      </c>
    </row>
    <row r="165" spans="1:11" x14ac:dyDescent="0.2">
      <c r="A165" s="42"/>
      <c r="B165" s="207" t="str">
        <f>IF(AND(TotNumDBCopiesServer&gt;COUNTA(B$123:B164),ValidationCheck=FALSE),IF(HAOption="Yes","DB-x",B164+1),"--")</f>
        <v>--</v>
      </c>
      <c r="C165" s="205">
        <f>IF(B165&lt;&gt;"--",IF(HAOption="Yes",IF(TotNumDBCopiesServer&gt;=COUNT(B$123:B165),IF(TotNumDBCopiesServer&lt;=COUNT(B$123:B165),IF(calcTotNumMBXPerSvr&gt;TotalMBXPerSvr,TotMBXPerDAG-SUM(C$123:C164),MBXPerDB),MBXPerDB)),IF(RecNumDBs&gt;=B165,IF(RecNumDBs&lt;=B165,IF(calcTotNumMBXPerSvr&gt;TotalMBXPerSvr,TotalMBXPerSvr-SUM(C$123:C164),MBXPerDB),MBXPerDB))),0)</f>
        <v>0</v>
      </c>
      <c r="D165" s="286">
        <f t="shared" si="17"/>
        <v>0</v>
      </c>
      <c r="E165" s="286">
        <f t="shared" si="18"/>
        <v>0</v>
      </c>
      <c r="F165" s="286">
        <f t="shared" si="19"/>
        <v>0</v>
      </c>
      <c r="G165" s="36"/>
      <c r="H165" s="829" t="str">
        <f t="shared" si="14"/>
        <v>--</v>
      </c>
      <c r="I165" s="801">
        <f t="shared" si="15"/>
        <v>0</v>
      </c>
      <c r="J165" s="303">
        <f t="shared" si="16"/>
        <v>0</v>
      </c>
    </row>
    <row r="166" spans="1:11" x14ac:dyDescent="0.2">
      <c r="A166" s="42"/>
      <c r="B166" s="207" t="str">
        <f>IF(AND(TotNumDBCopiesServer&gt;COUNTA(B$123:B165),ValidationCheck=FALSE),IF(HAOption="Yes","DB-x",B165+1),"--")</f>
        <v>--</v>
      </c>
      <c r="C166" s="205">
        <f>IF(B166&lt;&gt;"--",IF(HAOption="Yes",IF(TotNumDBCopiesServer&gt;=COUNT(B$123:B166),IF(TotNumDBCopiesServer&lt;=COUNT(B$123:B166),IF(calcTotNumMBXPerSvr&gt;TotalMBXPerSvr,TotMBXPerDAG-SUM(C$123:C165),MBXPerDB),MBXPerDB)),IF(RecNumDBs&gt;=B166,IF(RecNumDBs&lt;=B166,IF(calcTotNumMBXPerSvr&gt;TotalMBXPerSvr,TotalMBXPerSvr-SUM(C$123:C165),MBXPerDB),MBXPerDB))),0)</f>
        <v>0</v>
      </c>
      <c r="D166" s="286">
        <f t="shared" si="17"/>
        <v>0</v>
      </c>
      <c r="E166" s="286">
        <f t="shared" si="18"/>
        <v>0</v>
      </c>
      <c r="F166" s="286">
        <f t="shared" si="19"/>
        <v>0</v>
      </c>
      <c r="G166" s="36"/>
      <c r="H166" s="828" t="str">
        <f t="shared" si="14"/>
        <v>--</v>
      </c>
      <c r="I166" s="800">
        <f t="shared" si="15"/>
        <v>0</v>
      </c>
      <c r="J166" s="302">
        <f t="shared" si="16"/>
        <v>0</v>
      </c>
    </row>
    <row r="167" spans="1:11" x14ac:dyDescent="0.2">
      <c r="A167" s="42"/>
      <c r="B167" s="207" t="str">
        <f>IF(AND(TotNumDBCopiesServer&gt;COUNTA(B$123:B166),ValidationCheck=FALSE),IF(HAOption="Yes","DB-x",B166+1),"--")</f>
        <v>--</v>
      </c>
      <c r="C167" s="205">
        <f>IF(B167&lt;&gt;"--",IF(HAOption="Yes",IF(TotNumDBCopiesServer&gt;=COUNT(B$123:B167),IF(TotNumDBCopiesServer&lt;=COUNT(B$123:B167),IF(calcTotNumMBXPerSvr&gt;TotalMBXPerSvr,TotMBXPerDAG-SUM(C$123:C166),MBXPerDB),MBXPerDB)),IF(RecNumDBs&gt;=B167,IF(RecNumDBs&lt;=B167,IF(calcTotNumMBXPerSvr&gt;TotalMBXPerSvr,TotalMBXPerSvr-SUM(C$123:C166),MBXPerDB),MBXPerDB))),0)</f>
        <v>0</v>
      </c>
      <c r="D167" s="286">
        <f t="shared" si="17"/>
        <v>0</v>
      </c>
      <c r="E167" s="286">
        <f t="shared" si="18"/>
        <v>0</v>
      </c>
      <c r="F167" s="286">
        <f t="shared" si="19"/>
        <v>0</v>
      </c>
      <c r="G167" s="36"/>
      <c r="H167" s="829" t="str">
        <f t="shared" si="14"/>
        <v>--</v>
      </c>
      <c r="I167" s="801">
        <f t="shared" si="15"/>
        <v>0</v>
      </c>
      <c r="J167" s="303">
        <f t="shared" si="16"/>
        <v>0</v>
      </c>
    </row>
    <row r="168" spans="1:11" x14ac:dyDescent="0.2">
      <c r="A168" s="42"/>
      <c r="B168" s="207" t="str">
        <f>IF(AND(TotNumDBCopiesServer&gt;COUNTA(B$123:B167),ValidationCheck=FALSE),IF(HAOption="Yes","DB-x",B167+1),"--")</f>
        <v>--</v>
      </c>
      <c r="C168" s="205">
        <f>IF(B168&lt;&gt;"--",IF(HAOption="Yes",IF(TotNumDBCopiesServer&gt;=COUNT(B$123:B168),IF(TotNumDBCopiesServer&lt;=COUNT(B$123:B168),IF(calcTotNumMBXPerSvr&gt;TotalMBXPerSvr,TotMBXPerDAG-SUM(C$123:C167),MBXPerDB),MBXPerDB)),IF(RecNumDBs&gt;=B168,IF(RecNumDBs&lt;=B168,IF(calcTotNumMBXPerSvr&gt;TotalMBXPerSvr,TotalMBXPerSvr-SUM(C$123:C167),MBXPerDB),MBXPerDB))),0)</f>
        <v>0</v>
      </c>
      <c r="D168" s="286">
        <f t="shared" si="17"/>
        <v>0</v>
      </c>
      <c r="E168" s="286">
        <f t="shared" si="18"/>
        <v>0</v>
      </c>
      <c r="F168" s="286">
        <f t="shared" si="19"/>
        <v>0</v>
      </c>
      <c r="G168" s="36"/>
      <c r="H168" s="828" t="str">
        <f t="shared" si="14"/>
        <v>--</v>
      </c>
      <c r="I168" s="800">
        <f t="shared" si="15"/>
        <v>0</v>
      </c>
      <c r="J168" s="302">
        <f t="shared" si="16"/>
        <v>0</v>
      </c>
    </row>
    <row r="169" spans="1:11" x14ac:dyDescent="0.2">
      <c r="A169" s="42"/>
      <c r="B169" s="207" t="str">
        <f>IF(AND(TotNumDBCopiesServer&gt;COUNTA(B$123:B168),ValidationCheck=FALSE),IF(HAOption="Yes","DB-x",B168+1),"--")</f>
        <v>--</v>
      </c>
      <c r="C169" s="205">
        <f>IF(B169&lt;&gt;"--",IF(HAOption="Yes",IF(TotNumDBCopiesServer&gt;=COUNT(B$123:B169),IF(TotNumDBCopiesServer&lt;=COUNT(B$123:B169),IF(calcTotNumMBXPerSvr&gt;TotalMBXPerSvr,TotMBXPerDAG-SUM(C$123:C168),MBXPerDB),MBXPerDB)),IF(RecNumDBs&gt;=B169,IF(RecNumDBs&lt;=B169,IF(calcTotNumMBXPerSvr&gt;TotalMBXPerSvr,TotalMBXPerSvr-SUM(C$123:C168),MBXPerDB),MBXPerDB))),0)</f>
        <v>0</v>
      </c>
      <c r="D169" s="286">
        <f t="shared" si="17"/>
        <v>0</v>
      </c>
      <c r="E169" s="286">
        <f t="shared" si="18"/>
        <v>0</v>
      </c>
      <c r="F169" s="286">
        <f t="shared" si="19"/>
        <v>0</v>
      </c>
      <c r="G169" s="36"/>
      <c r="H169" s="829" t="str">
        <f t="shared" si="14"/>
        <v>--</v>
      </c>
      <c r="I169" s="801">
        <f t="shared" si="15"/>
        <v>0</v>
      </c>
      <c r="J169" s="303">
        <f t="shared" si="16"/>
        <v>0</v>
      </c>
    </row>
    <row r="170" spans="1:11" x14ac:dyDescent="0.2">
      <c r="A170" s="42"/>
      <c r="B170" s="207" t="str">
        <f>IF(AND(TotNumDBCopiesServer&gt;COUNTA(B$123:B169),ValidationCheck=FALSE),IF(HAOption="Yes","DB-x",B169+1),"--")</f>
        <v>--</v>
      </c>
      <c r="C170" s="205">
        <f>IF(B170&lt;&gt;"--",IF(HAOption="Yes",IF(TotNumDBCopiesServer&gt;=COUNT(B$123:B170),IF(TotNumDBCopiesServer&lt;=COUNT(B$123:B170),IF(calcTotNumMBXPerSvr&gt;TotalMBXPerSvr,TotMBXPerDAG-SUM(C$123:C169),MBXPerDB),MBXPerDB)),IF(RecNumDBs&gt;=B170,IF(RecNumDBs&lt;=B170,IF(calcTotNumMBXPerSvr&gt;TotalMBXPerSvr,TotalMBXPerSvr-SUM(C$123:C169),MBXPerDB),MBXPerDB))),0)</f>
        <v>0</v>
      </c>
      <c r="D170" s="286">
        <f t="shared" si="17"/>
        <v>0</v>
      </c>
      <c r="E170" s="286">
        <f t="shared" si="18"/>
        <v>0</v>
      </c>
      <c r="F170" s="286">
        <f t="shared" si="19"/>
        <v>0</v>
      </c>
      <c r="G170" s="36"/>
      <c r="H170" s="828" t="str">
        <f t="shared" si="14"/>
        <v>--</v>
      </c>
      <c r="I170" s="800">
        <f t="shared" si="15"/>
        <v>0</v>
      </c>
      <c r="J170" s="302">
        <f t="shared" si="16"/>
        <v>0</v>
      </c>
    </row>
    <row r="171" spans="1:11" x14ac:dyDescent="0.2">
      <c r="A171" s="42"/>
      <c r="B171" s="207" t="str">
        <f>IF(AND(TotNumDBCopiesServer&gt;COUNTA(B$123:B170),ValidationCheck=FALSE),IF(HAOption="Yes","DB-x",B170+1),"--")</f>
        <v>--</v>
      </c>
      <c r="C171" s="205">
        <f>IF(B171&lt;&gt;"--",IF(HAOption="Yes",IF(TotNumDBCopiesServer&gt;=COUNT(B$123:B171),IF(TotNumDBCopiesServer&lt;=COUNT(B$123:B171),IF(calcTotNumMBXPerSvr&gt;TotalMBXPerSvr,TotMBXPerDAG-SUM(C$123:C170),MBXPerDB),MBXPerDB)),IF(RecNumDBs&gt;=B171,IF(RecNumDBs&lt;=B171,IF(calcTotNumMBXPerSvr&gt;TotalMBXPerSvr,TotalMBXPerSvr-SUM(C$123:C170),MBXPerDB),MBXPerDB))),0)</f>
        <v>0</v>
      </c>
      <c r="D171" s="286">
        <f t="shared" si="17"/>
        <v>0</v>
      </c>
      <c r="E171" s="286">
        <f t="shared" si="18"/>
        <v>0</v>
      </c>
      <c r="F171" s="286">
        <f t="shared" si="19"/>
        <v>0</v>
      </c>
      <c r="G171" s="36"/>
      <c r="H171" s="829" t="str">
        <f t="shared" si="14"/>
        <v>--</v>
      </c>
      <c r="I171" s="801">
        <f t="shared" si="15"/>
        <v>0</v>
      </c>
      <c r="J171" s="303">
        <f t="shared" si="16"/>
        <v>0</v>
      </c>
    </row>
    <row r="172" spans="1:11" x14ac:dyDescent="0.2">
      <c r="A172" s="42"/>
      <c r="B172" s="207" t="str">
        <f>IF(AND(TotNumDBCopiesServer&gt;COUNTA(B$123:B171),ValidationCheck=FALSE),IF(HAOption="Yes","DB-x",B171+1),"--")</f>
        <v>--</v>
      </c>
      <c r="C172" s="205">
        <f>IF(B172&lt;&gt;"--",IF(HAOption="Yes",IF(TotNumDBCopiesServer&gt;=COUNT(B$123:B172),IF(TotNumDBCopiesServer&lt;=COUNT(B$123:B172),IF(calcTotNumMBXPerSvr&gt;TotalMBXPerSvr,TotMBXPerDAG-SUM(C$123:C171),MBXPerDB),MBXPerDB)),IF(RecNumDBs&gt;=B172,IF(RecNumDBs&lt;=B172,IF(calcTotNumMBXPerSvr&gt;TotalMBXPerSvr,TotalMBXPerSvr-SUM(C$123:C171),MBXPerDB),MBXPerDB))),0)</f>
        <v>0</v>
      </c>
      <c r="D172" s="286">
        <f t="shared" si="17"/>
        <v>0</v>
      </c>
      <c r="E172" s="286">
        <f t="shared" si="18"/>
        <v>0</v>
      </c>
      <c r="F172" s="286">
        <f t="shared" si="19"/>
        <v>0</v>
      </c>
      <c r="G172" s="36"/>
      <c r="H172" s="828" t="str">
        <f t="shared" si="14"/>
        <v>--</v>
      </c>
      <c r="I172" s="800">
        <f t="shared" si="15"/>
        <v>0</v>
      </c>
      <c r="J172" s="302">
        <f t="shared" si="16"/>
        <v>0</v>
      </c>
    </row>
    <row r="173" spans="1:11" x14ac:dyDescent="0.2">
      <c r="A173" s="42"/>
      <c r="B173" s="207" t="str">
        <f>IF(AND(TotNumDBCopiesServer&gt;COUNTA(B$123:B172),ValidationCheck=FALSE),IF(HAOption="Yes","DB-x",B172+1),"--")</f>
        <v>--</v>
      </c>
      <c r="C173" s="205">
        <f>IF(B173&lt;&gt;"--",IF(HAOption="Yes",IF(TotNumDBCopiesServer&gt;=COUNT(B$123:B173),IF(TotNumDBCopiesServer&lt;=COUNT(B$123:B173),IF(calcTotNumMBXPerSvr&gt;TotalMBXPerSvr,TotMBXPerDAG-SUM(C$123:C172),MBXPerDB),MBXPerDB)),IF(RecNumDBs&gt;=B173,IF(RecNumDBs&lt;=B173,IF(calcTotNumMBXPerSvr&gt;TotalMBXPerSvr,TotalMBXPerSvr-SUM(C$123:C172),MBXPerDB),MBXPerDB))),0)</f>
        <v>0</v>
      </c>
      <c r="D173" s="286">
        <f t="shared" si="17"/>
        <v>0</v>
      </c>
      <c r="E173" s="286">
        <f t="shared" si="18"/>
        <v>0</v>
      </c>
      <c r="F173" s="286">
        <f t="shared" si="19"/>
        <v>0</v>
      </c>
      <c r="G173" s="34"/>
      <c r="H173" s="829" t="str">
        <f t="shared" si="14"/>
        <v>--</v>
      </c>
      <c r="I173" s="801">
        <f t="shared" ref="I173:I204" si="20">IF(H173="--",0,(SUMIF(C$6:C$105,D56,E$123:E$222)+IF(RestoreVol="Yes",0,(SUMIF(C$6:C$105,D56,E$123:E$222)*1.1))+IF(ContentIndexing="Enabled",(SUMIF(C$6:C$105,D56,E$123:E$222)+DBSizeOverhead)*CIFactor)+IF(OR(VolArchitecture="1 Volume / DB",VolArchitecture="Multiple DBs / Volume"),SUMIF(C$6:C$105,D56,F$123:F$222),0))/(1-VolGrowth))</f>
        <v>0</v>
      </c>
      <c r="J173" s="303">
        <f t="shared" si="16"/>
        <v>0</v>
      </c>
    </row>
    <row r="174" spans="1:11" x14ac:dyDescent="0.2">
      <c r="A174" s="42"/>
      <c r="B174" s="207" t="str">
        <f>IF(AND(TotNumDBCopiesServer&gt;COUNTA(B$123:B173),ValidationCheck=FALSE),IF(HAOption="Yes","DB-x",B173+1),"--")</f>
        <v>--</v>
      </c>
      <c r="C174" s="205">
        <f>IF(B174&lt;&gt;"--",IF(HAOption="Yes",IF(TotNumDBCopiesServer&gt;=COUNT(B$123:B174),IF(TotNumDBCopiesServer&lt;=COUNT(B$123:B174),IF(calcTotNumMBXPerSvr&gt;TotalMBXPerSvr,TotMBXPerDAG-SUM(C$123:C173),MBXPerDB),MBXPerDB)),IF(RecNumDBs&gt;=B174,IF(RecNumDBs&lt;=B174,IF(calcTotNumMBXPerSvr&gt;TotalMBXPerSvr,TotalMBXPerSvr-SUM(C$123:C173),MBXPerDB),MBXPerDB))),0)</f>
        <v>0</v>
      </c>
      <c r="D174" s="286">
        <f t="shared" si="17"/>
        <v>0</v>
      </c>
      <c r="E174" s="286">
        <f t="shared" si="18"/>
        <v>0</v>
      </c>
      <c r="F174" s="286">
        <f t="shared" si="19"/>
        <v>0</v>
      </c>
      <c r="G174" s="209"/>
      <c r="H174" s="828" t="str">
        <f t="shared" si="14"/>
        <v>--</v>
      </c>
      <c r="I174" s="800">
        <f t="shared" si="20"/>
        <v>0</v>
      </c>
      <c r="J174" s="302">
        <f t="shared" si="16"/>
        <v>0</v>
      </c>
      <c r="K174" s="53"/>
    </row>
    <row r="175" spans="1:11" x14ac:dyDescent="0.2">
      <c r="A175" s="42"/>
      <c r="B175" s="207" t="str">
        <f>IF(AND(TotNumDBCopiesServer&gt;COUNTA(B$123:B174),ValidationCheck=FALSE),IF(HAOption="Yes","DB-x",B174+1),"--")</f>
        <v>--</v>
      </c>
      <c r="C175" s="205">
        <f>IF(B175&lt;&gt;"--",IF(HAOption="Yes",IF(TotNumDBCopiesServer&gt;=COUNT(B$123:B175),IF(TotNumDBCopiesServer&lt;=COUNT(B$123:B175),IF(calcTotNumMBXPerSvr&gt;TotalMBXPerSvr,TotMBXPerDAG-SUM(C$123:C174),MBXPerDB),MBXPerDB)),IF(RecNumDBs&gt;=B175,IF(RecNumDBs&lt;=B175,IF(calcTotNumMBXPerSvr&gt;TotalMBXPerSvr,TotalMBXPerSvr-SUM(C$123:C174),MBXPerDB),MBXPerDB))),0)</f>
        <v>0</v>
      </c>
      <c r="D175" s="286">
        <f t="shared" si="17"/>
        <v>0</v>
      </c>
      <c r="E175" s="286">
        <f t="shared" si="18"/>
        <v>0</v>
      </c>
      <c r="F175" s="286">
        <f t="shared" si="19"/>
        <v>0</v>
      </c>
      <c r="G175" s="209"/>
      <c r="H175" s="829" t="str">
        <f t="shared" si="14"/>
        <v>--</v>
      </c>
      <c r="I175" s="801">
        <f t="shared" si="20"/>
        <v>0</v>
      </c>
      <c r="J175" s="303">
        <f t="shared" si="16"/>
        <v>0</v>
      </c>
      <c r="K175" s="53"/>
    </row>
    <row r="176" spans="1:11" x14ac:dyDescent="0.2">
      <c r="A176" s="42"/>
      <c r="B176" s="207" t="str">
        <f>IF(AND(TotNumDBCopiesServer&gt;COUNTA(B$123:B175),ValidationCheck=FALSE),IF(HAOption="Yes","DB-x",B175+1),"--")</f>
        <v>--</v>
      </c>
      <c r="C176" s="205">
        <f>IF(B176&lt;&gt;"--",IF(HAOption="Yes",IF(TotNumDBCopiesServer&gt;=COUNT(B$123:B176),IF(TotNumDBCopiesServer&lt;=COUNT(B$123:B176),IF(calcTotNumMBXPerSvr&gt;TotalMBXPerSvr,TotMBXPerDAG-SUM(C$123:C175),MBXPerDB),MBXPerDB)),IF(RecNumDBs&gt;=B176,IF(RecNumDBs&lt;=B176,IF(calcTotNumMBXPerSvr&gt;TotalMBXPerSvr,TotalMBXPerSvr-SUM(C$123:C175),MBXPerDB),MBXPerDB))),0)</f>
        <v>0</v>
      </c>
      <c r="D176" s="286">
        <f t="shared" si="17"/>
        <v>0</v>
      </c>
      <c r="E176" s="286">
        <f t="shared" si="18"/>
        <v>0</v>
      </c>
      <c r="F176" s="286">
        <f t="shared" si="19"/>
        <v>0</v>
      </c>
      <c r="G176" s="209"/>
      <c r="H176" s="828" t="str">
        <f t="shared" si="14"/>
        <v>--</v>
      </c>
      <c r="I176" s="800">
        <f t="shared" si="20"/>
        <v>0</v>
      </c>
      <c r="J176" s="302">
        <f t="shared" si="16"/>
        <v>0</v>
      </c>
      <c r="K176" s="53"/>
    </row>
    <row r="177" spans="1:11" x14ac:dyDescent="0.2">
      <c r="A177" s="42"/>
      <c r="B177" s="207" t="str">
        <f>IF(AND(TotNumDBCopiesServer&gt;COUNTA(B$123:B176),ValidationCheck=FALSE),IF(HAOption="Yes","DB-x",B176+1),"--")</f>
        <v>--</v>
      </c>
      <c r="C177" s="205">
        <f>IF(B177&lt;&gt;"--",IF(HAOption="Yes",IF(TotNumDBCopiesServer&gt;=COUNT(B$123:B177),IF(TotNumDBCopiesServer&lt;=COUNT(B$123:B177),IF(calcTotNumMBXPerSvr&gt;TotalMBXPerSvr,TotMBXPerDAG-SUM(C$123:C176),MBXPerDB),MBXPerDB)),IF(RecNumDBs&gt;=B177,IF(RecNumDBs&lt;=B177,IF(calcTotNumMBXPerSvr&gt;TotalMBXPerSvr,TotalMBXPerSvr-SUM(C$123:C176),MBXPerDB),MBXPerDB))),0)</f>
        <v>0</v>
      </c>
      <c r="D177" s="286">
        <f t="shared" si="17"/>
        <v>0</v>
      </c>
      <c r="E177" s="286">
        <f t="shared" si="18"/>
        <v>0</v>
      </c>
      <c r="F177" s="286">
        <f t="shared" si="19"/>
        <v>0</v>
      </c>
      <c r="G177" s="209"/>
      <c r="H177" s="829" t="str">
        <f t="shared" si="14"/>
        <v>--</v>
      </c>
      <c r="I177" s="801">
        <f t="shared" si="20"/>
        <v>0</v>
      </c>
      <c r="J177" s="303">
        <f t="shared" si="16"/>
        <v>0</v>
      </c>
      <c r="K177" s="53"/>
    </row>
    <row r="178" spans="1:11" x14ac:dyDescent="0.2">
      <c r="A178" s="42"/>
      <c r="B178" s="207" t="str">
        <f>IF(AND(TotNumDBCopiesServer&gt;COUNTA(B$123:B177),ValidationCheck=FALSE),IF(HAOption="Yes","DB-x",B177+1),"--")</f>
        <v>--</v>
      </c>
      <c r="C178" s="205">
        <f>IF(B178&lt;&gt;"--",IF(HAOption="Yes",IF(TotNumDBCopiesServer&gt;=COUNT(B$123:B178),IF(TotNumDBCopiesServer&lt;=COUNT(B$123:B178),IF(calcTotNumMBXPerSvr&gt;TotalMBXPerSvr,TotMBXPerDAG-SUM(C$123:C177),MBXPerDB),MBXPerDB)),IF(RecNumDBs&gt;=B178,IF(RecNumDBs&lt;=B178,IF(calcTotNumMBXPerSvr&gt;TotalMBXPerSvr,TotalMBXPerSvr-SUM(C$123:C177),MBXPerDB),MBXPerDB))),0)</f>
        <v>0</v>
      </c>
      <c r="D178" s="286">
        <f t="shared" si="17"/>
        <v>0</v>
      </c>
      <c r="E178" s="286">
        <f t="shared" si="18"/>
        <v>0</v>
      </c>
      <c r="F178" s="286">
        <f t="shared" si="19"/>
        <v>0</v>
      </c>
      <c r="G178" s="209"/>
      <c r="H178" s="828" t="str">
        <f t="shared" si="14"/>
        <v>--</v>
      </c>
      <c r="I178" s="800">
        <f t="shared" si="20"/>
        <v>0</v>
      </c>
      <c r="J178" s="302">
        <f t="shared" si="16"/>
        <v>0</v>
      </c>
      <c r="K178" s="53"/>
    </row>
    <row r="179" spans="1:11" x14ac:dyDescent="0.2">
      <c r="A179" s="42"/>
      <c r="B179" s="207" t="str">
        <f>IF(AND(TotNumDBCopiesServer&gt;COUNTA(B$123:B178),ValidationCheck=FALSE),IF(HAOption="Yes","DB-x",B178+1),"--")</f>
        <v>--</v>
      </c>
      <c r="C179" s="205">
        <f>IF(B179&lt;&gt;"--",IF(HAOption="Yes",IF(TotNumDBCopiesServer&gt;=COUNT(B$123:B179),IF(TotNumDBCopiesServer&lt;=COUNT(B$123:B179),IF(calcTotNumMBXPerSvr&gt;TotalMBXPerSvr,TotMBXPerDAG-SUM(C$123:C178),MBXPerDB),MBXPerDB)),IF(RecNumDBs&gt;=B179,IF(RecNumDBs&lt;=B179,IF(calcTotNumMBXPerSvr&gt;TotalMBXPerSvr,TotalMBXPerSvr-SUM(C$123:C178),MBXPerDB),MBXPerDB))),0)</f>
        <v>0</v>
      </c>
      <c r="D179" s="286">
        <f t="shared" si="17"/>
        <v>0</v>
      </c>
      <c r="E179" s="286">
        <f t="shared" si="18"/>
        <v>0</v>
      </c>
      <c r="F179" s="286">
        <f t="shared" si="19"/>
        <v>0</v>
      </c>
      <c r="G179" s="209"/>
      <c r="H179" s="829" t="str">
        <f t="shared" si="14"/>
        <v>--</v>
      </c>
      <c r="I179" s="801">
        <f t="shared" si="20"/>
        <v>0</v>
      </c>
      <c r="J179" s="303">
        <f t="shared" si="16"/>
        <v>0</v>
      </c>
      <c r="K179" s="53"/>
    </row>
    <row r="180" spans="1:11" x14ac:dyDescent="0.2">
      <c r="A180" s="42"/>
      <c r="B180" s="207" t="str">
        <f>IF(AND(TotNumDBCopiesServer&gt;COUNTA(B$123:B179),ValidationCheck=FALSE),IF(HAOption="Yes","DB-x",B179+1),"--")</f>
        <v>--</v>
      </c>
      <c r="C180" s="205">
        <f>IF(B180&lt;&gt;"--",IF(HAOption="Yes",IF(TotNumDBCopiesServer&gt;=COUNT(B$123:B180),IF(TotNumDBCopiesServer&lt;=COUNT(B$123:B180),IF(calcTotNumMBXPerSvr&gt;TotalMBXPerSvr,TotMBXPerDAG-SUM(C$123:C179),MBXPerDB),MBXPerDB)),IF(RecNumDBs&gt;=B180,IF(RecNumDBs&lt;=B180,IF(calcTotNumMBXPerSvr&gt;TotalMBXPerSvr,TotalMBXPerSvr-SUM(C$123:C179),MBXPerDB),MBXPerDB))),0)</f>
        <v>0</v>
      </c>
      <c r="D180" s="286">
        <f t="shared" si="17"/>
        <v>0</v>
      </c>
      <c r="E180" s="286">
        <f t="shared" si="18"/>
        <v>0</v>
      </c>
      <c r="F180" s="286">
        <f t="shared" si="19"/>
        <v>0</v>
      </c>
      <c r="G180" s="209"/>
      <c r="H180" s="828" t="str">
        <f t="shared" si="14"/>
        <v>--</v>
      </c>
      <c r="I180" s="800">
        <f t="shared" si="20"/>
        <v>0</v>
      </c>
      <c r="J180" s="302">
        <f t="shared" si="16"/>
        <v>0</v>
      </c>
      <c r="K180" s="53"/>
    </row>
    <row r="181" spans="1:11" x14ac:dyDescent="0.2">
      <c r="A181" s="42"/>
      <c r="B181" s="207" t="str">
        <f>IF(AND(TotNumDBCopiesServer&gt;COUNTA(B$123:B180),ValidationCheck=FALSE),IF(HAOption="Yes","DB-x",B180+1),"--")</f>
        <v>--</v>
      </c>
      <c r="C181" s="205">
        <f>IF(B181&lt;&gt;"--",IF(HAOption="Yes",IF(TotNumDBCopiesServer&gt;=COUNT(B$123:B181),IF(TotNumDBCopiesServer&lt;=COUNT(B$123:B181),IF(calcTotNumMBXPerSvr&gt;TotalMBXPerSvr,TotMBXPerDAG-SUM(C$123:C180),MBXPerDB),MBXPerDB)),IF(RecNumDBs&gt;=B181,IF(RecNumDBs&lt;=B181,IF(calcTotNumMBXPerSvr&gt;TotalMBXPerSvr,TotalMBXPerSvr-SUM(C$123:C180),MBXPerDB),MBXPerDB))),0)</f>
        <v>0</v>
      </c>
      <c r="D181" s="286">
        <f t="shared" si="17"/>
        <v>0</v>
      </c>
      <c r="E181" s="286">
        <f t="shared" si="18"/>
        <v>0</v>
      </c>
      <c r="F181" s="286">
        <f t="shared" si="19"/>
        <v>0</v>
      </c>
      <c r="G181" s="209"/>
      <c r="H181" s="829" t="str">
        <f t="shared" si="14"/>
        <v>--</v>
      </c>
      <c r="I181" s="801">
        <f t="shared" si="20"/>
        <v>0</v>
      </c>
      <c r="J181" s="303">
        <f t="shared" si="16"/>
        <v>0</v>
      </c>
      <c r="K181" s="53"/>
    </row>
    <row r="182" spans="1:11" x14ac:dyDescent="0.2">
      <c r="A182" s="42"/>
      <c r="B182" s="207" t="str">
        <f>IF(AND(TotNumDBCopiesServer&gt;COUNTA(B$123:B181),ValidationCheck=FALSE),IF(HAOption="Yes","DB-x",B181+1),"--")</f>
        <v>--</v>
      </c>
      <c r="C182" s="205">
        <f>IF(B182&lt;&gt;"--",IF(HAOption="Yes",IF(TotNumDBCopiesServer&gt;=COUNT(B$123:B182),IF(TotNumDBCopiesServer&lt;=COUNT(B$123:B182),IF(calcTotNumMBXPerSvr&gt;TotalMBXPerSvr,TotMBXPerDAG-SUM(C$123:C181),MBXPerDB),MBXPerDB)),IF(RecNumDBs&gt;=B182,IF(RecNumDBs&lt;=B182,IF(calcTotNumMBXPerSvr&gt;TotalMBXPerSvr,TotalMBXPerSvr-SUM(C$123:C181),MBXPerDB),MBXPerDB))),0)</f>
        <v>0</v>
      </c>
      <c r="D182" s="286">
        <f t="shared" si="17"/>
        <v>0</v>
      </c>
      <c r="E182" s="286">
        <f t="shared" si="18"/>
        <v>0</v>
      </c>
      <c r="F182" s="286">
        <f t="shared" si="19"/>
        <v>0</v>
      </c>
      <c r="G182" s="209"/>
      <c r="H182" s="828" t="str">
        <f t="shared" si="14"/>
        <v>--</v>
      </c>
      <c r="I182" s="800">
        <f t="shared" si="20"/>
        <v>0</v>
      </c>
      <c r="J182" s="302">
        <f t="shared" si="16"/>
        <v>0</v>
      </c>
      <c r="K182" s="53"/>
    </row>
    <row r="183" spans="1:11" x14ac:dyDescent="0.2">
      <c r="A183" s="42"/>
      <c r="B183" s="207" t="str">
        <f>IF(AND(TotNumDBCopiesServer&gt;COUNTA(B$123:B182),ValidationCheck=FALSE),IF(HAOption="Yes","DB-x",B182+1),"--")</f>
        <v>--</v>
      </c>
      <c r="C183" s="205">
        <f>IF(B183&lt;&gt;"--",IF(HAOption="Yes",IF(TotNumDBCopiesServer&gt;=COUNT(B$123:B183),IF(TotNumDBCopiesServer&lt;=COUNT(B$123:B183),IF(calcTotNumMBXPerSvr&gt;TotalMBXPerSvr,TotMBXPerDAG-SUM(C$123:C182),MBXPerDB),MBXPerDB)),IF(RecNumDBs&gt;=B183,IF(RecNumDBs&lt;=B183,IF(calcTotNumMBXPerSvr&gt;TotalMBXPerSvr,TotalMBXPerSvr-SUM(C$123:C182),MBXPerDB),MBXPerDB))),0)</f>
        <v>0</v>
      </c>
      <c r="D183" s="286">
        <f t="shared" si="17"/>
        <v>0</v>
      </c>
      <c r="E183" s="286">
        <f t="shared" si="18"/>
        <v>0</v>
      </c>
      <c r="F183" s="286">
        <f t="shared" si="19"/>
        <v>0</v>
      </c>
      <c r="G183" s="209"/>
      <c r="H183" s="829" t="str">
        <f t="shared" si="14"/>
        <v>--</v>
      </c>
      <c r="I183" s="801">
        <f t="shared" si="20"/>
        <v>0</v>
      </c>
      <c r="J183" s="303">
        <f t="shared" si="16"/>
        <v>0</v>
      </c>
      <c r="K183" s="53"/>
    </row>
    <row r="184" spans="1:11" x14ac:dyDescent="0.2">
      <c r="A184" s="42"/>
      <c r="B184" s="207" t="str">
        <f>IF(AND(TotNumDBCopiesServer&gt;COUNTA(B$123:B183),ValidationCheck=FALSE),IF(HAOption="Yes","DB-x",B183+1),"--")</f>
        <v>--</v>
      </c>
      <c r="C184" s="205">
        <f>IF(B184&lt;&gt;"--",IF(HAOption="Yes",IF(TotNumDBCopiesServer&gt;=COUNT(B$123:B184),IF(TotNumDBCopiesServer&lt;=COUNT(B$123:B184),IF(calcTotNumMBXPerSvr&gt;TotalMBXPerSvr,TotMBXPerDAG-SUM(C$123:C183),MBXPerDB),MBXPerDB)),IF(RecNumDBs&gt;=B184,IF(RecNumDBs&lt;=B184,IF(calcTotNumMBXPerSvr&gt;TotalMBXPerSvr,TotalMBXPerSvr-SUM(C$123:C183),MBXPerDB),MBXPerDB))),0)</f>
        <v>0</v>
      </c>
      <c r="D184" s="286">
        <f t="shared" si="17"/>
        <v>0</v>
      </c>
      <c r="E184" s="286">
        <f t="shared" si="18"/>
        <v>0</v>
      </c>
      <c r="F184" s="286">
        <f t="shared" si="19"/>
        <v>0</v>
      </c>
      <c r="G184" s="209"/>
      <c r="H184" s="828" t="str">
        <f t="shared" si="14"/>
        <v>--</v>
      </c>
      <c r="I184" s="800">
        <f t="shared" si="20"/>
        <v>0</v>
      </c>
      <c r="J184" s="302">
        <f t="shared" si="16"/>
        <v>0</v>
      </c>
      <c r="K184" s="53"/>
    </row>
    <row r="185" spans="1:11" x14ac:dyDescent="0.2">
      <c r="A185" s="42"/>
      <c r="B185" s="207" t="str">
        <f>IF(AND(TotNumDBCopiesServer&gt;COUNTA(B$123:B184),ValidationCheck=FALSE),IF(HAOption="Yes","DB-x",B184+1),"--")</f>
        <v>--</v>
      </c>
      <c r="C185" s="205">
        <f>IF(B185&lt;&gt;"--",IF(HAOption="Yes",IF(TotNumDBCopiesServer&gt;=COUNT(B$123:B185),IF(TotNumDBCopiesServer&lt;=COUNT(B$123:B185),IF(calcTotNumMBXPerSvr&gt;TotalMBXPerSvr,TotMBXPerDAG-SUM(C$123:C184),MBXPerDB),MBXPerDB)),IF(RecNumDBs&gt;=B185,IF(RecNumDBs&lt;=B185,IF(calcTotNumMBXPerSvr&gt;TotalMBXPerSvr,TotalMBXPerSvr-SUM(C$123:C184),MBXPerDB),MBXPerDB))),0)</f>
        <v>0</v>
      </c>
      <c r="D185" s="286">
        <f t="shared" si="17"/>
        <v>0</v>
      </c>
      <c r="E185" s="286">
        <f t="shared" si="18"/>
        <v>0</v>
      </c>
      <c r="F185" s="286">
        <f t="shared" si="19"/>
        <v>0</v>
      </c>
      <c r="G185" s="209"/>
      <c r="H185" s="829" t="str">
        <f t="shared" si="14"/>
        <v>--</v>
      </c>
      <c r="I185" s="801">
        <f t="shared" si="20"/>
        <v>0</v>
      </c>
      <c r="J185" s="303">
        <f t="shared" si="16"/>
        <v>0</v>
      </c>
      <c r="K185" s="53"/>
    </row>
    <row r="186" spans="1:11" x14ac:dyDescent="0.2">
      <c r="A186" s="42"/>
      <c r="B186" s="207" t="str">
        <f>IF(AND(TotNumDBCopiesServer&gt;COUNTA(B$123:B185),ValidationCheck=FALSE),IF(HAOption="Yes","DB-x",B185+1),"--")</f>
        <v>--</v>
      </c>
      <c r="C186" s="205">
        <f>IF(B186&lt;&gt;"--",IF(HAOption="Yes",IF(TotNumDBCopiesServer&gt;=COUNT(B$123:B186),IF(TotNumDBCopiesServer&lt;=COUNT(B$123:B186),IF(calcTotNumMBXPerSvr&gt;TotalMBXPerSvr,TotMBXPerDAG-SUM(C$123:C185),MBXPerDB),MBXPerDB)),IF(RecNumDBs&gt;=B186,IF(RecNumDBs&lt;=B186,IF(calcTotNumMBXPerSvr&gt;TotalMBXPerSvr,TotalMBXPerSvr-SUM(C$123:C185),MBXPerDB),MBXPerDB))),0)</f>
        <v>0</v>
      </c>
      <c r="D186" s="286">
        <f t="shared" si="17"/>
        <v>0</v>
      </c>
      <c r="E186" s="286">
        <f t="shared" si="18"/>
        <v>0</v>
      </c>
      <c r="F186" s="286">
        <f t="shared" si="19"/>
        <v>0</v>
      </c>
      <c r="G186" s="209"/>
      <c r="H186" s="828" t="str">
        <f t="shared" si="14"/>
        <v>--</v>
      </c>
      <c r="I186" s="800">
        <f t="shared" si="20"/>
        <v>0</v>
      </c>
      <c r="J186" s="302">
        <f t="shared" si="16"/>
        <v>0</v>
      </c>
      <c r="K186" s="53"/>
    </row>
    <row r="187" spans="1:11" x14ac:dyDescent="0.2">
      <c r="A187" s="42"/>
      <c r="B187" s="207" t="str">
        <f>IF(AND(TotNumDBCopiesServer&gt;COUNTA(B$123:B186),ValidationCheck=FALSE),IF(HAOption="Yes","DB-x",B186+1),"--")</f>
        <v>--</v>
      </c>
      <c r="C187" s="205">
        <f>IF(B187&lt;&gt;"--",IF(HAOption="Yes",IF(TotNumDBCopiesServer&gt;=COUNT(B$123:B187),IF(TotNumDBCopiesServer&lt;=COUNT(B$123:B187),IF(calcTotNumMBXPerSvr&gt;TotalMBXPerSvr,TotMBXPerDAG-SUM(C$123:C186),MBXPerDB),MBXPerDB)),IF(RecNumDBs&gt;=B187,IF(RecNumDBs&lt;=B187,IF(calcTotNumMBXPerSvr&gt;TotalMBXPerSvr,TotalMBXPerSvr-SUM(C$123:C186),MBXPerDB),MBXPerDB))),0)</f>
        <v>0</v>
      </c>
      <c r="D187" s="286">
        <f t="shared" si="17"/>
        <v>0</v>
      </c>
      <c r="E187" s="286">
        <f t="shared" si="18"/>
        <v>0</v>
      </c>
      <c r="F187" s="286">
        <f t="shared" si="19"/>
        <v>0</v>
      </c>
      <c r="G187" s="209"/>
      <c r="H187" s="829" t="str">
        <f t="shared" si="14"/>
        <v>--</v>
      </c>
      <c r="I187" s="801">
        <f t="shared" si="20"/>
        <v>0</v>
      </c>
      <c r="J187" s="303">
        <f t="shared" ref="J187:J218" si="21">IF(OR(VolArchitecture="Multiple DBs / Volume",VolArchitecture="1 Volume / DB"),0,IF(H187="--",0,SUMIF(C$6:C$105,D70,F$123:F$222)/(1-VolGrowth)))</f>
        <v>0</v>
      </c>
      <c r="K187" s="53"/>
    </row>
    <row r="188" spans="1:11" x14ac:dyDescent="0.2">
      <c r="A188" s="42"/>
      <c r="B188" s="207" t="str">
        <f>IF(AND(TotNumDBCopiesServer&gt;COUNTA(B$123:B187),ValidationCheck=FALSE),IF(HAOption="Yes","DB-x",B187+1),"--")</f>
        <v>--</v>
      </c>
      <c r="C188" s="205">
        <f>IF(B188&lt;&gt;"--",IF(HAOption="Yes",IF(TotNumDBCopiesServer&gt;=COUNT(B$123:B188),IF(TotNumDBCopiesServer&lt;=COUNT(B$123:B188),IF(calcTotNumMBXPerSvr&gt;TotalMBXPerSvr,TotMBXPerDAG-SUM(C$123:C187),MBXPerDB),MBXPerDB)),IF(RecNumDBs&gt;=B188,IF(RecNumDBs&lt;=B188,IF(calcTotNumMBXPerSvr&gt;TotalMBXPerSvr,TotalMBXPerSvr-SUM(C$123:C187),MBXPerDB),MBXPerDB))),0)</f>
        <v>0</v>
      </c>
      <c r="D188" s="286">
        <f t="shared" ref="D188:D219" si="22">IF(C188=0,0,(C188*((Tier1MBXRatio*Tier1MBXSize)+(Tier3MBXRatio*Tier3MBXSize)+(Tier2MBXRatio*Tier2MBXSize)+(Tier4MBXRatio*Tier4MBXSize)))/1024)</f>
        <v>0</v>
      </c>
      <c r="E188" s="286">
        <f t="shared" ref="E188:E219" si="23">IF(B188&lt;&gt;"--",D188*(1+DataGrowth),0)</f>
        <v>0</v>
      </c>
      <c r="F188" s="286">
        <f t="shared" ref="F188:F222" si="24">IF(B188="--",0,TotLogDiskSpace/RecNumDBs)</f>
        <v>0</v>
      </c>
      <c r="G188" s="209"/>
      <c r="H188" s="828" t="str">
        <f t="shared" si="14"/>
        <v>--</v>
      </c>
      <c r="I188" s="800">
        <f t="shared" si="20"/>
        <v>0</v>
      </c>
      <c r="J188" s="302">
        <f t="shared" si="21"/>
        <v>0</v>
      </c>
      <c r="K188" s="53"/>
    </row>
    <row r="189" spans="1:11" x14ac:dyDescent="0.2">
      <c r="A189" s="42"/>
      <c r="B189" s="207" t="str">
        <f>IF(AND(TotNumDBCopiesServer&gt;COUNTA(B$123:B188),ValidationCheck=FALSE),IF(HAOption="Yes","DB-x",B188+1),"--")</f>
        <v>--</v>
      </c>
      <c r="C189" s="205">
        <f>IF(B189&lt;&gt;"--",IF(HAOption="Yes",IF(TotNumDBCopiesServer&gt;=COUNT(B$123:B189),IF(TotNumDBCopiesServer&lt;=COUNT(B$123:B189),IF(calcTotNumMBXPerSvr&gt;TotalMBXPerSvr,TotMBXPerDAG-SUM(C$123:C188),MBXPerDB),MBXPerDB)),IF(RecNumDBs&gt;=B189,IF(RecNumDBs&lt;=B189,IF(calcTotNumMBXPerSvr&gt;TotalMBXPerSvr,TotalMBXPerSvr-SUM(C$123:C188),MBXPerDB),MBXPerDB))),0)</f>
        <v>0</v>
      </c>
      <c r="D189" s="286">
        <f t="shared" si="22"/>
        <v>0</v>
      </c>
      <c r="E189" s="286">
        <f t="shared" si="23"/>
        <v>0</v>
      </c>
      <c r="F189" s="286">
        <f t="shared" si="24"/>
        <v>0</v>
      </c>
      <c r="G189" s="209"/>
      <c r="H189" s="829" t="str">
        <f t="shared" si="14"/>
        <v>--</v>
      </c>
      <c r="I189" s="801">
        <f t="shared" si="20"/>
        <v>0</v>
      </c>
      <c r="J189" s="303">
        <f t="shared" si="21"/>
        <v>0</v>
      </c>
      <c r="K189" s="53"/>
    </row>
    <row r="190" spans="1:11" x14ac:dyDescent="0.2">
      <c r="A190" s="42"/>
      <c r="B190" s="207" t="str">
        <f>IF(AND(TotNumDBCopiesServer&gt;COUNTA(B$123:B189),ValidationCheck=FALSE),IF(HAOption="Yes","DB-x",B189+1),"--")</f>
        <v>--</v>
      </c>
      <c r="C190" s="205">
        <f>IF(B190&lt;&gt;"--",IF(HAOption="Yes",IF(TotNumDBCopiesServer&gt;=COUNT(B$123:B190),IF(TotNumDBCopiesServer&lt;=COUNT(B$123:B190),IF(calcTotNumMBXPerSvr&gt;TotalMBXPerSvr,TotMBXPerDAG-SUM(C$123:C189),MBXPerDB),MBXPerDB)),IF(RecNumDBs&gt;=B190,IF(RecNumDBs&lt;=B190,IF(calcTotNumMBXPerSvr&gt;TotalMBXPerSvr,TotalMBXPerSvr-SUM(C$123:C189),MBXPerDB),MBXPerDB))),0)</f>
        <v>0</v>
      </c>
      <c r="D190" s="286">
        <f t="shared" si="22"/>
        <v>0</v>
      </c>
      <c r="E190" s="286">
        <f t="shared" si="23"/>
        <v>0</v>
      </c>
      <c r="F190" s="286">
        <f t="shared" si="24"/>
        <v>0</v>
      </c>
      <c r="G190" s="209"/>
      <c r="H190" s="828" t="str">
        <f t="shared" si="14"/>
        <v>--</v>
      </c>
      <c r="I190" s="800">
        <f t="shared" si="20"/>
        <v>0</v>
      </c>
      <c r="J190" s="302">
        <f t="shared" si="21"/>
        <v>0</v>
      </c>
      <c r="K190" s="53"/>
    </row>
    <row r="191" spans="1:11" x14ac:dyDescent="0.2">
      <c r="A191" s="42"/>
      <c r="B191" s="207" t="str">
        <f>IF(AND(TotNumDBCopiesServer&gt;COUNTA(B$123:B190),ValidationCheck=FALSE),IF(HAOption="Yes","DB-x",B190+1),"--")</f>
        <v>--</v>
      </c>
      <c r="C191" s="205">
        <f>IF(B191&lt;&gt;"--",IF(HAOption="Yes",IF(TotNumDBCopiesServer&gt;=COUNT(B$123:B191),IF(TotNumDBCopiesServer&lt;=COUNT(B$123:B191),IF(calcTotNumMBXPerSvr&gt;TotalMBXPerSvr,TotMBXPerDAG-SUM(C$123:C190),MBXPerDB),MBXPerDB)),IF(RecNumDBs&gt;=B191,IF(RecNumDBs&lt;=B191,IF(calcTotNumMBXPerSvr&gt;TotalMBXPerSvr,TotalMBXPerSvr-SUM(C$123:C190),MBXPerDB),MBXPerDB))),0)</f>
        <v>0</v>
      </c>
      <c r="D191" s="286">
        <f t="shared" si="22"/>
        <v>0</v>
      </c>
      <c r="E191" s="286">
        <f t="shared" si="23"/>
        <v>0</v>
      </c>
      <c r="F191" s="286">
        <f t="shared" si="24"/>
        <v>0</v>
      </c>
      <c r="G191" s="209"/>
      <c r="H191" s="829" t="str">
        <f t="shared" si="14"/>
        <v>--</v>
      </c>
      <c r="I191" s="801">
        <f t="shared" si="20"/>
        <v>0</v>
      </c>
      <c r="J191" s="303">
        <f t="shared" si="21"/>
        <v>0</v>
      </c>
      <c r="K191" s="53"/>
    </row>
    <row r="192" spans="1:11" x14ac:dyDescent="0.2">
      <c r="A192" s="42"/>
      <c r="B192" s="207" t="str">
        <f>IF(AND(TotNumDBCopiesServer&gt;COUNTA(B$123:B191),ValidationCheck=FALSE),IF(HAOption="Yes","DB-x",B191+1),"--")</f>
        <v>--</v>
      </c>
      <c r="C192" s="205">
        <f>IF(B192&lt;&gt;"--",IF(HAOption="Yes",IF(TotNumDBCopiesServer&gt;=COUNT(B$123:B192),IF(TotNumDBCopiesServer&lt;=COUNT(B$123:B192),IF(calcTotNumMBXPerSvr&gt;TotalMBXPerSvr,TotMBXPerDAG-SUM(C$123:C191),MBXPerDB),MBXPerDB)),IF(RecNumDBs&gt;=B192,IF(RecNumDBs&lt;=B192,IF(calcTotNumMBXPerSvr&gt;TotalMBXPerSvr,TotalMBXPerSvr-SUM(C$123:C191),MBXPerDB),MBXPerDB))),0)</f>
        <v>0</v>
      </c>
      <c r="D192" s="286">
        <f t="shared" si="22"/>
        <v>0</v>
      </c>
      <c r="E192" s="286">
        <f t="shared" si="23"/>
        <v>0</v>
      </c>
      <c r="F192" s="286">
        <f t="shared" si="24"/>
        <v>0</v>
      </c>
      <c r="G192" s="209"/>
      <c r="H192" s="828" t="str">
        <f t="shared" si="14"/>
        <v>--</v>
      </c>
      <c r="I192" s="800">
        <f t="shared" si="20"/>
        <v>0</v>
      </c>
      <c r="J192" s="302">
        <f t="shared" si="21"/>
        <v>0</v>
      </c>
      <c r="K192" s="53"/>
    </row>
    <row r="193" spans="1:11" x14ac:dyDescent="0.2">
      <c r="A193" s="42"/>
      <c r="B193" s="207" t="str">
        <f>IF(AND(TotNumDBCopiesServer&gt;COUNTA(B$123:B192),ValidationCheck=FALSE),IF(HAOption="Yes","DB-x",B192+1),"--")</f>
        <v>--</v>
      </c>
      <c r="C193" s="205">
        <f>IF(B193&lt;&gt;"--",IF(HAOption="Yes",IF(TotNumDBCopiesServer&gt;=COUNT(B$123:B193),IF(TotNumDBCopiesServer&lt;=COUNT(B$123:B193),IF(calcTotNumMBXPerSvr&gt;TotalMBXPerSvr,TotMBXPerDAG-SUM(C$123:C192),MBXPerDB),MBXPerDB)),IF(RecNumDBs&gt;=B193,IF(RecNumDBs&lt;=B193,IF(calcTotNumMBXPerSvr&gt;TotalMBXPerSvr,TotalMBXPerSvr-SUM(C$123:C192),MBXPerDB),MBXPerDB))),0)</f>
        <v>0</v>
      </c>
      <c r="D193" s="286">
        <f t="shared" si="22"/>
        <v>0</v>
      </c>
      <c r="E193" s="286">
        <f t="shared" si="23"/>
        <v>0</v>
      </c>
      <c r="F193" s="286">
        <f t="shared" si="24"/>
        <v>0</v>
      </c>
      <c r="G193" s="209"/>
      <c r="H193" s="829" t="str">
        <f t="shared" si="14"/>
        <v>--</v>
      </c>
      <c r="I193" s="801">
        <f t="shared" si="20"/>
        <v>0</v>
      </c>
      <c r="J193" s="303">
        <f t="shared" si="21"/>
        <v>0</v>
      </c>
      <c r="K193" s="53"/>
    </row>
    <row r="194" spans="1:11" x14ac:dyDescent="0.2">
      <c r="A194" s="42"/>
      <c r="B194" s="207" t="str">
        <f>IF(AND(TotNumDBCopiesServer&gt;COUNTA(B$123:B193),ValidationCheck=FALSE),IF(HAOption="Yes","DB-x",B193+1),"--")</f>
        <v>--</v>
      </c>
      <c r="C194" s="205">
        <f>IF(B194&lt;&gt;"--",IF(HAOption="Yes",IF(TotNumDBCopiesServer&gt;=COUNT(B$123:B194),IF(TotNumDBCopiesServer&lt;=COUNT(B$123:B194),IF(calcTotNumMBXPerSvr&gt;TotalMBXPerSvr,TotMBXPerDAG-SUM(C$123:C193),MBXPerDB),MBXPerDB)),IF(RecNumDBs&gt;=B194,IF(RecNumDBs&lt;=B194,IF(calcTotNumMBXPerSvr&gt;TotalMBXPerSvr,TotalMBXPerSvr-SUM(C$123:C193),MBXPerDB),MBXPerDB))),0)</f>
        <v>0</v>
      </c>
      <c r="D194" s="286">
        <f t="shared" si="22"/>
        <v>0</v>
      </c>
      <c r="E194" s="286">
        <f t="shared" si="23"/>
        <v>0</v>
      </c>
      <c r="F194" s="286">
        <f t="shared" si="24"/>
        <v>0</v>
      </c>
      <c r="G194" s="209"/>
      <c r="H194" s="828" t="str">
        <f t="shared" si="14"/>
        <v>--</v>
      </c>
      <c r="I194" s="800">
        <f t="shared" si="20"/>
        <v>0</v>
      </c>
      <c r="J194" s="302">
        <f t="shared" si="21"/>
        <v>0</v>
      </c>
      <c r="K194" s="53"/>
    </row>
    <row r="195" spans="1:11" x14ac:dyDescent="0.2">
      <c r="A195" s="42"/>
      <c r="B195" s="207" t="str">
        <f>IF(AND(TotNumDBCopiesServer&gt;COUNTA(B$123:B194),ValidationCheck=FALSE),IF(HAOption="Yes","DB-x",B194+1),"--")</f>
        <v>--</v>
      </c>
      <c r="C195" s="205">
        <f>IF(B195&lt;&gt;"--",IF(HAOption="Yes",IF(TotNumDBCopiesServer&gt;=COUNT(B$123:B195),IF(TotNumDBCopiesServer&lt;=COUNT(B$123:B195),IF(calcTotNumMBXPerSvr&gt;TotalMBXPerSvr,TotMBXPerDAG-SUM(C$123:C194),MBXPerDB),MBXPerDB)),IF(RecNumDBs&gt;=B195,IF(RecNumDBs&lt;=B195,IF(calcTotNumMBXPerSvr&gt;TotalMBXPerSvr,TotalMBXPerSvr-SUM(C$123:C194),MBXPerDB),MBXPerDB))),0)</f>
        <v>0</v>
      </c>
      <c r="D195" s="286">
        <f t="shared" si="22"/>
        <v>0</v>
      </c>
      <c r="E195" s="286">
        <f t="shared" si="23"/>
        <v>0</v>
      </c>
      <c r="F195" s="286">
        <f t="shared" si="24"/>
        <v>0</v>
      </c>
      <c r="G195" s="209"/>
      <c r="H195" s="829" t="str">
        <f t="shared" si="14"/>
        <v>--</v>
      </c>
      <c r="I195" s="801">
        <f t="shared" si="20"/>
        <v>0</v>
      </c>
      <c r="J195" s="303">
        <f t="shared" si="21"/>
        <v>0</v>
      </c>
      <c r="K195" s="53"/>
    </row>
    <row r="196" spans="1:11" x14ac:dyDescent="0.2">
      <c r="A196" s="42"/>
      <c r="B196" s="207" t="str">
        <f>IF(AND(TotNumDBCopiesServer&gt;COUNTA(B$123:B195),ValidationCheck=FALSE),IF(HAOption="Yes","DB-x",B195+1),"--")</f>
        <v>--</v>
      </c>
      <c r="C196" s="205">
        <f>IF(B196&lt;&gt;"--",IF(HAOption="Yes",IF(TotNumDBCopiesServer&gt;=COUNT(B$123:B196),IF(TotNumDBCopiesServer&lt;=COUNT(B$123:B196),IF(calcTotNumMBXPerSvr&gt;TotalMBXPerSvr,TotMBXPerDAG-SUM(C$123:C195),MBXPerDB),MBXPerDB)),IF(RecNumDBs&gt;=B196,IF(RecNumDBs&lt;=B196,IF(calcTotNumMBXPerSvr&gt;TotalMBXPerSvr,TotalMBXPerSvr-SUM(C$123:C195),MBXPerDB),MBXPerDB))),0)</f>
        <v>0</v>
      </c>
      <c r="D196" s="286">
        <f t="shared" si="22"/>
        <v>0</v>
      </c>
      <c r="E196" s="286">
        <f t="shared" si="23"/>
        <v>0</v>
      </c>
      <c r="F196" s="286">
        <f t="shared" si="24"/>
        <v>0</v>
      </c>
      <c r="G196" s="209"/>
      <c r="H196" s="828" t="str">
        <f t="shared" si="14"/>
        <v>--</v>
      </c>
      <c r="I196" s="800">
        <f t="shared" si="20"/>
        <v>0</v>
      </c>
      <c r="J196" s="302">
        <f t="shared" si="21"/>
        <v>0</v>
      </c>
      <c r="K196" s="53"/>
    </row>
    <row r="197" spans="1:11" x14ac:dyDescent="0.2">
      <c r="A197" s="42"/>
      <c r="B197" s="207" t="str">
        <f>IF(AND(TotNumDBCopiesServer&gt;COUNTA(B$123:B196),ValidationCheck=FALSE),IF(HAOption="Yes","DB-x",B196+1),"--")</f>
        <v>--</v>
      </c>
      <c r="C197" s="205">
        <f>IF(B197&lt;&gt;"--",IF(HAOption="Yes",IF(TotNumDBCopiesServer&gt;=COUNT(B$123:B197),IF(TotNumDBCopiesServer&lt;=COUNT(B$123:B197),IF(calcTotNumMBXPerSvr&gt;TotalMBXPerSvr,TotMBXPerDAG-SUM(C$123:C196),MBXPerDB),MBXPerDB)),IF(RecNumDBs&gt;=B197,IF(RecNumDBs&lt;=B197,IF(calcTotNumMBXPerSvr&gt;TotalMBXPerSvr,TotalMBXPerSvr-SUM(C$123:C196),MBXPerDB),MBXPerDB))),0)</f>
        <v>0</v>
      </c>
      <c r="D197" s="286">
        <f t="shared" si="22"/>
        <v>0</v>
      </c>
      <c r="E197" s="286">
        <f t="shared" si="23"/>
        <v>0</v>
      </c>
      <c r="F197" s="286">
        <f t="shared" si="24"/>
        <v>0</v>
      </c>
      <c r="G197" s="209"/>
      <c r="H197" s="829" t="str">
        <f t="shared" si="14"/>
        <v>--</v>
      </c>
      <c r="I197" s="801">
        <f t="shared" si="20"/>
        <v>0</v>
      </c>
      <c r="J197" s="303">
        <f t="shared" si="21"/>
        <v>0</v>
      </c>
      <c r="K197" s="53"/>
    </row>
    <row r="198" spans="1:11" x14ac:dyDescent="0.2">
      <c r="A198" s="42"/>
      <c r="B198" s="207" t="str">
        <f>IF(AND(TotNumDBCopiesServer&gt;COUNTA(B$123:B197),ValidationCheck=FALSE),IF(HAOption="Yes","DB-x",B197+1),"--")</f>
        <v>--</v>
      </c>
      <c r="C198" s="205">
        <f>IF(B198&lt;&gt;"--",IF(HAOption="Yes",IF(TotNumDBCopiesServer&gt;=COUNT(B$123:B198),IF(TotNumDBCopiesServer&lt;=COUNT(B$123:B198),IF(calcTotNumMBXPerSvr&gt;TotalMBXPerSvr,TotMBXPerDAG-SUM(C$123:C197),MBXPerDB),MBXPerDB)),IF(RecNumDBs&gt;=B198,IF(RecNumDBs&lt;=B198,IF(calcTotNumMBXPerSvr&gt;TotalMBXPerSvr,TotalMBXPerSvr-SUM(C$123:C197),MBXPerDB),MBXPerDB))),0)</f>
        <v>0</v>
      </c>
      <c r="D198" s="286">
        <f t="shared" si="22"/>
        <v>0</v>
      </c>
      <c r="E198" s="286">
        <f t="shared" si="23"/>
        <v>0</v>
      </c>
      <c r="F198" s="286">
        <f t="shared" si="24"/>
        <v>0</v>
      </c>
      <c r="G198" s="209"/>
      <c r="H198" s="828" t="str">
        <f t="shared" si="14"/>
        <v>--</v>
      </c>
      <c r="I198" s="800">
        <f t="shared" si="20"/>
        <v>0</v>
      </c>
      <c r="J198" s="302">
        <f t="shared" si="21"/>
        <v>0</v>
      </c>
      <c r="K198" s="53"/>
    </row>
    <row r="199" spans="1:11" x14ac:dyDescent="0.2">
      <c r="A199" s="42"/>
      <c r="B199" s="207" t="str">
        <f>IF(AND(TotNumDBCopiesServer&gt;COUNTA(B$123:B198),ValidationCheck=FALSE),IF(HAOption="Yes","DB-x",B198+1),"--")</f>
        <v>--</v>
      </c>
      <c r="C199" s="205">
        <f>IF(B199&lt;&gt;"--",IF(HAOption="Yes",IF(TotNumDBCopiesServer&gt;=COUNT(B$123:B199),IF(TotNumDBCopiesServer&lt;=COUNT(B$123:B199),IF(calcTotNumMBXPerSvr&gt;TotalMBXPerSvr,TotMBXPerDAG-SUM(C$123:C198),MBXPerDB),MBXPerDB)),IF(RecNumDBs&gt;=B199,IF(RecNumDBs&lt;=B199,IF(calcTotNumMBXPerSvr&gt;TotalMBXPerSvr,TotalMBXPerSvr-SUM(C$123:C198),MBXPerDB),MBXPerDB))),0)</f>
        <v>0</v>
      </c>
      <c r="D199" s="286">
        <f t="shared" si="22"/>
        <v>0</v>
      </c>
      <c r="E199" s="286">
        <f t="shared" si="23"/>
        <v>0</v>
      </c>
      <c r="F199" s="286">
        <f t="shared" si="24"/>
        <v>0</v>
      </c>
      <c r="G199" s="209"/>
      <c r="H199" s="829" t="str">
        <f t="shared" si="14"/>
        <v>--</v>
      </c>
      <c r="I199" s="801">
        <f t="shared" si="20"/>
        <v>0</v>
      </c>
      <c r="J199" s="303">
        <f t="shared" si="21"/>
        <v>0</v>
      </c>
      <c r="K199" s="53"/>
    </row>
    <row r="200" spans="1:11" x14ac:dyDescent="0.2">
      <c r="A200" s="42"/>
      <c r="B200" s="207" t="str">
        <f>IF(AND(TotNumDBCopiesServer&gt;COUNTA(B$123:B199),ValidationCheck=FALSE),IF(HAOption="Yes","DB-x",B199+1),"--")</f>
        <v>--</v>
      </c>
      <c r="C200" s="205">
        <f>IF(B200&lt;&gt;"--",IF(HAOption="Yes",IF(TotNumDBCopiesServer&gt;=COUNT(B$123:B200),IF(TotNumDBCopiesServer&lt;=COUNT(B$123:B200),IF(calcTotNumMBXPerSvr&gt;TotalMBXPerSvr,TotMBXPerDAG-SUM(C$123:C199),MBXPerDB),MBXPerDB)),IF(RecNumDBs&gt;=B200,IF(RecNumDBs&lt;=B200,IF(calcTotNumMBXPerSvr&gt;TotalMBXPerSvr,TotalMBXPerSvr-SUM(C$123:C199),MBXPerDB),MBXPerDB))),0)</f>
        <v>0</v>
      </c>
      <c r="D200" s="286">
        <f t="shared" si="22"/>
        <v>0</v>
      </c>
      <c r="E200" s="286">
        <f t="shared" si="23"/>
        <v>0</v>
      </c>
      <c r="F200" s="286">
        <f t="shared" si="24"/>
        <v>0</v>
      </c>
      <c r="G200" s="209"/>
      <c r="H200" s="828" t="str">
        <f t="shared" si="14"/>
        <v>--</v>
      </c>
      <c r="I200" s="800">
        <f t="shared" si="20"/>
        <v>0</v>
      </c>
      <c r="J200" s="302">
        <f t="shared" si="21"/>
        <v>0</v>
      </c>
      <c r="K200" s="53"/>
    </row>
    <row r="201" spans="1:11" x14ac:dyDescent="0.2">
      <c r="A201" s="42"/>
      <c r="B201" s="207" t="str">
        <f>IF(AND(TotNumDBCopiesServer&gt;COUNTA(B$123:B200),ValidationCheck=FALSE),IF(HAOption="Yes","DB-x",B200+1),"--")</f>
        <v>--</v>
      </c>
      <c r="C201" s="205">
        <f>IF(B201&lt;&gt;"--",IF(HAOption="Yes",IF(TotNumDBCopiesServer&gt;=COUNT(B$123:B201),IF(TotNumDBCopiesServer&lt;=COUNT(B$123:B201),IF(calcTotNumMBXPerSvr&gt;TotalMBXPerSvr,TotMBXPerDAG-SUM(C$123:C200),MBXPerDB),MBXPerDB)),IF(RecNumDBs&gt;=B201,IF(RecNumDBs&lt;=B201,IF(calcTotNumMBXPerSvr&gt;TotalMBXPerSvr,TotalMBXPerSvr-SUM(C$123:C200),MBXPerDB),MBXPerDB))),0)</f>
        <v>0</v>
      </c>
      <c r="D201" s="286">
        <f t="shared" si="22"/>
        <v>0</v>
      </c>
      <c r="E201" s="286">
        <f t="shared" si="23"/>
        <v>0</v>
      </c>
      <c r="F201" s="286">
        <f t="shared" si="24"/>
        <v>0</v>
      </c>
      <c r="G201" s="209"/>
      <c r="H201" s="829" t="str">
        <f t="shared" si="14"/>
        <v>--</v>
      </c>
      <c r="I201" s="801">
        <f t="shared" si="20"/>
        <v>0</v>
      </c>
      <c r="J201" s="303">
        <f t="shared" si="21"/>
        <v>0</v>
      </c>
      <c r="K201" s="53"/>
    </row>
    <row r="202" spans="1:11" x14ac:dyDescent="0.2">
      <c r="A202" s="42"/>
      <c r="B202" s="207" t="str">
        <f>IF(AND(TotNumDBCopiesServer&gt;COUNTA(B$123:B201),ValidationCheck=FALSE),IF(HAOption="Yes","DB-x",B201+1),"--")</f>
        <v>--</v>
      </c>
      <c r="C202" s="205">
        <f>IF(B202&lt;&gt;"--",IF(HAOption="Yes",IF(TotNumDBCopiesServer&gt;=COUNT(B$123:B202),IF(TotNumDBCopiesServer&lt;=COUNT(B$123:B202),IF(calcTotNumMBXPerSvr&gt;TotalMBXPerSvr,TotMBXPerDAG-SUM(C$123:C201),MBXPerDB),MBXPerDB)),IF(RecNumDBs&gt;=B202,IF(RecNumDBs&lt;=B202,IF(calcTotNumMBXPerSvr&gt;TotalMBXPerSvr,TotalMBXPerSvr-SUM(C$123:C201),MBXPerDB),MBXPerDB))),0)</f>
        <v>0</v>
      </c>
      <c r="D202" s="286">
        <f t="shared" si="22"/>
        <v>0</v>
      </c>
      <c r="E202" s="286">
        <f t="shared" si="23"/>
        <v>0</v>
      </c>
      <c r="F202" s="286">
        <f t="shared" si="24"/>
        <v>0</v>
      </c>
      <c r="G202" s="209"/>
      <c r="H202" s="828" t="str">
        <f t="shared" si="14"/>
        <v>--</v>
      </c>
      <c r="I202" s="800">
        <f t="shared" si="20"/>
        <v>0</v>
      </c>
      <c r="J202" s="302">
        <f t="shared" si="21"/>
        <v>0</v>
      </c>
      <c r="K202" s="53"/>
    </row>
    <row r="203" spans="1:11" x14ac:dyDescent="0.2">
      <c r="A203" s="42"/>
      <c r="B203" s="207" t="str">
        <f>IF(AND(TotNumDBCopiesServer&gt;COUNTA(B$123:B202),ValidationCheck=FALSE),IF(HAOption="Yes","DB-x",B202+1),"--")</f>
        <v>--</v>
      </c>
      <c r="C203" s="205">
        <f>IF(B203&lt;&gt;"--",IF(HAOption="Yes",IF(TotNumDBCopiesServer&gt;=COUNT(B$123:B203),IF(TotNumDBCopiesServer&lt;=COUNT(B$123:B203),IF(calcTotNumMBXPerSvr&gt;TotalMBXPerSvr,TotMBXPerDAG-SUM(C$123:C202),MBXPerDB),MBXPerDB)),IF(RecNumDBs&gt;=B203,IF(RecNumDBs&lt;=B203,IF(calcTotNumMBXPerSvr&gt;TotalMBXPerSvr,TotalMBXPerSvr-SUM(C$123:C202),MBXPerDB),MBXPerDB))),0)</f>
        <v>0</v>
      </c>
      <c r="D203" s="286">
        <f t="shared" si="22"/>
        <v>0</v>
      </c>
      <c r="E203" s="286">
        <f t="shared" si="23"/>
        <v>0</v>
      </c>
      <c r="F203" s="286">
        <f t="shared" si="24"/>
        <v>0</v>
      </c>
      <c r="G203" s="209"/>
      <c r="H203" s="829" t="str">
        <f t="shared" si="14"/>
        <v>--</v>
      </c>
      <c r="I203" s="801">
        <f t="shared" si="20"/>
        <v>0</v>
      </c>
      <c r="J203" s="303">
        <f t="shared" si="21"/>
        <v>0</v>
      </c>
      <c r="K203" s="53"/>
    </row>
    <row r="204" spans="1:11" x14ac:dyDescent="0.2">
      <c r="A204" s="42"/>
      <c r="B204" s="207" t="str">
        <f>IF(AND(TotNumDBCopiesServer&gt;COUNTA(B$123:B203),ValidationCheck=FALSE),IF(HAOption="Yes","DB-x",B203+1),"--")</f>
        <v>--</v>
      </c>
      <c r="C204" s="205">
        <f>IF(B204&lt;&gt;"--",IF(HAOption="Yes",IF(TotNumDBCopiesServer&gt;=COUNT(B$123:B204),IF(TotNumDBCopiesServer&lt;=COUNT(B$123:B204),IF(calcTotNumMBXPerSvr&gt;TotalMBXPerSvr,TotMBXPerDAG-SUM(C$123:C203),MBXPerDB),MBXPerDB)),IF(RecNumDBs&gt;=B204,IF(RecNumDBs&lt;=B204,IF(calcTotNumMBXPerSvr&gt;TotalMBXPerSvr,TotalMBXPerSvr-SUM(C$123:C203),MBXPerDB),MBXPerDB))),0)</f>
        <v>0</v>
      </c>
      <c r="D204" s="286">
        <f t="shared" si="22"/>
        <v>0</v>
      </c>
      <c r="E204" s="286">
        <f t="shared" si="23"/>
        <v>0</v>
      </c>
      <c r="F204" s="286">
        <f t="shared" si="24"/>
        <v>0</v>
      </c>
      <c r="G204" s="209"/>
      <c r="H204" s="828" t="str">
        <f t="shared" si="14"/>
        <v>--</v>
      </c>
      <c r="I204" s="800">
        <f t="shared" si="20"/>
        <v>0</v>
      </c>
      <c r="J204" s="302">
        <f t="shared" si="21"/>
        <v>0</v>
      </c>
      <c r="K204" s="53"/>
    </row>
    <row r="205" spans="1:11" x14ac:dyDescent="0.2">
      <c r="A205" s="42"/>
      <c r="B205" s="207" t="str">
        <f>IF(AND(TotNumDBCopiesServer&gt;COUNTA(B$123:B204),ValidationCheck=FALSE),IF(HAOption="Yes","DB-x",B204+1),"--")</f>
        <v>--</v>
      </c>
      <c r="C205" s="205">
        <f>IF(B205&lt;&gt;"--",IF(HAOption="Yes",IF(TotNumDBCopiesServer&gt;=COUNT(B$123:B205),IF(TotNumDBCopiesServer&lt;=COUNT(B$123:B205),IF(calcTotNumMBXPerSvr&gt;TotalMBXPerSvr,TotMBXPerDAG-SUM(C$123:C204),MBXPerDB),MBXPerDB)),IF(RecNumDBs&gt;=B205,IF(RecNumDBs&lt;=B205,IF(calcTotNumMBXPerSvr&gt;TotalMBXPerSvr,TotalMBXPerSvr-SUM(C$123:C204),MBXPerDB),MBXPerDB))),0)</f>
        <v>0</v>
      </c>
      <c r="D205" s="286">
        <f t="shared" si="22"/>
        <v>0</v>
      </c>
      <c r="E205" s="286">
        <f t="shared" si="23"/>
        <v>0</v>
      </c>
      <c r="F205" s="286">
        <f t="shared" si="24"/>
        <v>0</v>
      </c>
      <c r="G205" s="209"/>
      <c r="H205" s="829" t="str">
        <f t="shared" si="14"/>
        <v>--</v>
      </c>
      <c r="I205" s="801">
        <f t="shared" ref="I205:I222" si="25">IF(H205="--",0,(SUMIF(C$6:C$105,D88,E$123:E$222)+IF(RestoreVol="Yes",0,(SUMIF(C$6:C$105,D88,E$123:E$222)*1.1))+IF(ContentIndexing="Enabled",(SUMIF(C$6:C$105,D88,E$123:E$222)+DBSizeOverhead)*CIFactor)+IF(OR(VolArchitecture="1 Volume / DB",VolArchitecture="Multiple DBs / Volume"),SUMIF(C$6:C$105,D88,F$123:F$222),0))/(1-VolGrowth))</f>
        <v>0</v>
      </c>
      <c r="J205" s="303">
        <f t="shared" si="21"/>
        <v>0</v>
      </c>
      <c r="K205" s="53"/>
    </row>
    <row r="206" spans="1:11" x14ac:dyDescent="0.2">
      <c r="A206" s="42"/>
      <c r="B206" s="207" t="str">
        <f>IF(AND(TotNumDBCopiesServer&gt;COUNTA(B$123:B205),ValidationCheck=FALSE),IF(HAOption="Yes","DB-x",B205+1),"--")</f>
        <v>--</v>
      </c>
      <c r="C206" s="205">
        <f>IF(B206&lt;&gt;"--",IF(HAOption="Yes",IF(TotNumDBCopiesServer&gt;=COUNT(B$123:B206),IF(TotNumDBCopiesServer&lt;=COUNT(B$123:B206),IF(calcTotNumMBXPerSvr&gt;TotalMBXPerSvr,TotMBXPerDAG-SUM(C$123:C205),MBXPerDB),MBXPerDB)),IF(RecNumDBs&gt;=B206,IF(RecNumDBs&lt;=B206,IF(calcTotNumMBXPerSvr&gt;TotalMBXPerSvr,TotalMBXPerSvr-SUM(C$123:C205),MBXPerDB),MBXPerDB))),0)</f>
        <v>0</v>
      </c>
      <c r="D206" s="286">
        <f t="shared" si="22"/>
        <v>0</v>
      </c>
      <c r="E206" s="286">
        <f t="shared" si="23"/>
        <v>0</v>
      </c>
      <c r="F206" s="286">
        <f t="shared" si="24"/>
        <v>0</v>
      </c>
      <c r="G206" s="209"/>
      <c r="H206" s="828" t="str">
        <f t="shared" si="14"/>
        <v>--</v>
      </c>
      <c r="I206" s="800">
        <f t="shared" si="25"/>
        <v>0</v>
      </c>
      <c r="J206" s="302">
        <f t="shared" si="21"/>
        <v>0</v>
      </c>
      <c r="K206" s="53"/>
    </row>
    <row r="207" spans="1:11" x14ac:dyDescent="0.2">
      <c r="A207" s="42"/>
      <c r="B207" s="207" t="str">
        <f>IF(AND(TotNumDBCopiesServer&gt;COUNTA(B$123:B206),ValidationCheck=FALSE),IF(HAOption="Yes","DB-x",B206+1),"--")</f>
        <v>--</v>
      </c>
      <c r="C207" s="205">
        <f>IF(B207&lt;&gt;"--",IF(HAOption="Yes",IF(TotNumDBCopiesServer&gt;=COUNT(B$123:B207),IF(TotNumDBCopiesServer&lt;=COUNT(B$123:B207),IF(calcTotNumMBXPerSvr&gt;TotalMBXPerSvr,TotMBXPerDAG-SUM(C$123:C206),MBXPerDB),MBXPerDB)),IF(RecNumDBs&gt;=B207,IF(RecNumDBs&lt;=B207,IF(calcTotNumMBXPerSvr&gt;TotalMBXPerSvr,TotalMBXPerSvr-SUM(C$123:C206),MBXPerDB),MBXPerDB))),0)</f>
        <v>0</v>
      </c>
      <c r="D207" s="286">
        <f t="shared" si="22"/>
        <v>0</v>
      </c>
      <c r="E207" s="286">
        <f t="shared" si="23"/>
        <v>0</v>
      </c>
      <c r="F207" s="286">
        <f t="shared" si="24"/>
        <v>0</v>
      </c>
      <c r="G207" s="209"/>
      <c r="H207" s="829" t="str">
        <f t="shared" si="14"/>
        <v>--</v>
      </c>
      <c r="I207" s="801">
        <f t="shared" si="25"/>
        <v>0</v>
      </c>
      <c r="J207" s="303">
        <f t="shared" si="21"/>
        <v>0</v>
      </c>
      <c r="K207" s="53"/>
    </row>
    <row r="208" spans="1:11" x14ac:dyDescent="0.2">
      <c r="A208" s="42"/>
      <c r="B208" s="207" t="str">
        <f>IF(AND(TotNumDBCopiesServer&gt;COUNTA(B$123:B207),ValidationCheck=FALSE),IF(HAOption="Yes","DB-x",B207+1),"--")</f>
        <v>--</v>
      </c>
      <c r="C208" s="205">
        <f>IF(B208&lt;&gt;"--",IF(HAOption="Yes",IF(TotNumDBCopiesServer&gt;=COUNT(B$123:B208),IF(TotNumDBCopiesServer&lt;=COUNT(B$123:B208),IF(calcTotNumMBXPerSvr&gt;TotalMBXPerSvr,TotMBXPerDAG-SUM(C$123:C207),MBXPerDB),MBXPerDB)),IF(RecNumDBs&gt;=B208,IF(RecNumDBs&lt;=B208,IF(calcTotNumMBXPerSvr&gt;TotalMBXPerSvr,TotalMBXPerSvr-SUM(C$123:C207),MBXPerDB),MBXPerDB))),0)</f>
        <v>0</v>
      </c>
      <c r="D208" s="286">
        <f t="shared" si="22"/>
        <v>0</v>
      </c>
      <c r="E208" s="286">
        <f t="shared" si="23"/>
        <v>0</v>
      </c>
      <c r="F208" s="286">
        <f t="shared" si="24"/>
        <v>0</v>
      </c>
      <c r="G208" s="209"/>
      <c r="H208" s="828" t="str">
        <f t="shared" si="14"/>
        <v>--</v>
      </c>
      <c r="I208" s="800">
        <f t="shared" si="25"/>
        <v>0</v>
      </c>
      <c r="J208" s="302">
        <f t="shared" si="21"/>
        <v>0</v>
      </c>
      <c r="K208" s="53"/>
    </row>
    <row r="209" spans="1:11" x14ac:dyDescent="0.2">
      <c r="A209" s="42"/>
      <c r="B209" s="207" t="str">
        <f>IF(AND(TotNumDBCopiesServer&gt;COUNTA(B$123:B208),ValidationCheck=FALSE),IF(HAOption="Yes","DB-x",B208+1),"--")</f>
        <v>--</v>
      </c>
      <c r="C209" s="205">
        <f>IF(B209&lt;&gt;"--",IF(HAOption="Yes",IF(TotNumDBCopiesServer&gt;=COUNT(B$123:B209),IF(TotNumDBCopiesServer&lt;=COUNT(B$123:B209),IF(calcTotNumMBXPerSvr&gt;TotalMBXPerSvr,TotMBXPerDAG-SUM(C$123:C208),MBXPerDB),MBXPerDB)),IF(RecNumDBs&gt;=B209,IF(RecNumDBs&lt;=B209,IF(calcTotNumMBXPerSvr&gt;TotalMBXPerSvr,TotalMBXPerSvr-SUM(C$123:C208),MBXPerDB),MBXPerDB))),0)</f>
        <v>0</v>
      </c>
      <c r="D209" s="286">
        <f t="shared" si="22"/>
        <v>0</v>
      </c>
      <c r="E209" s="286">
        <f t="shared" si="23"/>
        <v>0</v>
      </c>
      <c r="F209" s="286">
        <f t="shared" si="24"/>
        <v>0</v>
      </c>
      <c r="G209" s="209"/>
      <c r="H209" s="829" t="str">
        <f t="shared" si="14"/>
        <v>--</v>
      </c>
      <c r="I209" s="801">
        <f t="shared" si="25"/>
        <v>0</v>
      </c>
      <c r="J209" s="303">
        <f t="shared" si="21"/>
        <v>0</v>
      </c>
      <c r="K209" s="53"/>
    </row>
    <row r="210" spans="1:11" x14ac:dyDescent="0.2">
      <c r="A210" s="42"/>
      <c r="B210" s="207" t="str">
        <f>IF(AND(TotNumDBCopiesServer&gt;COUNTA(B$123:B209),ValidationCheck=FALSE),IF(HAOption="Yes","DB-x",B209+1),"--")</f>
        <v>--</v>
      </c>
      <c r="C210" s="205">
        <f>IF(B210&lt;&gt;"--",IF(HAOption="Yes",IF(TotNumDBCopiesServer&gt;=COUNT(B$123:B210),IF(TotNumDBCopiesServer&lt;=COUNT(B$123:B210),IF(calcTotNumMBXPerSvr&gt;TotalMBXPerSvr,TotMBXPerDAG-SUM(C$123:C209),MBXPerDB),MBXPerDB)),IF(RecNumDBs&gt;=B210,IF(RecNumDBs&lt;=B210,IF(calcTotNumMBXPerSvr&gt;TotalMBXPerSvr,TotalMBXPerSvr-SUM(C$123:C209),MBXPerDB),MBXPerDB))),0)</f>
        <v>0</v>
      </c>
      <c r="D210" s="286">
        <f t="shared" si="22"/>
        <v>0</v>
      </c>
      <c r="E210" s="286">
        <f t="shared" si="23"/>
        <v>0</v>
      </c>
      <c r="F210" s="286">
        <f t="shared" si="24"/>
        <v>0</v>
      </c>
      <c r="G210" s="209"/>
      <c r="H210" s="828" t="str">
        <f t="shared" si="14"/>
        <v>--</v>
      </c>
      <c r="I210" s="800">
        <f t="shared" si="25"/>
        <v>0</v>
      </c>
      <c r="J210" s="302">
        <f t="shared" si="21"/>
        <v>0</v>
      </c>
      <c r="K210" s="53"/>
    </row>
    <row r="211" spans="1:11" x14ac:dyDescent="0.2">
      <c r="A211" s="42"/>
      <c r="B211" s="207" t="str">
        <f>IF(AND(TotNumDBCopiesServer&gt;COUNTA(B$123:B210),ValidationCheck=FALSE),IF(HAOption="Yes","DB-x",B210+1),"--")</f>
        <v>--</v>
      </c>
      <c r="C211" s="205">
        <f>IF(B211&lt;&gt;"--",IF(HAOption="Yes",IF(TotNumDBCopiesServer&gt;=COUNT(B$123:B211),IF(TotNumDBCopiesServer&lt;=COUNT(B$123:B211),IF(calcTotNumMBXPerSvr&gt;TotalMBXPerSvr,TotMBXPerDAG-SUM(C$123:C210),MBXPerDB),MBXPerDB)),IF(RecNumDBs&gt;=B211,IF(RecNumDBs&lt;=B211,IF(calcTotNumMBXPerSvr&gt;TotalMBXPerSvr,TotalMBXPerSvr-SUM(C$123:C210),MBXPerDB),MBXPerDB))),0)</f>
        <v>0</v>
      </c>
      <c r="D211" s="286">
        <f t="shared" si="22"/>
        <v>0</v>
      </c>
      <c r="E211" s="286">
        <f t="shared" si="23"/>
        <v>0</v>
      </c>
      <c r="F211" s="286">
        <f t="shared" si="24"/>
        <v>0</v>
      </c>
      <c r="G211" s="209"/>
      <c r="H211" s="829" t="str">
        <f t="shared" si="14"/>
        <v>--</v>
      </c>
      <c r="I211" s="801">
        <f t="shared" si="25"/>
        <v>0</v>
      </c>
      <c r="J211" s="303">
        <f t="shared" si="21"/>
        <v>0</v>
      </c>
      <c r="K211" s="53"/>
    </row>
    <row r="212" spans="1:11" x14ac:dyDescent="0.2">
      <c r="A212" s="42"/>
      <c r="B212" s="207" t="str">
        <f>IF(AND(TotNumDBCopiesServer&gt;COUNTA(B$123:B211),ValidationCheck=FALSE),IF(HAOption="Yes","DB-x",B211+1),"--")</f>
        <v>--</v>
      </c>
      <c r="C212" s="205">
        <f>IF(B212&lt;&gt;"--",IF(HAOption="Yes",IF(TotNumDBCopiesServer&gt;=COUNT(B$123:B212),IF(TotNumDBCopiesServer&lt;=COUNT(B$123:B212),IF(calcTotNumMBXPerSvr&gt;TotalMBXPerSvr,TotMBXPerDAG-SUM(C$123:C211),MBXPerDB),MBXPerDB)),IF(RecNumDBs&gt;=B212,IF(RecNumDBs&lt;=B212,IF(calcTotNumMBXPerSvr&gt;TotalMBXPerSvr,TotalMBXPerSvr-SUM(C$123:C211),MBXPerDB),MBXPerDB))),0)</f>
        <v>0</v>
      </c>
      <c r="D212" s="286">
        <f t="shared" si="22"/>
        <v>0</v>
      </c>
      <c r="E212" s="286">
        <f t="shared" si="23"/>
        <v>0</v>
      </c>
      <c r="F212" s="286">
        <f t="shared" si="24"/>
        <v>0</v>
      </c>
      <c r="G212" s="209"/>
      <c r="H212" s="828" t="str">
        <f t="shared" si="14"/>
        <v>--</v>
      </c>
      <c r="I212" s="800">
        <f t="shared" si="25"/>
        <v>0</v>
      </c>
      <c r="J212" s="302">
        <f t="shared" si="21"/>
        <v>0</v>
      </c>
      <c r="K212" s="53"/>
    </row>
    <row r="213" spans="1:11" x14ac:dyDescent="0.2">
      <c r="A213" s="42"/>
      <c r="B213" s="207" t="str">
        <f>IF(AND(TotNumDBCopiesServer&gt;COUNTA(B$123:B212),ValidationCheck=FALSE),IF(HAOption="Yes","DB-x",B212+1),"--")</f>
        <v>--</v>
      </c>
      <c r="C213" s="205">
        <f>IF(B213&lt;&gt;"--",IF(HAOption="Yes",IF(TotNumDBCopiesServer&gt;=COUNT(B$123:B213),IF(TotNumDBCopiesServer&lt;=COUNT(B$123:B213),IF(calcTotNumMBXPerSvr&gt;TotalMBXPerSvr,TotMBXPerDAG-SUM(C$123:C212),MBXPerDB),MBXPerDB)),IF(RecNumDBs&gt;=B213,IF(RecNumDBs&lt;=B213,IF(calcTotNumMBXPerSvr&gt;TotalMBXPerSvr,TotalMBXPerSvr-SUM(C$123:C212),MBXPerDB),MBXPerDB))),0)</f>
        <v>0</v>
      </c>
      <c r="D213" s="286">
        <f t="shared" si="22"/>
        <v>0</v>
      </c>
      <c r="E213" s="286">
        <f t="shared" si="23"/>
        <v>0</v>
      </c>
      <c r="F213" s="286">
        <f t="shared" si="24"/>
        <v>0</v>
      </c>
      <c r="G213" s="209"/>
      <c r="H213" s="829" t="str">
        <f t="shared" si="14"/>
        <v>--</v>
      </c>
      <c r="I213" s="801">
        <f t="shared" si="25"/>
        <v>0</v>
      </c>
      <c r="J213" s="303">
        <f t="shared" si="21"/>
        <v>0</v>
      </c>
      <c r="K213" s="53"/>
    </row>
    <row r="214" spans="1:11" x14ac:dyDescent="0.2">
      <c r="A214" s="42"/>
      <c r="B214" s="207" t="str">
        <f>IF(AND(TotNumDBCopiesServer&gt;COUNTA(B$123:B213),ValidationCheck=FALSE),IF(HAOption="Yes","DB-x",B213+1),"--")</f>
        <v>--</v>
      </c>
      <c r="C214" s="205">
        <f>IF(B214&lt;&gt;"--",IF(HAOption="Yes",IF(TotNumDBCopiesServer&gt;=COUNT(B$123:B214),IF(TotNumDBCopiesServer&lt;=COUNT(B$123:B214),IF(calcTotNumMBXPerSvr&gt;TotalMBXPerSvr,TotMBXPerDAG-SUM(C$123:C213),MBXPerDB),MBXPerDB)),IF(RecNumDBs&gt;=B214,IF(RecNumDBs&lt;=B214,IF(calcTotNumMBXPerSvr&gt;TotalMBXPerSvr,TotalMBXPerSvr-SUM(C$123:C213),MBXPerDB),MBXPerDB))),0)</f>
        <v>0</v>
      </c>
      <c r="D214" s="286">
        <f t="shared" si="22"/>
        <v>0</v>
      </c>
      <c r="E214" s="286">
        <f t="shared" si="23"/>
        <v>0</v>
      </c>
      <c r="F214" s="286">
        <f t="shared" si="24"/>
        <v>0</v>
      </c>
      <c r="G214" s="209"/>
      <c r="H214" s="828" t="str">
        <f t="shared" si="14"/>
        <v>--</v>
      </c>
      <c r="I214" s="800">
        <f t="shared" si="25"/>
        <v>0</v>
      </c>
      <c r="J214" s="302">
        <f t="shared" si="21"/>
        <v>0</v>
      </c>
      <c r="K214" s="53"/>
    </row>
    <row r="215" spans="1:11" x14ac:dyDescent="0.2">
      <c r="A215" s="42"/>
      <c r="B215" s="207" t="str">
        <f>IF(AND(TotNumDBCopiesServer&gt;COUNTA(B$123:B214),ValidationCheck=FALSE),IF(HAOption="Yes","DB-x",B214+1),"--")</f>
        <v>--</v>
      </c>
      <c r="C215" s="205">
        <f>IF(B215&lt;&gt;"--",IF(HAOption="Yes",IF(TotNumDBCopiesServer&gt;=COUNT(B$123:B215),IF(TotNumDBCopiesServer&lt;=COUNT(B$123:B215),IF(calcTotNumMBXPerSvr&gt;TotalMBXPerSvr,TotMBXPerDAG-SUM(C$123:C214),MBXPerDB),MBXPerDB)),IF(RecNumDBs&gt;=B215,IF(RecNumDBs&lt;=B215,IF(calcTotNumMBXPerSvr&gt;TotalMBXPerSvr,TotalMBXPerSvr-SUM(C$123:C214),MBXPerDB),MBXPerDB))),0)</f>
        <v>0</v>
      </c>
      <c r="D215" s="286">
        <f t="shared" si="22"/>
        <v>0</v>
      </c>
      <c r="E215" s="286">
        <f t="shared" si="23"/>
        <v>0</v>
      </c>
      <c r="F215" s="286">
        <f t="shared" si="24"/>
        <v>0</v>
      </c>
      <c r="G215" s="209"/>
      <c r="H215" s="829" t="str">
        <f t="shared" si="14"/>
        <v>--</v>
      </c>
      <c r="I215" s="801">
        <f t="shared" si="25"/>
        <v>0</v>
      </c>
      <c r="J215" s="303">
        <f t="shared" si="21"/>
        <v>0</v>
      </c>
      <c r="K215" s="53"/>
    </row>
    <row r="216" spans="1:11" x14ac:dyDescent="0.2">
      <c r="A216" s="42"/>
      <c r="B216" s="207" t="str">
        <f>IF(AND(TotNumDBCopiesServer&gt;COUNTA(B$123:B215),ValidationCheck=FALSE),IF(HAOption="Yes","DB-x",B215+1),"--")</f>
        <v>--</v>
      </c>
      <c r="C216" s="205">
        <f>IF(B216&lt;&gt;"--",IF(HAOption="Yes",IF(TotNumDBCopiesServer&gt;=COUNT(B$123:B216),IF(TotNumDBCopiesServer&lt;=COUNT(B$123:B216),IF(calcTotNumMBXPerSvr&gt;TotalMBXPerSvr,TotMBXPerDAG-SUM(C$123:C215),MBXPerDB),MBXPerDB)),IF(RecNumDBs&gt;=B216,IF(RecNumDBs&lt;=B216,IF(calcTotNumMBXPerSvr&gt;TotalMBXPerSvr,TotalMBXPerSvr-SUM(C$123:C215),MBXPerDB),MBXPerDB))),0)</f>
        <v>0</v>
      </c>
      <c r="D216" s="286">
        <f t="shared" si="22"/>
        <v>0</v>
      </c>
      <c r="E216" s="286">
        <f t="shared" si="23"/>
        <v>0</v>
      </c>
      <c r="F216" s="286">
        <f t="shared" si="24"/>
        <v>0</v>
      </c>
      <c r="G216" s="209"/>
      <c r="H216" s="828" t="str">
        <f t="shared" si="14"/>
        <v>--</v>
      </c>
      <c r="I216" s="800">
        <f t="shared" si="25"/>
        <v>0</v>
      </c>
      <c r="J216" s="302">
        <f t="shared" si="21"/>
        <v>0</v>
      </c>
      <c r="K216" s="53"/>
    </row>
    <row r="217" spans="1:11" x14ac:dyDescent="0.2">
      <c r="A217" s="42"/>
      <c r="B217" s="207" t="str">
        <f>IF(AND(TotNumDBCopiesServer&gt;COUNTA(B$123:B216),ValidationCheck=FALSE),IF(HAOption="Yes","DB-x",B216+1),"--")</f>
        <v>--</v>
      </c>
      <c r="C217" s="205">
        <f>IF(B217&lt;&gt;"--",IF(HAOption="Yes",IF(TotNumDBCopiesServer&gt;=COUNT(B$123:B217),IF(TotNumDBCopiesServer&lt;=COUNT(B$123:B217),IF(calcTotNumMBXPerSvr&gt;TotalMBXPerSvr,TotMBXPerDAG-SUM(C$123:C216),MBXPerDB),MBXPerDB)),IF(RecNumDBs&gt;=B217,IF(RecNumDBs&lt;=B217,IF(calcTotNumMBXPerSvr&gt;TotalMBXPerSvr,TotalMBXPerSvr-SUM(C$123:C216),MBXPerDB),MBXPerDB))),0)</f>
        <v>0</v>
      </c>
      <c r="D217" s="286">
        <f t="shared" si="22"/>
        <v>0</v>
      </c>
      <c r="E217" s="286">
        <f t="shared" si="23"/>
        <v>0</v>
      </c>
      <c r="F217" s="286">
        <f t="shared" si="24"/>
        <v>0</v>
      </c>
      <c r="G217" s="209"/>
      <c r="H217" s="829" t="str">
        <f t="shared" si="14"/>
        <v>--</v>
      </c>
      <c r="I217" s="801">
        <f t="shared" si="25"/>
        <v>0</v>
      </c>
      <c r="J217" s="303">
        <f t="shared" si="21"/>
        <v>0</v>
      </c>
      <c r="K217" s="53"/>
    </row>
    <row r="218" spans="1:11" x14ac:dyDescent="0.2">
      <c r="A218" s="42"/>
      <c r="B218" s="207" t="str">
        <f>IF(AND(TotNumDBCopiesServer&gt;COUNTA(B$123:B217),ValidationCheck=FALSE),IF(HAOption="Yes","DB-x",B217+1),"--")</f>
        <v>--</v>
      </c>
      <c r="C218" s="205">
        <f>IF(B218&lt;&gt;"--",IF(HAOption="Yes",IF(TotNumDBCopiesServer&gt;=COUNT(B$123:B218),IF(TotNumDBCopiesServer&lt;=COUNT(B$123:B218),IF(calcTotNumMBXPerSvr&gt;TotalMBXPerSvr,TotMBXPerDAG-SUM(C$123:C217),MBXPerDB),MBXPerDB)),IF(RecNumDBs&gt;=B218,IF(RecNumDBs&lt;=B218,IF(calcTotNumMBXPerSvr&gt;TotalMBXPerSvr,TotalMBXPerSvr-SUM(C$123:C217),MBXPerDB),MBXPerDB))),0)</f>
        <v>0</v>
      </c>
      <c r="D218" s="286">
        <f t="shared" si="22"/>
        <v>0</v>
      </c>
      <c r="E218" s="286">
        <f t="shared" si="23"/>
        <v>0</v>
      </c>
      <c r="F218" s="286">
        <f t="shared" si="24"/>
        <v>0</v>
      </c>
      <c r="G218" s="209"/>
      <c r="H218" s="828" t="str">
        <f t="shared" si="14"/>
        <v>--</v>
      </c>
      <c r="I218" s="800">
        <f t="shared" si="25"/>
        <v>0</v>
      </c>
      <c r="J218" s="302">
        <f t="shared" si="21"/>
        <v>0</v>
      </c>
      <c r="K218" s="53"/>
    </row>
    <row r="219" spans="1:11" x14ac:dyDescent="0.2">
      <c r="A219" s="42"/>
      <c r="B219" s="207" t="str">
        <f>IF(AND(TotNumDBCopiesServer&gt;COUNTA(B$123:B218),ValidationCheck=FALSE),IF(HAOption="Yes","DB-x",B218+1),"--")</f>
        <v>--</v>
      </c>
      <c r="C219" s="205">
        <f>IF(B219&lt;&gt;"--",IF(HAOption="Yes",IF(TotNumDBCopiesServer&gt;=COUNT(B$123:B219),IF(TotNumDBCopiesServer&lt;=COUNT(B$123:B219),IF(calcTotNumMBXPerSvr&gt;TotalMBXPerSvr,TotMBXPerDAG-SUM(C$123:C218),MBXPerDB),MBXPerDB)),IF(RecNumDBs&gt;=B219,IF(RecNumDBs&lt;=B219,IF(calcTotNumMBXPerSvr&gt;TotalMBXPerSvr,TotalMBXPerSvr-SUM(C$123:C218),MBXPerDB),MBXPerDB))),0)</f>
        <v>0</v>
      </c>
      <c r="D219" s="286">
        <f t="shared" si="22"/>
        <v>0</v>
      </c>
      <c r="E219" s="286">
        <f t="shared" si="23"/>
        <v>0</v>
      </c>
      <c r="F219" s="286">
        <f t="shared" si="24"/>
        <v>0</v>
      </c>
      <c r="G219" s="209"/>
      <c r="H219" s="829" t="str">
        <f t="shared" ref="H219:H222" si="26">IF(ValidationCheck=FALSE,IFERROR(IF(TotNumDBCopiesServer/NumDBPerVol&gt;ROW()-ROW(DBSet1),IF(OR(VolDesign=1,NumDBVol=1),CONCATENATE("DB",ROW()-ROW(DBSet1)+1),CONCATENATE("DB",ABS(ROW(DBSet1)-ROW()) * NumDBPerVol+1,"-DB",MIN(TotNumDBCopiesServer,(ABS(ROW(DBSet1)-ROW())+1) * NumDBPerVol))),"--"),"--"),"--")</f>
        <v>--</v>
      </c>
      <c r="I219" s="801">
        <f t="shared" si="25"/>
        <v>0</v>
      </c>
      <c r="J219" s="303">
        <f t="shared" ref="J219:J222" si="27">IF(OR(VolArchitecture="Multiple DBs / Volume",VolArchitecture="1 Volume / DB"),0,IF(H219="--",0,SUMIF(C$6:C$105,D102,F$123:F$222)/(1-VolGrowth)))</f>
        <v>0</v>
      </c>
      <c r="K219" s="53"/>
    </row>
    <row r="220" spans="1:11" x14ac:dyDescent="0.2">
      <c r="A220" s="42"/>
      <c r="B220" s="207" t="str">
        <f>IF(AND(TotNumDBCopiesServer&gt;COUNTA(B$123:B219),ValidationCheck=FALSE),IF(HAOption="Yes","DB-x",B219+1),"--")</f>
        <v>--</v>
      </c>
      <c r="C220" s="205">
        <f>IF(B220&lt;&gt;"--",IF(HAOption="Yes",IF(TotNumDBCopiesServer&gt;=COUNT(B$123:B220),IF(TotNumDBCopiesServer&lt;=COUNT(B$123:B220),IF(calcTotNumMBXPerSvr&gt;TotalMBXPerSvr,TotMBXPerDAG-SUM(C$123:C219),MBXPerDB),MBXPerDB)),IF(RecNumDBs&gt;=B220,IF(RecNumDBs&lt;=B220,IF(calcTotNumMBXPerSvr&gt;TotalMBXPerSvr,TotalMBXPerSvr-SUM(C$123:C219),MBXPerDB),MBXPerDB))),0)</f>
        <v>0</v>
      </c>
      <c r="D220" s="286">
        <f>IF(C220=0,0,(C220*((Tier1MBXRatio*Tier1MBXSize)+(Tier3MBXRatio*Tier3MBXSize)+(Tier2MBXRatio*Tier2MBXSize)+(Tier4MBXRatio*Tier4MBXSize)))/1024)</f>
        <v>0</v>
      </c>
      <c r="E220" s="286">
        <f>IF(B220&lt;&gt;"--",D220*(1+DataGrowth),0)</f>
        <v>0</v>
      </c>
      <c r="F220" s="286">
        <f t="shared" si="24"/>
        <v>0</v>
      </c>
      <c r="G220" s="209"/>
      <c r="H220" s="828" t="str">
        <f t="shared" si="26"/>
        <v>--</v>
      </c>
      <c r="I220" s="800">
        <f t="shared" si="25"/>
        <v>0</v>
      </c>
      <c r="J220" s="302">
        <f t="shared" si="27"/>
        <v>0</v>
      </c>
      <c r="K220" s="53"/>
    </row>
    <row r="221" spans="1:11" x14ac:dyDescent="0.2">
      <c r="A221" s="42"/>
      <c r="B221" s="207" t="str">
        <f>IF(AND(TotNumDBCopiesServer&gt;COUNTA(B$123:B220),ValidationCheck=FALSE),IF(HAOption="Yes","DB-x",B220+1),"--")</f>
        <v>--</v>
      </c>
      <c r="C221" s="205">
        <f>IF(B221&lt;&gt;"--",IF(HAOption="Yes",IF(TotNumDBCopiesServer&gt;=COUNT(B$123:B221),IF(TotNumDBCopiesServer&lt;=COUNT(B$123:B221),IF(calcTotNumMBXPerSvr&gt;TotalMBXPerSvr,TotMBXPerDAG-SUM(C$123:C220),MBXPerDB),MBXPerDB)),IF(RecNumDBs&gt;=B221,IF(RecNumDBs&lt;=B221,IF(calcTotNumMBXPerSvr&gt;TotalMBXPerSvr,TotalMBXPerSvr-SUM(C$123:C220),MBXPerDB),MBXPerDB))),0)</f>
        <v>0</v>
      </c>
      <c r="D221" s="286">
        <f>IF(C221=0,0,(C221*((Tier1MBXRatio*Tier1MBXSize)+(Tier3MBXRatio*Tier3MBXSize)+(Tier2MBXRatio*Tier2MBXSize)+(Tier4MBXRatio*Tier4MBXSize)))/1024)</f>
        <v>0</v>
      </c>
      <c r="E221" s="286">
        <f>IF(B221&lt;&gt;"--",D221*(1+DataGrowth),0)</f>
        <v>0</v>
      </c>
      <c r="F221" s="286">
        <f t="shared" si="24"/>
        <v>0</v>
      </c>
      <c r="G221" s="209"/>
      <c r="H221" s="829" t="str">
        <f t="shared" si="26"/>
        <v>--</v>
      </c>
      <c r="I221" s="801">
        <f t="shared" si="25"/>
        <v>0</v>
      </c>
      <c r="J221" s="303">
        <f t="shared" si="27"/>
        <v>0</v>
      </c>
      <c r="K221" s="53"/>
    </row>
    <row r="222" spans="1:11" ht="15.75" thickBot="1" x14ac:dyDescent="0.25">
      <c r="A222" s="42"/>
      <c r="B222" s="207" t="str">
        <f>IF(AND(TotNumDBCopiesServer&gt;COUNTA(B$123:B221),ValidationCheck=FALSE),IF(HAOption="Yes","DB-x",B221+1),"--")</f>
        <v>--</v>
      </c>
      <c r="C222" s="483">
        <f>IF(B222&lt;&gt;"--",IF(HAOption="Yes",IF(TotNumDBCopiesServer&gt;=COUNT(B$123:B222),IF(TotNumDBCopiesServer&lt;=COUNT(B$123:B222),IF(calcTotNumMBXPerSvr&gt;TotalMBXPerSvr,TotMBXPerDAG-SUM(C$123:C221),MBXPerDB),MBXPerDB)),IF(RecNumDBs&gt;=B222,IF(RecNumDBs&lt;=B222,IF(calcTotNumMBXPerSvr&gt;TotalMBXPerSvr,TotalMBXPerSvr-SUM(C$123:C221),MBXPerDB),MBXPerDB))),0)</f>
        <v>0</v>
      </c>
      <c r="D222" s="484">
        <f>IF(C222=0,0,(C222*((Tier1MBXRatio*Tier1MBXSize)+(Tier3MBXRatio*Tier3MBXSize)+(Tier2MBXRatio*Tier2MBXSize)+(Tier4MBXRatio*Tier4MBXSize)))/1024)</f>
        <v>0</v>
      </c>
      <c r="E222" s="484">
        <f>IF(B222&lt;&gt;"--",D222*(1+DataGrowth),0)</f>
        <v>0</v>
      </c>
      <c r="F222" s="484">
        <f t="shared" si="24"/>
        <v>0</v>
      </c>
      <c r="G222" s="209"/>
      <c r="H222" s="828" t="str">
        <f t="shared" si="26"/>
        <v>--</v>
      </c>
      <c r="I222" s="802">
        <f t="shared" si="25"/>
        <v>0</v>
      </c>
      <c r="J222" s="485">
        <f t="shared" si="27"/>
        <v>0</v>
      </c>
      <c r="K222" s="53"/>
    </row>
    <row r="223" spans="1:11" ht="15.75" thickTop="1" x14ac:dyDescent="0.2">
      <c r="A223" s="42"/>
      <c r="B223" s="481" t="s">
        <v>554</v>
      </c>
      <c r="C223" s="486" t="str">
        <f>IF(HAOption="Yes","--",SUM(C123:C222))</f>
        <v>--</v>
      </c>
      <c r="D223" s="487">
        <f>SUM(D123:D222)</f>
        <v>23928.22265625</v>
      </c>
      <c r="E223" s="487">
        <f>SUM(E123:E222)</f>
        <v>23928.22265625</v>
      </c>
      <c r="F223" s="487">
        <f>SUM(F123:F222)</f>
        <v>854.5166015625</v>
      </c>
      <c r="G223" s="209"/>
      <c r="H223" s="490" t="s">
        <v>554</v>
      </c>
      <c r="I223" s="491">
        <f>SUM(I123:I222)</f>
        <v>32383.994654605263</v>
      </c>
      <c r="J223" s="492">
        <f>SUM(J123:J222)</f>
        <v>0</v>
      </c>
      <c r="K223" s="53"/>
    </row>
    <row r="224" spans="1:11" x14ac:dyDescent="0.2">
      <c r="A224" s="42"/>
      <c r="B224" s="488" t="s">
        <v>555</v>
      </c>
      <c r="C224" s="486">
        <f>IF(AND(HAOption="Yes",ValidationCheck=FALSE),TotMBXPerDAG,"--")</f>
        <v>4500</v>
      </c>
      <c r="D224" s="489">
        <f>IF(AND(ValidationCheck=FALSE,HAOption="Yes"), DBSize*TotNumDBCopiesDAG,"--")</f>
        <v>191425.78125</v>
      </c>
      <c r="E224" s="489">
        <f>IF(AND(ValidationCheck=FALSE,HAOption="Yes"), DBSizeOverhead*TotNumDBCopiesDAG,"--")</f>
        <v>191425.78125</v>
      </c>
      <c r="F224" s="489">
        <f>IF(AND(ValidationCheck=FALSE,HAOption="Yes"), LogSizeOverhead*TotNumDBCopiesDAG,"--")</f>
        <v>6836.1328125</v>
      </c>
      <c r="G224" s="209"/>
      <c r="H224" s="493" t="s">
        <v>555</v>
      </c>
      <c r="I224" s="494">
        <f>IF(AND(ValidationCheck=FALSE,HAOption="Yes"),IF(VolArchitecture&lt;&gt;"2 Volumes / Backup Set",DBVolSize*TotNumDBCopiesDAG/NumDBPerVol,SUM(I123:I222)*totNumMBXServersPerDag),"--")</f>
        <v>259071.95723684211</v>
      </c>
      <c r="J224" s="495">
        <f>IF(AND(ValidationCheck=FALSE,HAOption="Yes"),IF(VolArchitecture&lt;&gt;"2 Volumes / Backup Set",LogVolSize*TotNumDBCopiesDAG,SUM(J123:J222)*totNumMBXServersPerDag),"--")</f>
        <v>0</v>
      </c>
      <c r="K224" s="53"/>
    </row>
    <row r="225" spans="1:11" x14ac:dyDescent="0.2">
      <c r="A225" s="42"/>
      <c r="B225" s="488" t="s">
        <v>556</v>
      </c>
      <c r="C225" s="486">
        <f>IF(HAOption="Yes",IF(ValidationCheck=FALSE,TotMBXPerDAG*calcNumDAGs,"--"),C223*numMBXServers)</f>
        <v>45000</v>
      </c>
      <c r="D225" s="489">
        <f>IF(ValidationCheck=FALSE,IF(HAOption="Yes", D224*calcNumDAGs,D223*numMBXServers),"--")</f>
        <v>1914257.8125</v>
      </c>
      <c r="E225" s="489">
        <f>IF(ValidationCheck=FALSE,IF(HAOption="Yes", E224*calcNumDAGs,E223*numMBXServers),"--")</f>
        <v>1914257.8125</v>
      </c>
      <c r="F225" s="489">
        <f>IF(ValidationCheck=FALSE,IF(HAOption="Yes", F224*calcNumDAGs,F223*numMBXServers),"--")</f>
        <v>68361.328125</v>
      </c>
      <c r="G225" s="209"/>
      <c r="H225" s="490" t="s">
        <v>556</v>
      </c>
      <c r="I225" s="738">
        <f>IF(ValidationCheck=FALSE,IF(HAOption="Yes", I224*calcNumDAGs,I223*numMBXServers),"--")</f>
        <v>2590719.5723684211</v>
      </c>
      <c r="J225" s="737">
        <f>IF(ValidationCheck=FALSE,IF(HAOption="Yes", J224*calcNumDAGs,J223*numMBXServers),"--")</f>
        <v>0</v>
      </c>
      <c r="K225" s="53"/>
    </row>
    <row r="226" spans="1:11" ht="15.75" thickBot="1" x14ac:dyDescent="0.25">
      <c r="A226" s="42"/>
      <c r="B226" s="142"/>
      <c r="C226" s="142"/>
      <c r="D226" s="142"/>
      <c r="E226" s="142"/>
      <c r="F226" s="142"/>
      <c r="G226" s="142"/>
      <c r="H226" s="142"/>
      <c r="I226" s="142"/>
      <c r="J226" s="210"/>
    </row>
    <row r="227" spans="1:11" x14ac:dyDescent="0.2">
      <c r="E227" s="54"/>
    </row>
  </sheetData>
  <mergeCells count="14">
    <mergeCell ref="B112:E112"/>
    <mergeCell ref="H114:I118"/>
    <mergeCell ref="H121:J121"/>
    <mergeCell ref="B121:F121"/>
    <mergeCell ref="B1:J1"/>
    <mergeCell ref="B107:J107"/>
    <mergeCell ref="B3:J3"/>
    <mergeCell ref="B114:D114"/>
    <mergeCell ref="B115:D115"/>
    <mergeCell ref="B116:D116"/>
    <mergeCell ref="B118:D118"/>
    <mergeCell ref="B119:D119"/>
    <mergeCell ref="B113:D113"/>
    <mergeCell ref="B117:D117"/>
  </mergeCells>
  <phoneticPr fontId="22" type="noConversion"/>
  <conditionalFormatting sqref="H114:I118">
    <cfRule type="expression" dxfId="158" priority="1">
      <formula>IF(HAOption="Yes",TRUE,FALSE)</formula>
    </cfRule>
  </conditionalFormatting>
  <pageMargins left="0.75" right="0.75" top="1" bottom="1" header="0.5" footer="0.5"/>
  <pageSetup scale="33" orientation="portrait" r:id="rId1"/>
  <headerFooter alignWithMargins="0"/>
  <colBreaks count="1" manualBreakCount="1">
    <brk id="10" max="1048575" man="1"/>
  </colBreaks>
  <legacyDrawing r:id="rId2"/>
  <tableParts count="5">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88"/>
  <sheetViews>
    <sheetView showGridLines="0" showRowColHeaders="0" zoomScale="85" zoomScaleNormal="85" workbookViewId="0">
      <selection activeCell="B1" sqref="B1:K1"/>
    </sheetView>
  </sheetViews>
  <sheetFormatPr defaultColWidth="9.140625" defaultRowHeight="15" outlineLevelRow="1" x14ac:dyDescent="0.2"/>
  <cols>
    <col min="1" max="1" width="3.42578125" style="35" customWidth="1"/>
    <col min="2" max="2" width="33.5703125" style="35" customWidth="1"/>
    <col min="3" max="3" width="19.85546875" style="35" customWidth="1"/>
    <col min="4" max="4" width="13.5703125" style="35" bestFit="1" customWidth="1"/>
    <col min="5" max="5" width="15" style="35" bestFit="1" customWidth="1"/>
    <col min="6" max="6" width="13.5703125" style="35" bestFit="1" customWidth="1"/>
    <col min="7" max="7" width="12.28515625" style="35" bestFit="1" customWidth="1"/>
    <col min="8" max="9" width="13.5703125" style="35" bestFit="1" customWidth="1"/>
    <col min="10" max="10" width="7.5703125" style="35" bestFit="1" customWidth="1"/>
    <col min="11" max="16384" width="9.140625" style="35"/>
  </cols>
  <sheetData>
    <row r="1" spans="1:16" x14ac:dyDescent="0.2">
      <c r="B1" s="1167" t="s">
        <v>272</v>
      </c>
      <c r="C1" s="1168"/>
      <c r="D1" s="1168"/>
      <c r="E1" s="1168"/>
      <c r="F1" s="1168"/>
      <c r="G1" s="1168"/>
      <c r="H1" s="1168"/>
      <c r="I1" s="1168"/>
      <c r="J1" s="1168"/>
      <c r="K1" s="1169"/>
    </row>
    <row r="2" spans="1:16" x14ac:dyDescent="0.2">
      <c r="B2" s="56"/>
      <c r="C2" s="34"/>
      <c r="D2" s="34"/>
      <c r="E2" s="34"/>
      <c r="F2" s="34"/>
      <c r="G2" s="34"/>
      <c r="H2" s="34"/>
      <c r="I2" s="289"/>
      <c r="J2" s="53"/>
      <c r="K2" s="42"/>
    </row>
    <row r="3" spans="1:16" x14ac:dyDescent="0.2">
      <c r="B3" s="1199" t="s">
        <v>89</v>
      </c>
      <c r="C3" s="1170"/>
      <c r="D3" s="1170"/>
      <c r="E3" s="1170"/>
      <c r="F3" s="1170"/>
      <c r="G3" s="1170"/>
      <c r="H3" s="1170"/>
      <c r="I3" s="1170"/>
      <c r="J3" s="1170"/>
      <c r="K3" s="1170"/>
      <c r="L3" s="41"/>
    </row>
    <row r="4" spans="1:16" customFormat="1" ht="12.75" hidden="1" customHeight="1" outlineLevel="1" x14ac:dyDescent="0.2">
      <c r="A4" s="272"/>
      <c r="B4" s="452"/>
      <c r="C4" s="452"/>
      <c r="D4" s="452"/>
      <c r="E4" s="452"/>
      <c r="F4" s="452"/>
      <c r="G4" s="452"/>
      <c r="H4" s="452"/>
      <c r="I4" s="452"/>
      <c r="J4" s="1"/>
      <c r="K4" s="453"/>
    </row>
    <row r="5" spans="1:16" collapsed="1" x14ac:dyDescent="0.25">
      <c r="A5" s="42"/>
      <c r="B5" s="82"/>
      <c r="C5" s="33"/>
      <c r="D5" s="33"/>
      <c r="E5" s="33"/>
      <c r="F5" s="33"/>
      <c r="G5" s="61"/>
      <c r="H5" s="61"/>
      <c r="I5" s="61"/>
      <c r="J5" s="61"/>
      <c r="K5" s="82"/>
      <c r="L5" s="41"/>
    </row>
    <row r="6" spans="1:16" x14ac:dyDescent="0.2">
      <c r="A6" s="42"/>
      <c r="B6" s="1172" t="s">
        <v>509</v>
      </c>
      <c r="C6" s="1171"/>
      <c r="D6" s="1171"/>
      <c r="E6" s="1171"/>
      <c r="F6" s="1171"/>
      <c r="G6" s="1171"/>
      <c r="H6" s="1171"/>
      <c r="I6" s="1171"/>
      <c r="J6" s="1171"/>
      <c r="K6" s="1173"/>
    </row>
    <row r="7" spans="1:16" x14ac:dyDescent="0.25">
      <c r="A7" s="42"/>
      <c r="B7" s="213"/>
      <c r="C7" s="57"/>
      <c r="D7" s="58"/>
      <c r="E7" s="58"/>
      <c r="F7" s="218"/>
      <c r="G7" s="59"/>
      <c r="H7" s="59"/>
      <c r="I7" s="59"/>
      <c r="J7" s="53"/>
      <c r="K7" s="42"/>
    </row>
    <row r="8" spans="1:16" ht="15.75" customHeight="1" thickBot="1" x14ac:dyDescent="0.3">
      <c r="A8" s="42"/>
      <c r="B8" s="1208" t="s">
        <v>13</v>
      </c>
      <c r="C8" s="1184"/>
      <c r="D8" s="1184"/>
      <c r="E8" s="58"/>
      <c r="F8" s="1200" t="s">
        <v>852</v>
      </c>
      <c r="G8" s="1200"/>
      <c r="H8" s="1200"/>
      <c r="I8" s="1200"/>
      <c r="J8" s="1200"/>
      <c r="K8" s="42"/>
    </row>
    <row r="9" spans="1:16" x14ac:dyDescent="0.25">
      <c r="A9" s="42"/>
      <c r="B9" s="808" t="s">
        <v>851</v>
      </c>
      <c r="C9" s="1202">
        <f>IF(ValidationCheck=FALSE,NumDBPerVol,"--")</f>
        <v>4</v>
      </c>
      <c r="D9" s="1203"/>
      <c r="E9" s="58"/>
      <c r="F9" s="1200"/>
      <c r="G9" s="1200"/>
      <c r="H9" s="1200"/>
      <c r="I9" s="1200"/>
      <c r="J9" s="1200"/>
      <c r="K9" s="42"/>
    </row>
    <row r="10" spans="1:16" x14ac:dyDescent="0.25">
      <c r="A10" s="42"/>
      <c r="B10" s="258" t="s">
        <v>19</v>
      </c>
      <c r="C10" s="1204" t="str">
        <f>IF(ValidationCheck=FALSE,BackupMethod,"--")</f>
        <v>Exchange Native Data Protection</v>
      </c>
      <c r="D10" s="1205"/>
      <c r="E10" s="58"/>
      <c r="F10" s="1200"/>
      <c r="G10" s="1200"/>
      <c r="H10" s="1200"/>
      <c r="I10" s="1200"/>
      <c r="J10" s="1200"/>
      <c r="K10" s="42"/>
    </row>
    <row r="11" spans="1:16" x14ac:dyDescent="0.25">
      <c r="A11" s="42"/>
      <c r="B11" s="259" t="s">
        <v>24</v>
      </c>
      <c r="C11" s="1206" t="str">
        <f>IF(ValidationCheck=FALSE,IF(BackupMethod="Exchange Native Data Protection","--",BackupFreq),"--")</f>
        <v>--</v>
      </c>
      <c r="D11" s="1207"/>
      <c r="E11" s="58"/>
      <c r="F11" s="1200"/>
      <c r="G11" s="1200"/>
      <c r="H11" s="1200"/>
      <c r="I11" s="1200"/>
      <c r="J11" s="1200"/>
      <c r="K11" s="42"/>
    </row>
    <row r="12" spans="1:16" x14ac:dyDescent="0.25">
      <c r="A12" s="42"/>
      <c r="B12"/>
      <c r="C12"/>
      <c r="D12" s="214"/>
      <c r="E12" s="214"/>
      <c r="F12" s="218"/>
      <c r="G12" s="55"/>
      <c r="H12" s="55"/>
      <c r="I12" s="455"/>
      <c r="J12" s="53"/>
      <c r="K12" s="42"/>
    </row>
    <row r="13" spans="1:16" x14ac:dyDescent="0.25">
      <c r="B13" s="1186" t="s">
        <v>510</v>
      </c>
      <c r="C13" s="1201"/>
      <c r="D13" s="1201"/>
      <c r="E13" s="1201"/>
      <c r="F13" s="1201"/>
      <c r="G13" s="1201"/>
      <c r="H13" s="1201"/>
      <c r="I13" s="1201"/>
      <c r="J13" s="53"/>
      <c r="K13" s="42"/>
      <c r="P13" s="53"/>
    </row>
    <row r="14" spans="1:16" x14ac:dyDescent="0.2">
      <c r="B14" s="217" t="s">
        <v>205</v>
      </c>
      <c r="C14" s="204" t="s">
        <v>82</v>
      </c>
      <c r="D14" s="204" t="s">
        <v>83</v>
      </c>
      <c r="E14" s="204" t="s">
        <v>84</v>
      </c>
      <c r="F14" s="204" t="s">
        <v>88</v>
      </c>
      <c r="G14" s="204" t="s">
        <v>85</v>
      </c>
      <c r="H14" s="204" t="s">
        <v>86</v>
      </c>
      <c r="I14" s="204" t="s">
        <v>87</v>
      </c>
      <c r="J14" s="53"/>
      <c r="K14" s="42"/>
    </row>
    <row r="15" spans="1:16" x14ac:dyDescent="0.2">
      <c r="A15" s="42"/>
      <c r="B15" s="207" t="str">
        <f>IF(ValidationCheck=FALSE,IF(BackupMethod="Exchange Native Data Protection","--",1),"--")</f>
        <v>--</v>
      </c>
      <c r="C15" s="205"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v>
      </c>
      <c r="D15" s="205" t="str">
        <f t="shared" ref="D15:I15" si="0">IF($B15="--","--",IF(BackupFreq="Daily Full","Full",IF(BackupFreq="Weekly Full / Daily Incremental","Incremental","Differential")))</f>
        <v>--</v>
      </c>
      <c r="E15" s="205" t="str">
        <f t="shared" si="0"/>
        <v>--</v>
      </c>
      <c r="F15" s="205" t="str">
        <f>IF($B15="--","--",IF(BackupFreq="Daily Full","Full",IF(BackupFreq="Weekly Full / Daily Incremental","Incremental","Differential")))</f>
        <v>--</v>
      </c>
      <c r="G15" s="205" t="str">
        <f t="shared" si="0"/>
        <v>--</v>
      </c>
      <c r="H15" s="205" t="str">
        <f t="shared" si="0"/>
        <v>--</v>
      </c>
      <c r="I15" s="205" t="str">
        <f t="shared" si="0"/>
        <v>--</v>
      </c>
      <c r="J15" s="53"/>
      <c r="K15" s="42"/>
    </row>
    <row r="16" spans="1:16" x14ac:dyDescent="0.2">
      <c r="A16" s="42"/>
      <c r="B16" s="207" t="str">
        <f>IF(BackupMethod="Exchange Native Data Protection","--",IF(TotNumDBCopiesServer&gt;COUNTA(B$15:B15),B15+1,"--"))</f>
        <v>--</v>
      </c>
      <c r="C16" s="205"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v>
      </c>
      <c r="D16" s="205" t="str">
        <f t="shared" ref="D16:D47" si="1">IF($B16="--","--",IF(BackupFreq="Daily Full","Full",IF(AND($C15="Full",ROW(D16)&lt;&gt;ROW($C15)),"Full",IF(BackupFreq="Weekly Full / Daily Incremental","Incremental","Differential"))))</f>
        <v>--</v>
      </c>
      <c r="E16" s="205" t="str">
        <f t="shared" ref="E16:E47" si="2">IF($B16="--","--",IF(BackupFreq="Daily Full","Full",IF(AND(D16="Full",ROW(E16)=ROW(D16)),IF(BackupFreq="Weekly Full / Daily Incremental","Incremental","Differential"),IF(AND($D15="Full",ROW(E16)&lt;&gt;ROW($D15)),"Full",IF(BackupFreq="Weekly Full / Daily Incremental","Incremental","Differential")))))</f>
        <v>--</v>
      </c>
      <c r="F16" s="205"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v>
      </c>
      <c r="G16" s="205"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v>
      </c>
      <c r="H16" s="205"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v>
      </c>
      <c r="I16" s="205"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v>
      </c>
      <c r="J16" s="53"/>
      <c r="K16" s="42"/>
    </row>
    <row r="17" spans="1:16" x14ac:dyDescent="0.2">
      <c r="A17" s="42"/>
      <c r="B17" s="207" t="str">
        <f>IF(BackupMethod="Exchange Native Data Protection","--",IF(TotNumDBCopiesServer&gt;COUNTA(B$15:B16),B16+1,"--"))</f>
        <v>--</v>
      </c>
      <c r="C17" s="205"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v>
      </c>
      <c r="D17" s="205" t="str">
        <f t="shared" si="1"/>
        <v>--</v>
      </c>
      <c r="E17" s="205" t="str">
        <f t="shared" si="2"/>
        <v>--</v>
      </c>
      <c r="F17" s="205" t="str">
        <f t="shared" si="3"/>
        <v>--</v>
      </c>
      <c r="G17" s="205" t="str">
        <f t="shared" si="4"/>
        <v>--</v>
      </c>
      <c r="H17" s="205" t="str">
        <f t="shared" si="5"/>
        <v>--</v>
      </c>
      <c r="I17" s="205" t="str">
        <f t="shared" si="6"/>
        <v>--</v>
      </c>
      <c r="J17" s="53"/>
      <c r="K17" s="42"/>
    </row>
    <row r="18" spans="1:16" x14ac:dyDescent="0.2">
      <c r="A18" s="42"/>
      <c r="B18" s="207" t="str">
        <f>IF(BackupMethod="Exchange Native Data Protection","--",IF(TotNumDBCopiesServer&gt;COUNTA(B$15:B17),B17+1,"--"))</f>
        <v>--</v>
      </c>
      <c r="C18" s="205"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v>
      </c>
      <c r="D18" s="205" t="str">
        <f t="shared" si="1"/>
        <v>--</v>
      </c>
      <c r="E18" s="205" t="str">
        <f t="shared" si="2"/>
        <v>--</v>
      </c>
      <c r="F18" s="205" t="str">
        <f t="shared" si="3"/>
        <v>--</v>
      </c>
      <c r="G18" s="205" t="str">
        <f t="shared" si="4"/>
        <v>--</v>
      </c>
      <c r="H18" s="205" t="str">
        <f t="shared" si="5"/>
        <v>--</v>
      </c>
      <c r="I18" s="205" t="str">
        <f t="shared" si="6"/>
        <v>--</v>
      </c>
      <c r="J18" s="53"/>
      <c r="K18" s="42"/>
      <c r="P18" s="53"/>
    </row>
    <row r="19" spans="1:16" x14ac:dyDescent="0.2">
      <c r="A19" s="42"/>
      <c r="B19" s="207" t="str">
        <f>IF(BackupMethod="Exchange Native Data Protection","--",IF(TotNumDBCopiesServer&gt;COUNTA(B$15:B18),B18+1,"--"))</f>
        <v>--</v>
      </c>
      <c r="C19" s="205"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v>
      </c>
      <c r="D19" s="205" t="str">
        <f t="shared" si="1"/>
        <v>--</v>
      </c>
      <c r="E19" s="205" t="str">
        <f t="shared" si="2"/>
        <v>--</v>
      </c>
      <c r="F19" s="205" t="str">
        <f t="shared" si="3"/>
        <v>--</v>
      </c>
      <c r="G19" s="205" t="str">
        <f t="shared" si="4"/>
        <v>--</v>
      </c>
      <c r="H19" s="205" t="str">
        <f t="shared" si="5"/>
        <v>--</v>
      </c>
      <c r="I19" s="205" t="str">
        <f t="shared" si="6"/>
        <v>--</v>
      </c>
      <c r="J19" s="53"/>
      <c r="K19" s="42"/>
    </row>
    <row r="20" spans="1:16" x14ac:dyDescent="0.2">
      <c r="A20" s="42"/>
      <c r="B20" s="207" t="str">
        <f>IF(BackupMethod="Exchange Native Data Protection","--",IF(TotNumDBCopiesServer&gt;COUNTA(B$15:B19),B19+1,"--"))</f>
        <v>--</v>
      </c>
      <c r="C20" s="205" t="str">
        <f t="shared" si="7"/>
        <v>--</v>
      </c>
      <c r="D20" s="205" t="str">
        <f t="shared" si="1"/>
        <v>--</v>
      </c>
      <c r="E20" s="205" t="str">
        <f t="shared" si="2"/>
        <v>--</v>
      </c>
      <c r="F20" s="205" t="str">
        <f t="shared" si="3"/>
        <v>--</v>
      </c>
      <c r="G20" s="205" t="str">
        <f t="shared" si="4"/>
        <v>--</v>
      </c>
      <c r="H20" s="205" t="str">
        <f t="shared" si="5"/>
        <v>--</v>
      </c>
      <c r="I20" s="205" t="str">
        <f t="shared" si="6"/>
        <v>--</v>
      </c>
      <c r="J20" s="53"/>
      <c r="K20" s="42"/>
    </row>
    <row r="21" spans="1:16" x14ac:dyDescent="0.2">
      <c r="A21" s="42"/>
      <c r="B21" s="207" t="str">
        <f>IF(BackupMethod="Exchange Native Data Protection","--",IF(TotNumDBCopiesServer&gt;COUNTA(B$15:B20),B20+1,"--"))</f>
        <v>--</v>
      </c>
      <c r="C21" s="205" t="str">
        <f t="shared" si="7"/>
        <v>--</v>
      </c>
      <c r="D21" s="205" t="str">
        <f t="shared" si="1"/>
        <v>--</v>
      </c>
      <c r="E21" s="205" t="str">
        <f t="shared" si="2"/>
        <v>--</v>
      </c>
      <c r="F21" s="205" t="str">
        <f t="shared" si="3"/>
        <v>--</v>
      </c>
      <c r="G21" s="205" t="str">
        <f t="shared" si="4"/>
        <v>--</v>
      </c>
      <c r="H21" s="205" t="str">
        <f t="shared" si="5"/>
        <v>--</v>
      </c>
      <c r="I21" s="205" t="str">
        <f t="shared" si="6"/>
        <v>--</v>
      </c>
      <c r="J21" s="53"/>
      <c r="K21" s="42"/>
    </row>
    <row r="22" spans="1:16" x14ac:dyDescent="0.2">
      <c r="A22" s="42"/>
      <c r="B22" s="207" t="str">
        <f>IF(BackupMethod="Exchange Native Data Protection","--",IF(TotNumDBCopiesServer&gt;COUNTA(B$15:B21),B21+1,"--"))</f>
        <v>--</v>
      </c>
      <c r="C22" s="205"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v>
      </c>
      <c r="D22" s="205" t="str">
        <f t="shared" si="1"/>
        <v>--</v>
      </c>
      <c r="E22" s="205" t="str">
        <f t="shared" si="2"/>
        <v>--</v>
      </c>
      <c r="F22" s="205" t="str">
        <f t="shared" si="3"/>
        <v>--</v>
      </c>
      <c r="G22" s="205" t="str">
        <f t="shared" si="4"/>
        <v>--</v>
      </c>
      <c r="H22" s="205" t="str">
        <f t="shared" si="5"/>
        <v>--</v>
      </c>
      <c r="I22" s="205" t="str">
        <f t="shared" si="6"/>
        <v>--</v>
      </c>
      <c r="J22" s="53"/>
      <c r="K22" s="42"/>
    </row>
    <row r="23" spans="1:16" x14ac:dyDescent="0.2">
      <c r="A23" s="42"/>
      <c r="B23" s="207" t="str">
        <f>IF(BackupMethod="Exchange Native Data Protection","--",IF(TotNumDBCopiesServer&gt;COUNTA(B$15:B22),B22+1,"--"))</f>
        <v>--</v>
      </c>
      <c r="C23" s="205"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v>
      </c>
      <c r="D23" s="205" t="str">
        <f t="shared" si="1"/>
        <v>--</v>
      </c>
      <c r="E23" s="205" t="str">
        <f t="shared" si="2"/>
        <v>--</v>
      </c>
      <c r="F23" s="205" t="str">
        <f t="shared" si="3"/>
        <v>--</v>
      </c>
      <c r="G23" s="205" t="str">
        <f t="shared" si="4"/>
        <v>--</v>
      </c>
      <c r="H23" s="205" t="str">
        <f t="shared" si="5"/>
        <v>--</v>
      </c>
      <c r="I23" s="205" t="str">
        <f t="shared" si="6"/>
        <v>--</v>
      </c>
      <c r="J23" s="53"/>
      <c r="K23" s="42"/>
    </row>
    <row r="24" spans="1:16" x14ac:dyDescent="0.2">
      <c r="A24" s="42"/>
      <c r="B24" s="207" t="str">
        <f>IF(BackupMethod="Exchange Native Data Protection","--",IF(TotNumDBCopiesServer&gt;COUNTA(B$15:B23),B23+1,"--"))</f>
        <v>--</v>
      </c>
      <c r="C24" s="205" t="str">
        <f t="shared" si="7"/>
        <v>--</v>
      </c>
      <c r="D24" s="205" t="str">
        <f t="shared" si="1"/>
        <v>--</v>
      </c>
      <c r="E24" s="205" t="str">
        <f t="shared" si="2"/>
        <v>--</v>
      </c>
      <c r="F24" s="205" t="str">
        <f t="shared" si="3"/>
        <v>--</v>
      </c>
      <c r="G24" s="205" t="str">
        <f t="shared" si="4"/>
        <v>--</v>
      </c>
      <c r="H24" s="205" t="str">
        <f t="shared" si="5"/>
        <v>--</v>
      </c>
      <c r="I24" s="205" t="str">
        <f t="shared" si="6"/>
        <v>--</v>
      </c>
      <c r="J24" s="53"/>
      <c r="K24" s="42"/>
    </row>
    <row r="25" spans="1:16" x14ac:dyDescent="0.2">
      <c r="A25" s="42"/>
      <c r="B25" s="207" t="str">
        <f>IF(BackupMethod="Exchange Native Data Protection","--",IF(TotNumDBCopiesServer&gt;COUNTA(B$15:B24),B24+1,"--"))</f>
        <v>--</v>
      </c>
      <c r="C25" s="205" t="str">
        <f t="shared" si="7"/>
        <v>--</v>
      </c>
      <c r="D25" s="205" t="str">
        <f t="shared" si="1"/>
        <v>--</v>
      </c>
      <c r="E25" s="205" t="str">
        <f t="shared" si="2"/>
        <v>--</v>
      </c>
      <c r="F25" s="205" t="str">
        <f t="shared" si="3"/>
        <v>--</v>
      </c>
      <c r="G25" s="205" t="str">
        <f t="shared" si="4"/>
        <v>--</v>
      </c>
      <c r="H25" s="205" t="str">
        <f t="shared" si="5"/>
        <v>--</v>
      </c>
      <c r="I25" s="205" t="str">
        <f t="shared" si="6"/>
        <v>--</v>
      </c>
      <c r="J25" s="53"/>
      <c r="K25" s="42"/>
    </row>
    <row r="26" spans="1:16" x14ac:dyDescent="0.2">
      <c r="A26" s="42"/>
      <c r="B26" s="207" t="str">
        <f>IF(BackupMethod="Exchange Native Data Protection","--",IF(TotNumDBCopiesServer&gt;COUNTA(B$15:B25),B25+1,"--"))</f>
        <v>--</v>
      </c>
      <c r="C26" s="205" t="str">
        <f t="shared" si="7"/>
        <v>--</v>
      </c>
      <c r="D26" s="205" t="str">
        <f t="shared" si="1"/>
        <v>--</v>
      </c>
      <c r="E26" s="205" t="str">
        <f t="shared" si="2"/>
        <v>--</v>
      </c>
      <c r="F26" s="205" t="str">
        <f t="shared" si="3"/>
        <v>--</v>
      </c>
      <c r="G26" s="205" t="str">
        <f t="shared" si="4"/>
        <v>--</v>
      </c>
      <c r="H26" s="205" t="str">
        <f t="shared" si="5"/>
        <v>--</v>
      </c>
      <c r="I26" s="205" t="str">
        <f t="shared" si="6"/>
        <v>--</v>
      </c>
      <c r="J26" s="53"/>
      <c r="K26" s="42"/>
    </row>
    <row r="27" spans="1:16" x14ac:dyDescent="0.2">
      <c r="A27" s="42"/>
      <c r="B27" s="207" t="str">
        <f>IF(BackupMethod="Exchange Native Data Protection","--",IF(TotNumDBCopiesServer&gt;COUNTA(B$15:B26),B26+1,"--"))</f>
        <v>--</v>
      </c>
      <c r="C27" s="205" t="str">
        <f t="shared" si="7"/>
        <v>--</v>
      </c>
      <c r="D27" s="205" t="str">
        <f t="shared" si="1"/>
        <v>--</v>
      </c>
      <c r="E27" s="205" t="str">
        <f t="shared" si="2"/>
        <v>--</v>
      </c>
      <c r="F27" s="205" t="str">
        <f t="shared" si="3"/>
        <v>--</v>
      </c>
      <c r="G27" s="205" t="str">
        <f t="shared" si="4"/>
        <v>--</v>
      </c>
      <c r="H27" s="205" t="str">
        <f t="shared" si="5"/>
        <v>--</v>
      </c>
      <c r="I27" s="205" t="str">
        <f t="shared" si="6"/>
        <v>--</v>
      </c>
      <c r="J27" s="53"/>
      <c r="K27" s="42"/>
    </row>
    <row r="28" spans="1:16" x14ac:dyDescent="0.2">
      <c r="A28" s="42"/>
      <c r="B28" s="207" t="str">
        <f>IF(BackupMethod="Exchange Native Data Protection","--",IF(TotNumDBCopiesServer&gt;COUNTA(B$15:B27),B27+1,"--"))</f>
        <v>--</v>
      </c>
      <c r="C28" s="205" t="str">
        <f t="shared" si="7"/>
        <v>--</v>
      </c>
      <c r="D28" s="205" t="str">
        <f t="shared" si="1"/>
        <v>--</v>
      </c>
      <c r="E28" s="205" t="str">
        <f t="shared" si="2"/>
        <v>--</v>
      </c>
      <c r="F28" s="205" t="str">
        <f t="shared" si="3"/>
        <v>--</v>
      </c>
      <c r="G28" s="205" t="str">
        <f t="shared" si="4"/>
        <v>--</v>
      </c>
      <c r="H28" s="205" t="str">
        <f t="shared" si="5"/>
        <v>--</v>
      </c>
      <c r="I28" s="205" t="str">
        <f t="shared" si="6"/>
        <v>--</v>
      </c>
      <c r="J28" s="53"/>
      <c r="K28" s="42"/>
    </row>
    <row r="29" spans="1:16" x14ac:dyDescent="0.2">
      <c r="A29" s="42"/>
      <c r="B29" s="207" t="str">
        <f>IF(BackupMethod="Exchange Native Data Protection","--",IF(TotNumDBCopiesServer&gt;COUNTA(B$15:B28),B28+1,"--"))</f>
        <v>--</v>
      </c>
      <c r="C29" s="205"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205" t="str">
        <f t="shared" si="1"/>
        <v>--</v>
      </c>
      <c r="E29" s="205" t="str">
        <f t="shared" si="2"/>
        <v>--</v>
      </c>
      <c r="F29" s="205" t="str">
        <f t="shared" si="3"/>
        <v>--</v>
      </c>
      <c r="G29" s="205" t="str">
        <f t="shared" si="4"/>
        <v>--</v>
      </c>
      <c r="H29" s="205" t="str">
        <f t="shared" si="5"/>
        <v>--</v>
      </c>
      <c r="I29" s="205" t="str">
        <f t="shared" si="6"/>
        <v>--</v>
      </c>
      <c r="J29" s="53"/>
      <c r="K29" s="42"/>
    </row>
    <row r="30" spans="1:16" x14ac:dyDescent="0.2">
      <c r="A30" s="42"/>
      <c r="B30" s="207" t="str">
        <f>IF(BackupMethod="Exchange Native Data Protection","--",IF(TotNumDBCopiesServer&gt;COUNTA(B$15:B29),B29+1,"--"))</f>
        <v>--</v>
      </c>
      <c r="C30" s="205"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205" t="str">
        <f t="shared" si="1"/>
        <v>--</v>
      </c>
      <c r="E30" s="205" t="str">
        <f t="shared" si="2"/>
        <v>--</v>
      </c>
      <c r="F30" s="205" t="str">
        <f t="shared" si="3"/>
        <v>--</v>
      </c>
      <c r="G30" s="205" t="str">
        <f t="shared" si="4"/>
        <v>--</v>
      </c>
      <c r="H30" s="205" t="str">
        <f t="shared" si="5"/>
        <v>--</v>
      </c>
      <c r="I30" s="205" t="str">
        <f t="shared" si="6"/>
        <v>--</v>
      </c>
      <c r="J30" s="53"/>
      <c r="K30" s="42"/>
    </row>
    <row r="31" spans="1:16" x14ac:dyDescent="0.2">
      <c r="A31" s="42"/>
      <c r="B31" s="207" t="str">
        <f>IF(BackupMethod="Exchange Native Data Protection","--",IF(TotNumDBCopiesServer&gt;COUNTA(B$15:B30),B30+1,"--"))</f>
        <v>--</v>
      </c>
      <c r="C31" s="205" t="str">
        <f t="shared" si="7"/>
        <v>--</v>
      </c>
      <c r="D31" s="205" t="str">
        <f t="shared" si="1"/>
        <v>--</v>
      </c>
      <c r="E31" s="205" t="str">
        <f t="shared" si="2"/>
        <v>--</v>
      </c>
      <c r="F31" s="205" t="str">
        <f t="shared" si="3"/>
        <v>--</v>
      </c>
      <c r="G31" s="205" t="str">
        <f t="shared" si="4"/>
        <v>--</v>
      </c>
      <c r="H31" s="205" t="str">
        <f t="shared" si="5"/>
        <v>--</v>
      </c>
      <c r="I31" s="205" t="str">
        <f t="shared" si="6"/>
        <v>--</v>
      </c>
      <c r="J31" s="53"/>
      <c r="K31" s="42"/>
    </row>
    <row r="32" spans="1:16" x14ac:dyDescent="0.2">
      <c r="A32" s="42"/>
      <c r="B32" s="207" t="str">
        <f>IF(BackupMethod="Exchange Native Data Protection","--",IF(TotNumDBCopiesServer&gt;COUNTA(B$15:B31),B31+1,"--"))</f>
        <v>--</v>
      </c>
      <c r="C32" s="205" t="str">
        <f t="shared" si="7"/>
        <v>--</v>
      </c>
      <c r="D32" s="205" t="str">
        <f t="shared" si="1"/>
        <v>--</v>
      </c>
      <c r="E32" s="205" t="str">
        <f t="shared" si="2"/>
        <v>--</v>
      </c>
      <c r="F32" s="205" t="str">
        <f t="shared" si="3"/>
        <v>--</v>
      </c>
      <c r="G32" s="205" t="str">
        <f t="shared" si="4"/>
        <v>--</v>
      </c>
      <c r="H32" s="205" t="str">
        <f t="shared" si="5"/>
        <v>--</v>
      </c>
      <c r="I32" s="205" t="str">
        <f t="shared" si="6"/>
        <v>--</v>
      </c>
      <c r="J32" s="53"/>
      <c r="K32" s="42"/>
    </row>
    <row r="33" spans="1:11" x14ac:dyDescent="0.2">
      <c r="A33" s="42"/>
      <c r="B33" s="207" t="str">
        <f>IF(BackupMethod="Exchange Native Data Protection","--",IF(TotNumDBCopiesServer&gt;COUNTA(B$15:B32),B32+1,"--"))</f>
        <v>--</v>
      </c>
      <c r="C33" s="205" t="str">
        <f t="shared" si="7"/>
        <v>--</v>
      </c>
      <c r="D33" s="205" t="str">
        <f t="shared" si="1"/>
        <v>--</v>
      </c>
      <c r="E33" s="205" t="str">
        <f t="shared" si="2"/>
        <v>--</v>
      </c>
      <c r="F33" s="205" t="str">
        <f t="shared" si="3"/>
        <v>--</v>
      </c>
      <c r="G33" s="205" t="str">
        <f t="shared" si="4"/>
        <v>--</v>
      </c>
      <c r="H33" s="205" t="str">
        <f t="shared" si="5"/>
        <v>--</v>
      </c>
      <c r="I33" s="205" t="str">
        <f t="shared" si="6"/>
        <v>--</v>
      </c>
      <c r="J33" s="53"/>
      <c r="K33" s="42"/>
    </row>
    <row r="34" spans="1:11" x14ac:dyDescent="0.2">
      <c r="A34" s="42"/>
      <c r="B34" s="207" t="str">
        <f>IF(BackupMethod="Exchange Native Data Protection","--",IF(TotNumDBCopiesServer&gt;COUNTA(B$15:B33),B33+1,"--"))</f>
        <v>--</v>
      </c>
      <c r="C34" s="205" t="str">
        <f t="shared" si="7"/>
        <v>--</v>
      </c>
      <c r="D34" s="205" t="str">
        <f t="shared" si="1"/>
        <v>--</v>
      </c>
      <c r="E34" s="205" t="str">
        <f t="shared" si="2"/>
        <v>--</v>
      </c>
      <c r="F34" s="205" t="str">
        <f t="shared" si="3"/>
        <v>--</v>
      </c>
      <c r="G34" s="205" t="str">
        <f t="shared" si="4"/>
        <v>--</v>
      </c>
      <c r="H34" s="205" t="str">
        <f t="shared" si="5"/>
        <v>--</v>
      </c>
      <c r="I34" s="205" t="str">
        <f t="shared" si="6"/>
        <v>--</v>
      </c>
      <c r="J34" s="53"/>
      <c r="K34" s="42"/>
    </row>
    <row r="35" spans="1:11" x14ac:dyDescent="0.2">
      <c r="A35" s="42"/>
      <c r="B35" s="207" t="str">
        <f>IF(BackupMethod="Exchange Native Data Protection","--",IF(TotNumDBCopiesServer&gt;COUNTA(B$15:B34),B34+1,"--"))</f>
        <v>--</v>
      </c>
      <c r="C35" s="205" t="str">
        <f t="shared" si="7"/>
        <v>--</v>
      </c>
      <c r="D35" s="205" t="str">
        <f t="shared" si="1"/>
        <v>--</v>
      </c>
      <c r="E35" s="205" t="str">
        <f t="shared" si="2"/>
        <v>--</v>
      </c>
      <c r="F35" s="205" t="str">
        <f t="shared" si="3"/>
        <v>--</v>
      </c>
      <c r="G35" s="205" t="str">
        <f t="shared" si="4"/>
        <v>--</v>
      </c>
      <c r="H35" s="205" t="str">
        <f t="shared" si="5"/>
        <v>--</v>
      </c>
      <c r="I35" s="205" t="str">
        <f t="shared" si="6"/>
        <v>--</v>
      </c>
      <c r="J35" s="53"/>
      <c r="K35" s="42"/>
    </row>
    <row r="36" spans="1:11" x14ac:dyDescent="0.2">
      <c r="A36" s="42"/>
      <c r="B36" s="207" t="str">
        <f>IF(BackupMethod="Exchange Native Data Protection","--",IF(TotNumDBCopiesServer&gt;COUNTA(B$15:B35),B35+1,"--"))</f>
        <v>--</v>
      </c>
      <c r="C36" s="205"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205" t="str">
        <f t="shared" si="1"/>
        <v>--</v>
      </c>
      <c r="E36" s="205" t="str">
        <f t="shared" si="2"/>
        <v>--</v>
      </c>
      <c r="F36" s="205" t="str">
        <f t="shared" si="3"/>
        <v>--</v>
      </c>
      <c r="G36" s="205" t="str">
        <f t="shared" si="4"/>
        <v>--</v>
      </c>
      <c r="H36" s="205" t="str">
        <f t="shared" si="5"/>
        <v>--</v>
      </c>
      <c r="I36" s="205" t="str">
        <f t="shared" si="6"/>
        <v>--</v>
      </c>
      <c r="J36" s="53"/>
      <c r="K36" s="42"/>
    </row>
    <row r="37" spans="1:11" x14ac:dyDescent="0.2">
      <c r="A37" s="42"/>
      <c r="B37" s="207" t="str">
        <f>IF(BackupMethod="Exchange Native Data Protection","--",IF(TotNumDBCopiesServer&gt;COUNTA(B$15:B36),B36+1,"--"))</f>
        <v>--</v>
      </c>
      <c r="C37" s="205"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205" t="str">
        <f t="shared" si="1"/>
        <v>--</v>
      </c>
      <c r="E37" s="205" t="str">
        <f t="shared" si="2"/>
        <v>--</v>
      </c>
      <c r="F37" s="205" t="str">
        <f t="shared" si="3"/>
        <v>--</v>
      </c>
      <c r="G37" s="205" t="str">
        <f t="shared" si="4"/>
        <v>--</v>
      </c>
      <c r="H37" s="205" t="str">
        <f t="shared" si="5"/>
        <v>--</v>
      </c>
      <c r="I37" s="205" t="str">
        <f t="shared" si="6"/>
        <v>--</v>
      </c>
      <c r="J37" s="53"/>
      <c r="K37" s="42"/>
    </row>
    <row r="38" spans="1:11" x14ac:dyDescent="0.2">
      <c r="A38" s="42"/>
      <c r="B38" s="207" t="str">
        <f>IF(BackupMethod="Exchange Native Data Protection","--",IF(TotNumDBCopiesServer&gt;COUNTA(B$15:B37),B37+1,"--"))</f>
        <v>--</v>
      </c>
      <c r="C38" s="205" t="str">
        <f t="shared" si="7"/>
        <v>--</v>
      </c>
      <c r="D38" s="205" t="str">
        <f t="shared" si="1"/>
        <v>--</v>
      </c>
      <c r="E38" s="205" t="str">
        <f t="shared" si="2"/>
        <v>--</v>
      </c>
      <c r="F38" s="205" t="str">
        <f t="shared" si="3"/>
        <v>--</v>
      </c>
      <c r="G38" s="205" t="str">
        <f t="shared" si="4"/>
        <v>--</v>
      </c>
      <c r="H38" s="205" t="str">
        <f t="shared" si="5"/>
        <v>--</v>
      </c>
      <c r="I38" s="205" t="str">
        <f t="shared" si="6"/>
        <v>--</v>
      </c>
      <c r="J38" s="53"/>
      <c r="K38" s="42"/>
    </row>
    <row r="39" spans="1:11" x14ac:dyDescent="0.2">
      <c r="A39" s="42"/>
      <c r="B39" s="207" t="str">
        <f>IF(BackupMethod="Exchange Native Data Protection","--",IF(TotNumDBCopiesServer&gt;COUNTA(B$15:B38),B38+1,"--"))</f>
        <v>--</v>
      </c>
      <c r="C39" s="205" t="str">
        <f t="shared" si="7"/>
        <v>--</v>
      </c>
      <c r="D39" s="205" t="str">
        <f t="shared" si="1"/>
        <v>--</v>
      </c>
      <c r="E39" s="205" t="str">
        <f t="shared" si="2"/>
        <v>--</v>
      </c>
      <c r="F39" s="205" t="str">
        <f t="shared" si="3"/>
        <v>--</v>
      </c>
      <c r="G39" s="205" t="str">
        <f t="shared" si="4"/>
        <v>--</v>
      </c>
      <c r="H39" s="205" t="str">
        <f t="shared" si="5"/>
        <v>--</v>
      </c>
      <c r="I39" s="205" t="str">
        <f t="shared" si="6"/>
        <v>--</v>
      </c>
      <c r="J39" s="53"/>
      <c r="K39" s="42"/>
    </row>
    <row r="40" spans="1:11" x14ac:dyDescent="0.2">
      <c r="A40" s="42"/>
      <c r="B40" s="207" t="str">
        <f>IF(BackupMethod="Exchange Native Data Protection","--",IF(TotNumDBCopiesServer&gt;COUNTA(B$15:B39),B39+1,"--"))</f>
        <v>--</v>
      </c>
      <c r="C40" s="205" t="str">
        <f t="shared" si="7"/>
        <v>--</v>
      </c>
      <c r="D40" s="205" t="str">
        <f t="shared" si="1"/>
        <v>--</v>
      </c>
      <c r="E40" s="205" t="str">
        <f t="shared" si="2"/>
        <v>--</v>
      </c>
      <c r="F40" s="205" t="str">
        <f t="shared" si="3"/>
        <v>--</v>
      </c>
      <c r="G40" s="205" t="str">
        <f t="shared" si="4"/>
        <v>--</v>
      </c>
      <c r="H40" s="205" t="str">
        <f t="shared" si="5"/>
        <v>--</v>
      </c>
      <c r="I40" s="205" t="str">
        <f t="shared" si="6"/>
        <v>--</v>
      </c>
      <c r="J40" s="53"/>
      <c r="K40" s="42"/>
    </row>
    <row r="41" spans="1:11" x14ac:dyDescent="0.2">
      <c r="A41" s="42"/>
      <c r="B41" s="207" t="str">
        <f>IF(BackupMethod="Exchange Native Data Protection","--",IF(TotNumDBCopiesServer&gt;COUNTA(B$15:B40),B40+1,"--"))</f>
        <v>--</v>
      </c>
      <c r="C41" s="205" t="str">
        <f t="shared" si="7"/>
        <v>--</v>
      </c>
      <c r="D41" s="205" t="str">
        <f t="shared" si="1"/>
        <v>--</v>
      </c>
      <c r="E41" s="205" t="str">
        <f t="shared" si="2"/>
        <v>--</v>
      </c>
      <c r="F41" s="205" t="str">
        <f t="shared" si="3"/>
        <v>--</v>
      </c>
      <c r="G41" s="205" t="str">
        <f t="shared" si="4"/>
        <v>--</v>
      </c>
      <c r="H41" s="205" t="str">
        <f t="shared" si="5"/>
        <v>--</v>
      </c>
      <c r="I41" s="205" t="str">
        <f t="shared" si="6"/>
        <v>--</v>
      </c>
      <c r="J41" s="53"/>
      <c r="K41" s="42"/>
    </row>
    <row r="42" spans="1:11" x14ac:dyDescent="0.2">
      <c r="A42" s="42"/>
      <c r="B42" s="207" t="str">
        <f>IF(BackupMethod="Exchange Native Data Protection","--",IF(TotNumDBCopiesServer&gt;COUNTA(B$15:B41),B41+1,"--"))</f>
        <v>--</v>
      </c>
      <c r="C42" s="205" t="str">
        <f t="shared" si="7"/>
        <v>--</v>
      </c>
      <c r="D42" s="205" t="str">
        <f t="shared" si="1"/>
        <v>--</v>
      </c>
      <c r="E42" s="205" t="str">
        <f t="shared" si="2"/>
        <v>--</v>
      </c>
      <c r="F42" s="205" t="str">
        <f t="shared" si="3"/>
        <v>--</v>
      </c>
      <c r="G42" s="205" t="str">
        <f t="shared" si="4"/>
        <v>--</v>
      </c>
      <c r="H42" s="205" t="str">
        <f t="shared" si="5"/>
        <v>--</v>
      </c>
      <c r="I42" s="205" t="str">
        <f t="shared" si="6"/>
        <v>--</v>
      </c>
      <c r="J42" s="53"/>
      <c r="K42" s="42"/>
    </row>
    <row r="43" spans="1:11" x14ac:dyDescent="0.2">
      <c r="A43" s="42"/>
      <c r="B43" s="207" t="str">
        <f>IF(BackupMethod="Exchange Native Data Protection","--",IF(TotNumDBCopiesServer&gt;COUNTA(B$15:B42),B42+1,"--"))</f>
        <v>--</v>
      </c>
      <c r="C43" s="205"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205" t="str">
        <f t="shared" si="1"/>
        <v>--</v>
      </c>
      <c r="E43" s="205" t="str">
        <f t="shared" si="2"/>
        <v>--</v>
      </c>
      <c r="F43" s="205" t="str">
        <f t="shared" si="3"/>
        <v>--</v>
      </c>
      <c r="G43" s="205" t="str">
        <f t="shared" si="4"/>
        <v>--</v>
      </c>
      <c r="H43" s="205" t="str">
        <f t="shared" si="5"/>
        <v>--</v>
      </c>
      <c r="I43" s="205" t="str">
        <f t="shared" si="6"/>
        <v>--</v>
      </c>
      <c r="J43" s="53"/>
      <c r="K43" s="42"/>
    </row>
    <row r="44" spans="1:11" x14ac:dyDescent="0.2">
      <c r="A44" s="42"/>
      <c r="B44" s="207" t="str">
        <f>IF(BackupMethod="Exchange Native Data Protection","--",IF(TotNumDBCopiesServer&gt;COUNTA(B$15:B43),B43+1,"--"))</f>
        <v>--</v>
      </c>
      <c r="C44" s="205"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205" t="str">
        <f t="shared" si="1"/>
        <v>--</v>
      </c>
      <c r="E44" s="205" t="str">
        <f t="shared" si="2"/>
        <v>--</v>
      </c>
      <c r="F44" s="205" t="str">
        <f t="shared" si="3"/>
        <v>--</v>
      </c>
      <c r="G44" s="205" t="str">
        <f t="shared" si="4"/>
        <v>--</v>
      </c>
      <c r="H44" s="205" t="str">
        <f t="shared" si="5"/>
        <v>--</v>
      </c>
      <c r="I44" s="205" t="str">
        <f t="shared" si="6"/>
        <v>--</v>
      </c>
      <c r="J44" s="53"/>
      <c r="K44" s="42"/>
    </row>
    <row r="45" spans="1:11" x14ac:dyDescent="0.2">
      <c r="A45" s="42"/>
      <c r="B45" s="207" t="str">
        <f>IF(BackupMethod="Exchange Native Data Protection","--",IF(TotNumDBCopiesServer&gt;COUNTA(B$15:B44),B44+1,"--"))</f>
        <v>--</v>
      </c>
      <c r="C45" s="205" t="str">
        <f t="shared" si="7"/>
        <v>--</v>
      </c>
      <c r="D45" s="205" t="str">
        <f t="shared" si="1"/>
        <v>--</v>
      </c>
      <c r="E45" s="205" t="str">
        <f t="shared" si="2"/>
        <v>--</v>
      </c>
      <c r="F45" s="205" t="str">
        <f t="shared" si="3"/>
        <v>--</v>
      </c>
      <c r="G45" s="205" t="str">
        <f t="shared" si="4"/>
        <v>--</v>
      </c>
      <c r="H45" s="205" t="str">
        <f t="shared" si="5"/>
        <v>--</v>
      </c>
      <c r="I45" s="205" t="str">
        <f t="shared" si="6"/>
        <v>--</v>
      </c>
      <c r="J45" s="53"/>
      <c r="K45" s="42"/>
    </row>
    <row r="46" spans="1:11" x14ac:dyDescent="0.2">
      <c r="A46" s="42"/>
      <c r="B46" s="207" t="str">
        <f>IF(BackupMethod="Exchange Native Data Protection","--",IF(TotNumDBCopiesServer&gt;COUNTA(B$15:B45),B45+1,"--"))</f>
        <v>--</v>
      </c>
      <c r="C46" s="205" t="str">
        <f t="shared" si="7"/>
        <v>--</v>
      </c>
      <c r="D46" s="205" t="str">
        <f t="shared" si="1"/>
        <v>--</v>
      </c>
      <c r="E46" s="205" t="str">
        <f t="shared" si="2"/>
        <v>--</v>
      </c>
      <c r="F46" s="205" t="str">
        <f t="shared" si="3"/>
        <v>--</v>
      </c>
      <c r="G46" s="205" t="str">
        <f t="shared" si="4"/>
        <v>--</v>
      </c>
      <c r="H46" s="205" t="str">
        <f t="shared" si="5"/>
        <v>--</v>
      </c>
      <c r="I46" s="205" t="str">
        <f t="shared" si="6"/>
        <v>--</v>
      </c>
      <c r="J46" s="53"/>
      <c r="K46" s="42"/>
    </row>
    <row r="47" spans="1:11" x14ac:dyDescent="0.2">
      <c r="A47" s="42"/>
      <c r="B47" s="207" t="str">
        <f>IF(BackupMethod="Exchange Native Data Protection","--",IF(TotNumDBCopiesServer&gt;COUNTA(B$15:B46),B46+1,"--"))</f>
        <v>--</v>
      </c>
      <c r="C47" s="205" t="str">
        <f t="shared" si="7"/>
        <v>--</v>
      </c>
      <c r="D47" s="205" t="str">
        <f t="shared" si="1"/>
        <v>--</v>
      </c>
      <c r="E47" s="205" t="str">
        <f t="shared" si="2"/>
        <v>--</v>
      </c>
      <c r="F47" s="205" t="str">
        <f t="shared" si="3"/>
        <v>--</v>
      </c>
      <c r="G47" s="205" t="str">
        <f t="shared" si="4"/>
        <v>--</v>
      </c>
      <c r="H47" s="205" t="str">
        <f t="shared" si="5"/>
        <v>--</v>
      </c>
      <c r="I47" s="205" t="str">
        <f t="shared" si="6"/>
        <v>--</v>
      </c>
      <c r="J47" s="53"/>
      <c r="K47" s="42"/>
    </row>
    <row r="48" spans="1:11" x14ac:dyDescent="0.2">
      <c r="A48" s="42"/>
      <c r="B48" s="207" t="str">
        <f>IF(BackupMethod="Exchange Native Data Protection","--",IF(TotNumDBCopiesServer&gt;COUNTA(B$15:B47),B47+1,"--"))</f>
        <v>--</v>
      </c>
      <c r="C48" s="205" t="str">
        <f t="shared" si="7"/>
        <v>--</v>
      </c>
      <c r="D48" s="205" t="str">
        <f t="shared" ref="D48:D111" si="8">IF($B48="--","--",IF(BackupFreq="Daily Full","Full",IF(AND($C47="Full",ROW(D48)&lt;&gt;ROW($C47)),"Full",IF(BackupFreq="Weekly Full / Daily Incremental","Incremental","Differential"))))</f>
        <v>--</v>
      </c>
      <c r="E48" s="205" t="str">
        <f t="shared" ref="E48:E111" si="9">IF($B48="--","--",IF(BackupFreq="Daily Full","Full",IF(AND(D48="Full",ROW(E48)=ROW(D48)),IF(BackupFreq="Weekly Full / Daily Incremental","Incremental","Differential"),IF(AND($D47="Full",ROW(E48)&lt;&gt;ROW($D47)),"Full",IF(BackupFreq="Weekly Full / Daily Incremental","Incremental","Differential")))))</f>
        <v>--</v>
      </c>
      <c r="F48" s="205"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205"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205"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205"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J48" s="53"/>
      <c r="K48" s="42"/>
    </row>
    <row r="49" spans="1:11" x14ac:dyDescent="0.2">
      <c r="A49" s="42"/>
      <c r="B49" s="207" t="str">
        <f>IF(BackupMethod="Exchange Native Data Protection","--",IF(TotNumDBCopiesServer&gt;COUNTA(B$15:B48),B48+1,"--"))</f>
        <v>--</v>
      </c>
      <c r="C49" s="205" t="str">
        <f t="shared" si="7"/>
        <v>--</v>
      </c>
      <c r="D49" s="205" t="str">
        <f t="shared" si="8"/>
        <v>--</v>
      </c>
      <c r="E49" s="205" t="str">
        <f t="shared" si="9"/>
        <v>--</v>
      </c>
      <c r="F49" s="205" t="str">
        <f t="shared" si="10"/>
        <v>--</v>
      </c>
      <c r="G49" s="205" t="str">
        <f t="shared" si="11"/>
        <v>--</v>
      </c>
      <c r="H49" s="205" t="str">
        <f t="shared" si="12"/>
        <v>--</v>
      </c>
      <c r="I49" s="205" t="str">
        <f t="shared" si="13"/>
        <v>--</v>
      </c>
      <c r="J49" s="53"/>
      <c r="K49" s="42"/>
    </row>
    <row r="50" spans="1:11" x14ac:dyDescent="0.2">
      <c r="A50" s="42"/>
      <c r="B50" s="207" t="str">
        <f>IF(BackupMethod="Exchange Native Data Protection","--",IF(TotNumDBCopiesServer&gt;COUNTA(B$15:B49),B49+1,"--"))</f>
        <v>--</v>
      </c>
      <c r="C50" s="205"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205" t="str">
        <f t="shared" si="8"/>
        <v>--</v>
      </c>
      <c r="E50" s="205" t="str">
        <f t="shared" si="9"/>
        <v>--</v>
      </c>
      <c r="F50" s="205" t="str">
        <f t="shared" si="10"/>
        <v>--</v>
      </c>
      <c r="G50" s="205" t="str">
        <f t="shared" si="11"/>
        <v>--</v>
      </c>
      <c r="H50" s="205" t="str">
        <f t="shared" si="12"/>
        <v>--</v>
      </c>
      <c r="I50" s="205" t="str">
        <f t="shared" si="13"/>
        <v>--</v>
      </c>
      <c r="J50" s="53"/>
      <c r="K50" s="42"/>
    </row>
    <row r="51" spans="1:11" x14ac:dyDescent="0.2">
      <c r="A51" s="42"/>
      <c r="B51" s="207" t="str">
        <f>IF(BackupMethod="Exchange Native Data Protection","--",IF(TotNumDBCopiesServer&gt;COUNTA(B$15:B50),B50+1,"--"))</f>
        <v>--</v>
      </c>
      <c r="C51" s="205"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205" t="str">
        <f t="shared" si="8"/>
        <v>--</v>
      </c>
      <c r="E51" s="205" t="str">
        <f t="shared" si="9"/>
        <v>--</v>
      </c>
      <c r="F51" s="205" t="str">
        <f t="shared" si="10"/>
        <v>--</v>
      </c>
      <c r="G51" s="205" t="str">
        <f t="shared" si="11"/>
        <v>--</v>
      </c>
      <c r="H51" s="205" t="str">
        <f t="shared" si="12"/>
        <v>--</v>
      </c>
      <c r="I51" s="205" t="str">
        <f t="shared" si="13"/>
        <v>--</v>
      </c>
      <c r="J51" s="53"/>
      <c r="K51" s="42"/>
    </row>
    <row r="52" spans="1:11" x14ac:dyDescent="0.2">
      <c r="A52" s="42"/>
      <c r="B52" s="207" t="str">
        <f>IF(BackupMethod="Exchange Native Data Protection","--",IF(TotNumDBCopiesServer&gt;COUNTA(B$15:B51),B51+1,"--"))</f>
        <v>--</v>
      </c>
      <c r="C52" s="205"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205" t="str">
        <f t="shared" si="8"/>
        <v>--</v>
      </c>
      <c r="E52" s="205" t="str">
        <f t="shared" si="9"/>
        <v>--</v>
      </c>
      <c r="F52" s="205" t="str">
        <f t="shared" si="10"/>
        <v>--</v>
      </c>
      <c r="G52" s="205" t="str">
        <f t="shared" si="11"/>
        <v>--</v>
      </c>
      <c r="H52" s="205" t="str">
        <f t="shared" si="12"/>
        <v>--</v>
      </c>
      <c r="I52" s="205" t="str">
        <f t="shared" si="13"/>
        <v>--</v>
      </c>
      <c r="J52" s="53"/>
      <c r="K52" s="42"/>
    </row>
    <row r="53" spans="1:11" x14ac:dyDescent="0.2">
      <c r="A53" s="42"/>
      <c r="B53" s="207" t="str">
        <f>IF(BackupMethod="Exchange Native Data Protection","--",IF(TotNumDBCopiesServer&gt;COUNTA(B$15:B52),B52+1,"--"))</f>
        <v>--</v>
      </c>
      <c r="C53" s="205" t="str">
        <f t="shared" si="14"/>
        <v>--</v>
      </c>
      <c r="D53" s="205" t="str">
        <f t="shared" si="8"/>
        <v>--</v>
      </c>
      <c r="E53" s="205" t="str">
        <f t="shared" si="9"/>
        <v>--</v>
      </c>
      <c r="F53" s="205" t="str">
        <f t="shared" si="10"/>
        <v>--</v>
      </c>
      <c r="G53" s="205" t="str">
        <f t="shared" si="11"/>
        <v>--</v>
      </c>
      <c r="H53" s="205" t="str">
        <f t="shared" si="12"/>
        <v>--</v>
      </c>
      <c r="I53" s="205" t="str">
        <f t="shared" si="13"/>
        <v>--</v>
      </c>
      <c r="J53" s="53"/>
      <c r="K53" s="42"/>
    </row>
    <row r="54" spans="1:11" x14ac:dyDescent="0.2">
      <c r="A54" s="42"/>
      <c r="B54" s="207" t="str">
        <f>IF(BackupMethod="Exchange Native Data Protection","--",IF(TotNumDBCopiesServer&gt;COUNTA(B$15:B53),B53+1,"--"))</f>
        <v>--</v>
      </c>
      <c r="C54" s="205" t="str">
        <f t="shared" si="14"/>
        <v>--</v>
      </c>
      <c r="D54" s="205" t="str">
        <f t="shared" si="8"/>
        <v>--</v>
      </c>
      <c r="E54" s="205" t="str">
        <f t="shared" si="9"/>
        <v>--</v>
      </c>
      <c r="F54" s="205" t="str">
        <f t="shared" si="10"/>
        <v>--</v>
      </c>
      <c r="G54" s="205" t="str">
        <f t="shared" si="11"/>
        <v>--</v>
      </c>
      <c r="H54" s="205" t="str">
        <f t="shared" si="12"/>
        <v>--</v>
      </c>
      <c r="I54" s="205" t="str">
        <f t="shared" si="13"/>
        <v>--</v>
      </c>
      <c r="J54" s="53"/>
      <c r="K54" s="42"/>
    </row>
    <row r="55" spans="1:11" x14ac:dyDescent="0.2">
      <c r="A55" s="42"/>
      <c r="B55" s="207" t="str">
        <f>IF(BackupMethod="Exchange Native Data Protection","--",IF(TotNumDBCopiesServer&gt;COUNTA(B$15:B54),B54+1,"--"))</f>
        <v>--</v>
      </c>
      <c r="C55" s="205" t="str">
        <f t="shared" si="14"/>
        <v>--</v>
      </c>
      <c r="D55" s="205" t="str">
        <f t="shared" si="8"/>
        <v>--</v>
      </c>
      <c r="E55" s="205" t="str">
        <f t="shared" si="9"/>
        <v>--</v>
      </c>
      <c r="F55" s="205" t="str">
        <f t="shared" si="10"/>
        <v>--</v>
      </c>
      <c r="G55" s="205" t="str">
        <f t="shared" si="11"/>
        <v>--</v>
      </c>
      <c r="H55" s="205" t="str">
        <f t="shared" si="12"/>
        <v>--</v>
      </c>
      <c r="I55" s="205" t="str">
        <f t="shared" si="13"/>
        <v>--</v>
      </c>
      <c r="J55" s="53"/>
      <c r="K55" s="42"/>
    </row>
    <row r="56" spans="1:11" x14ac:dyDescent="0.2">
      <c r="A56" s="42"/>
      <c r="B56" s="207" t="str">
        <f>IF(BackupMethod="Exchange Native Data Protection","--",IF(TotNumDBCopiesServer&gt;COUNTA(B$15:B55),B55+1,"--"))</f>
        <v>--</v>
      </c>
      <c r="C56" s="205" t="str">
        <f t="shared" si="14"/>
        <v>--</v>
      </c>
      <c r="D56" s="205" t="str">
        <f t="shared" si="8"/>
        <v>--</v>
      </c>
      <c r="E56" s="205" t="str">
        <f t="shared" si="9"/>
        <v>--</v>
      </c>
      <c r="F56" s="205" t="str">
        <f t="shared" si="10"/>
        <v>--</v>
      </c>
      <c r="G56" s="205" t="str">
        <f t="shared" si="11"/>
        <v>--</v>
      </c>
      <c r="H56" s="205" t="str">
        <f t="shared" si="12"/>
        <v>--</v>
      </c>
      <c r="I56" s="205" t="str">
        <f t="shared" si="13"/>
        <v>--</v>
      </c>
      <c r="J56" s="53"/>
      <c r="K56" s="42"/>
    </row>
    <row r="57" spans="1:11" x14ac:dyDescent="0.2">
      <c r="A57" s="42"/>
      <c r="B57" s="207" t="str">
        <f>IF(BackupMethod="Exchange Native Data Protection","--",IF(TotNumDBCopiesServer&gt;COUNTA(B$15:B56),B56+1,"--"))</f>
        <v>--</v>
      </c>
      <c r="C57" s="205"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205" t="str">
        <f t="shared" si="8"/>
        <v>--</v>
      </c>
      <c r="E57" s="205" t="str">
        <f t="shared" si="9"/>
        <v>--</v>
      </c>
      <c r="F57" s="205" t="str">
        <f t="shared" si="10"/>
        <v>--</v>
      </c>
      <c r="G57" s="205" t="str">
        <f t="shared" si="11"/>
        <v>--</v>
      </c>
      <c r="H57" s="205" t="str">
        <f t="shared" si="12"/>
        <v>--</v>
      </c>
      <c r="I57" s="205" t="str">
        <f t="shared" si="13"/>
        <v>--</v>
      </c>
      <c r="J57" s="53"/>
      <c r="K57" s="42"/>
    </row>
    <row r="58" spans="1:11" x14ac:dyDescent="0.2">
      <c r="A58" s="42"/>
      <c r="B58" s="207" t="str">
        <f>IF(BackupMethod="Exchange Native Data Protection","--",IF(TotNumDBCopiesServer&gt;COUNTA(B$15:B57),B57+1,"--"))</f>
        <v>--</v>
      </c>
      <c r="C58" s="205"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205" t="str">
        <f t="shared" si="8"/>
        <v>--</v>
      </c>
      <c r="E58" s="205" t="str">
        <f t="shared" si="9"/>
        <v>--</v>
      </c>
      <c r="F58" s="205" t="str">
        <f t="shared" si="10"/>
        <v>--</v>
      </c>
      <c r="G58" s="205" t="str">
        <f t="shared" si="11"/>
        <v>--</v>
      </c>
      <c r="H58" s="205" t="str">
        <f t="shared" si="12"/>
        <v>--</v>
      </c>
      <c r="I58" s="205" t="str">
        <f t="shared" si="13"/>
        <v>--</v>
      </c>
      <c r="J58" s="53"/>
      <c r="K58" s="42"/>
    </row>
    <row r="59" spans="1:11" x14ac:dyDescent="0.2">
      <c r="A59" s="42"/>
      <c r="B59" s="207" t="str">
        <f>IF(BackupMethod="Exchange Native Data Protection","--",IF(TotNumDBCopiesServer&gt;COUNTA(B$15:B58),B58+1,"--"))</f>
        <v>--</v>
      </c>
      <c r="C59" s="205" t="str">
        <f t="shared" si="14"/>
        <v>--</v>
      </c>
      <c r="D59" s="205" t="str">
        <f t="shared" si="8"/>
        <v>--</v>
      </c>
      <c r="E59" s="205" t="str">
        <f t="shared" si="9"/>
        <v>--</v>
      </c>
      <c r="F59" s="205" t="str">
        <f t="shared" si="10"/>
        <v>--</v>
      </c>
      <c r="G59" s="205" t="str">
        <f t="shared" si="11"/>
        <v>--</v>
      </c>
      <c r="H59" s="205" t="str">
        <f t="shared" si="12"/>
        <v>--</v>
      </c>
      <c r="I59" s="205" t="str">
        <f t="shared" si="13"/>
        <v>--</v>
      </c>
      <c r="J59" s="53"/>
      <c r="K59" s="42"/>
    </row>
    <row r="60" spans="1:11" x14ac:dyDescent="0.2">
      <c r="A60" s="42"/>
      <c r="B60" s="207" t="str">
        <f>IF(BackupMethod="Exchange Native Data Protection","--",IF(TotNumDBCopiesServer&gt;COUNTA(B$15:B59),B59+1,"--"))</f>
        <v>--</v>
      </c>
      <c r="C60" s="205" t="str">
        <f t="shared" si="14"/>
        <v>--</v>
      </c>
      <c r="D60" s="205" t="str">
        <f t="shared" si="8"/>
        <v>--</v>
      </c>
      <c r="E60" s="205" t="str">
        <f t="shared" si="9"/>
        <v>--</v>
      </c>
      <c r="F60" s="205" t="str">
        <f t="shared" si="10"/>
        <v>--</v>
      </c>
      <c r="G60" s="205" t="str">
        <f t="shared" si="11"/>
        <v>--</v>
      </c>
      <c r="H60" s="205" t="str">
        <f t="shared" si="12"/>
        <v>--</v>
      </c>
      <c r="I60" s="205" t="str">
        <f t="shared" si="13"/>
        <v>--</v>
      </c>
      <c r="J60" s="53"/>
      <c r="K60" s="42"/>
    </row>
    <row r="61" spans="1:11" x14ac:dyDescent="0.2">
      <c r="A61" s="42"/>
      <c r="B61" s="207" t="str">
        <f>IF(BackupMethod="Exchange Native Data Protection","--",IF(TotNumDBCopiesServer&gt;COUNTA(B$15:B60),B60+1,"--"))</f>
        <v>--</v>
      </c>
      <c r="C61" s="205" t="str">
        <f t="shared" si="14"/>
        <v>--</v>
      </c>
      <c r="D61" s="205" t="str">
        <f t="shared" si="8"/>
        <v>--</v>
      </c>
      <c r="E61" s="205" t="str">
        <f t="shared" si="9"/>
        <v>--</v>
      </c>
      <c r="F61" s="205" t="str">
        <f t="shared" si="10"/>
        <v>--</v>
      </c>
      <c r="G61" s="205" t="str">
        <f t="shared" si="11"/>
        <v>--</v>
      </c>
      <c r="H61" s="205" t="str">
        <f t="shared" si="12"/>
        <v>--</v>
      </c>
      <c r="I61" s="205" t="str">
        <f t="shared" si="13"/>
        <v>--</v>
      </c>
      <c r="J61" s="53"/>
      <c r="K61" s="42"/>
    </row>
    <row r="62" spans="1:11" x14ac:dyDescent="0.2">
      <c r="A62" s="42"/>
      <c r="B62" s="207" t="str">
        <f>IF(BackupMethod="Exchange Native Data Protection","--",IF(TotNumDBCopiesServer&gt;COUNTA(B$15:B61),B61+1,"--"))</f>
        <v>--</v>
      </c>
      <c r="C62" s="205" t="str">
        <f t="shared" si="14"/>
        <v>--</v>
      </c>
      <c r="D62" s="205" t="str">
        <f t="shared" si="8"/>
        <v>--</v>
      </c>
      <c r="E62" s="205" t="str">
        <f t="shared" si="9"/>
        <v>--</v>
      </c>
      <c r="F62" s="205" t="str">
        <f t="shared" si="10"/>
        <v>--</v>
      </c>
      <c r="G62" s="205" t="str">
        <f t="shared" si="11"/>
        <v>--</v>
      </c>
      <c r="H62" s="205" t="str">
        <f t="shared" si="12"/>
        <v>--</v>
      </c>
      <c r="I62" s="205" t="str">
        <f t="shared" si="13"/>
        <v>--</v>
      </c>
      <c r="J62" s="53"/>
      <c r="K62" s="42"/>
    </row>
    <row r="63" spans="1:11" x14ac:dyDescent="0.2">
      <c r="A63" s="42"/>
      <c r="B63" s="207" t="str">
        <f>IF(BackupMethod="Exchange Native Data Protection","--",IF(TotNumDBCopiesServer&gt;COUNTA(B$15:B62),B62+1,"--"))</f>
        <v>--</v>
      </c>
      <c r="C63" s="205" t="str">
        <f t="shared" si="14"/>
        <v>--</v>
      </c>
      <c r="D63" s="205" t="str">
        <f t="shared" si="8"/>
        <v>--</v>
      </c>
      <c r="E63" s="205" t="str">
        <f t="shared" si="9"/>
        <v>--</v>
      </c>
      <c r="F63" s="205" t="str">
        <f t="shared" si="10"/>
        <v>--</v>
      </c>
      <c r="G63" s="205" t="str">
        <f t="shared" si="11"/>
        <v>--</v>
      </c>
      <c r="H63" s="205" t="str">
        <f t="shared" si="12"/>
        <v>--</v>
      </c>
      <c r="I63" s="205" t="str">
        <f t="shared" si="13"/>
        <v>--</v>
      </c>
      <c r="J63" s="53"/>
      <c r="K63" s="42"/>
    </row>
    <row r="64" spans="1:11" x14ac:dyDescent="0.2">
      <c r="A64" s="42"/>
      <c r="B64" s="207" t="str">
        <f>IF(BackupMethod="Exchange Native Data Protection","--",IF(TotNumDBCopiesServer&gt;COUNTA(B$15:B63),B63+1,"--"))</f>
        <v>--</v>
      </c>
      <c r="C64" s="205"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205" t="str">
        <f t="shared" si="8"/>
        <v>--</v>
      </c>
      <c r="E64" s="205" t="str">
        <f t="shared" si="9"/>
        <v>--</v>
      </c>
      <c r="F64" s="205" t="str">
        <f t="shared" si="10"/>
        <v>--</v>
      </c>
      <c r="G64" s="205" t="str">
        <f t="shared" si="11"/>
        <v>--</v>
      </c>
      <c r="H64" s="205" t="str">
        <f t="shared" si="12"/>
        <v>--</v>
      </c>
      <c r="I64" s="205" t="str">
        <f t="shared" si="13"/>
        <v>--</v>
      </c>
      <c r="J64" s="53"/>
      <c r="K64" s="42"/>
    </row>
    <row r="65" spans="1:11" x14ac:dyDescent="0.2">
      <c r="A65" s="42"/>
      <c r="B65" s="207" t="str">
        <f>IF(BackupMethod="Exchange Native Data Protection","--",IF(TotNumDBCopiesServer&gt;COUNTA(B$15:B64),B64+1,"--"))</f>
        <v>--</v>
      </c>
      <c r="C65" s="205"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205" t="str">
        <f t="shared" si="8"/>
        <v>--</v>
      </c>
      <c r="E65" s="205" t="str">
        <f t="shared" si="9"/>
        <v>--</v>
      </c>
      <c r="F65" s="205" t="str">
        <f t="shared" si="10"/>
        <v>--</v>
      </c>
      <c r="G65" s="205" t="str">
        <f t="shared" si="11"/>
        <v>--</v>
      </c>
      <c r="H65" s="205" t="str">
        <f t="shared" si="12"/>
        <v>--</v>
      </c>
      <c r="I65" s="205" t="str">
        <f t="shared" si="13"/>
        <v>--</v>
      </c>
      <c r="J65" s="53"/>
      <c r="K65" s="42"/>
    </row>
    <row r="66" spans="1:11" x14ac:dyDescent="0.2">
      <c r="A66" s="42"/>
      <c r="B66" s="207" t="str">
        <f>IF(BackupMethod="Exchange Native Data Protection","--",IF(TotNumDBCopiesServer&gt;COUNTA(B$15:B65),B65+1,"--"))</f>
        <v>--</v>
      </c>
      <c r="C66" s="205" t="str">
        <f t="shared" si="14"/>
        <v>--</v>
      </c>
      <c r="D66" s="205" t="str">
        <f t="shared" si="8"/>
        <v>--</v>
      </c>
      <c r="E66" s="205" t="str">
        <f t="shared" si="9"/>
        <v>--</v>
      </c>
      <c r="F66" s="205" t="str">
        <f t="shared" si="10"/>
        <v>--</v>
      </c>
      <c r="G66" s="205" t="str">
        <f t="shared" si="11"/>
        <v>--</v>
      </c>
      <c r="H66" s="205" t="str">
        <f t="shared" si="12"/>
        <v>--</v>
      </c>
      <c r="I66" s="205" t="str">
        <f t="shared" si="13"/>
        <v>--</v>
      </c>
      <c r="J66" s="53"/>
      <c r="K66" s="42"/>
    </row>
    <row r="67" spans="1:11" x14ac:dyDescent="0.2">
      <c r="A67" s="42"/>
      <c r="B67" s="207" t="str">
        <f>IF(BackupMethod="Exchange Native Data Protection","--",IF(TotNumDBCopiesServer&gt;COUNTA(B$15:B66),B66+1,"--"))</f>
        <v>--</v>
      </c>
      <c r="C67" s="205" t="str">
        <f t="shared" si="14"/>
        <v>--</v>
      </c>
      <c r="D67" s="205" t="str">
        <f t="shared" si="8"/>
        <v>--</v>
      </c>
      <c r="E67" s="205" t="str">
        <f t="shared" si="9"/>
        <v>--</v>
      </c>
      <c r="F67" s="205" t="str">
        <f t="shared" si="10"/>
        <v>--</v>
      </c>
      <c r="G67" s="205" t="str">
        <f t="shared" si="11"/>
        <v>--</v>
      </c>
      <c r="H67" s="205" t="str">
        <f t="shared" si="12"/>
        <v>--</v>
      </c>
      <c r="I67" s="205" t="str">
        <f t="shared" si="13"/>
        <v>--</v>
      </c>
      <c r="J67" s="53"/>
      <c r="K67" s="42"/>
    </row>
    <row r="68" spans="1:11" x14ac:dyDescent="0.2">
      <c r="A68" s="42"/>
      <c r="B68" s="207" t="str">
        <f>IF(BackupMethod="Exchange Native Data Protection","--",IF(TotNumDBCopiesServer&gt;COUNTA(B$15:B67),B67+1,"--"))</f>
        <v>--</v>
      </c>
      <c r="C68" s="205" t="str">
        <f t="shared" si="14"/>
        <v>--</v>
      </c>
      <c r="D68" s="205" t="str">
        <f t="shared" si="8"/>
        <v>--</v>
      </c>
      <c r="E68" s="205" t="str">
        <f t="shared" si="9"/>
        <v>--</v>
      </c>
      <c r="F68" s="205" t="str">
        <f t="shared" si="10"/>
        <v>--</v>
      </c>
      <c r="G68" s="205" t="str">
        <f t="shared" si="11"/>
        <v>--</v>
      </c>
      <c r="H68" s="205" t="str">
        <f t="shared" si="12"/>
        <v>--</v>
      </c>
      <c r="I68" s="205" t="str">
        <f t="shared" si="13"/>
        <v>--</v>
      </c>
      <c r="J68" s="53"/>
      <c r="K68" s="42"/>
    </row>
    <row r="69" spans="1:11" x14ac:dyDescent="0.2">
      <c r="A69" s="42"/>
      <c r="B69" s="207" t="str">
        <f>IF(BackupMethod="Exchange Native Data Protection","--",IF(TotNumDBCopiesServer&gt;COUNTA(B$15:B68),B68+1,"--"))</f>
        <v>--</v>
      </c>
      <c r="C69" s="205" t="str">
        <f t="shared" si="14"/>
        <v>--</v>
      </c>
      <c r="D69" s="205" t="str">
        <f t="shared" si="8"/>
        <v>--</v>
      </c>
      <c r="E69" s="205" t="str">
        <f t="shared" si="9"/>
        <v>--</v>
      </c>
      <c r="F69" s="205" t="str">
        <f t="shared" si="10"/>
        <v>--</v>
      </c>
      <c r="G69" s="205" t="str">
        <f t="shared" si="11"/>
        <v>--</v>
      </c>
      <c r="H69" s="205" t="str">
        <f t="shared" si="12"/>
        <v>--</v>
      </c>
      <c r="I69" s="205" t="str">
        <f t="shared" si="13"/>
        <v>--</v>
      </c>
      <c r="J69" s="53"/>
      <c r="K69" s="42"/>
    </row>
    <row r="70" spans="1:11" x14ac:dyDescent="0.2">
      <c r="A70" s="42"/>
      <c r="B70" s="207" t="str">
        <f>IF(BackupMethod="Exchange Native Data Protection","--",IF(TotNumDBCopiesServer&gt;COUNTA(B$15:B69),B69+1,"--"))</f>
        <v>--</v>
      </c>
      <c r="C70" s="205" t="str">
        <f t="shared" si="14"/>
        <v>--</v>
      </c>
      <c r="D70" s="205" t="str">
        <f t="shared" si="8"/>
        <v>--</v>
      </c>
      <c r="E70" s="205" t="str">
        <f t="shared" si="9"/>
        <v>--</v>
      </c>
      <c r="F70" s="205" t="str">
        <f t="shared" si="10"/>
        <v>--</v>
      </c>
      <c r="G70" s="205" t="str">
        <f t="shared" si="11"/>
        <v>--</v>
      </c>
      <c r="H70" s="205" t="str">
        <f t="shared" si="12"/>
        <v>--</v>
      </c>
      <c r="I70" s="205" t="str">
        <f t="shared" si="13"/>
        <v>--</v>
      </c>
      <c r="J70" s="53"/>
      <c r="K70" s="42"/>
    </row>
    <row r="71" spans="1:11" x14ac:dyDescent="0.2">
      <c r="A71" s="42"/>
      <c r="B71" s="207" t="str">
        <f>IF(BackupMethod="Exchange Native Data Protection","--",IF(TotNumDBCopiesServer&gt;COUNTA(B$15:B70),B70+1,"--"))</f>
        <v>--</v>
      </c>
      <c r="C71" s="205"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205" t="str">
        <f t="shared" si="8"/>
        <v>--</v>
      </c>
      <c r="E71" s="205" t="str">
        <f t="shared" si="9"/>
        <v>--</v>
      </c>
      <c r="F71" s="205" t="str">
        <f t="shared" si="10"/>
        <v>--</v>
      </c>
      <c r="G71" s="205" t="str">
        <f t="shared" si="11"/>
        <v>--</v>
      </c>
      <c r="H71" s="205" t="str">
        <f t="shared" si="12"/>
        <v>--</v>
      </c>
      <c r="I71" s="205" t="str">
        <f t="shared" si="13"/>
        <v>--</v>
      </c>
      <c r="J71" s="53"/>
      <c r="K71" s="42"/>
    </row>
    <row r="72" spans="1:11" x14ac:dyDescent="0.2">
      <c r="A72" s="42"/>
      <c r="B72" s="207" t="str">
        <f>IF(BackupMethod="Exchange Native Data Protection","--",IF(TotNumDBCopiesServer&gt;COUNTA(B$15:B71),B71+1,"--"))</f>
        <v>--</v>
      </c>
      <c r="C72" s="205"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205" t="str">
        <f t="shared" si="8"/>
        <v>--</v>
      </c>
      <c r="E72" s="205" t="str">
        <f t="shared" si="9"/>
        <v>--</v>
      </c>
      <c r="F72" s="205" t="str">
        <f t="shared" si="10"/>
        <v>--</v>
      </c>
      <c r="G72" s="205" t="str">
        <f t="shared" si="11"/>
        <v>--</v>
      </c>
      <c r="H72" s="205" t="str">
        <f t="shared" si="12"/>
        <v>--</v>
      </c>
      <c r="I72" s="205" t="str">
        <f t="shared" si="13"/>
        <v>--</v>
      </c>
      <c r="J72" s="53"/>
      <c r="K72" s="42"/>
    </row>
    <row r="73" spans="1:11" x14ac:dyDescent="0.2">
      <c r="A73" s="42"/>
      <c r="B73" s="207" t="str">
        <f>IF(BackupMethod="Exchange Native Data Protection","--",IF(TotNumDBCopiesServer&gt;COUNTA(B$15:B72),B72+1,"--"))</f>
        <v>--</v>
      </c>
      <c r="C73" s="205" t="str">
        <f t="shared" si="14"/>
        <v>--</v>
      </c>
      <c r="D73" s="205" t="str">
        <f t="shared" si="8"/>
        <v>--</v>
      </c>
      <c r="E73" s="205" t="str">
        <f t="shared" si="9"/>
        <v>--</v>
      </c>
      <c r="F73" s="205" t="str">
        <f t="shared" si="10"/>
        <v>--</v>
      </c>
      <c r="G73" s="205" t="str">
        <f t="shared" si="11"/>
        <v>--</v>
      </c>
      <c r="H73" s="205" t="str">
        <f t="shared" si="12"/>
        <v>--</v>
      </c>
      <c r="I73" s="205" t="str">
        <f t="shared" si="13"/>
        <v>--</v>
      </c>
      <c r="J73" s="53"/>
      <c r="K73" s="42"/>
    </row>
    <row r="74" spans="1:11" x14ac:dyDescent="0.2">
      <c r="A74" s="42"/>
      <c r="B74" s="207" t="str">
        <f>IF(BackupMethod="Exchange Native Data Protection","--",IF(TotNumDBCopiesServer&gt;COUNTA(B$15:B73),B73+1,"--"))</f>
        <v>--</v>
      </c>
      <c r="C74" s="205" t="str">
        <f t="shared" si="14"/>
        <v>--</v>
      </c>
      <c r="D74" s="205" t="str">
        <f t="shared" si="8"/>
        <v>--</v>
      </c>
      <c r="E74" s="205" t="str">
        <f t="shared" si="9"/>
        <v>--</v>
      </c>
      <c r="F74" s="205" t="str">
        <f t="shared" si="10"/>
        <v>--</v>
      </c>
      <c r="G74" s="205" t="str">
        <f t="shared" si="11"/>
        <v>--</v>
      </c>
      <c r="H74" s="205" t="str">
        <f t="shared" si="12"/>
        <v>--</v>
      </c>
      <c r="I74" s="205" t="str">
        <f t="shared" si="13"/>
        <v>--</v>
      </c>
      <c r="J74" s="53"/>
      <c r="K74" s="42"/>
    </row>
    <row r="75" spans="1:11" x14ac:dyDescent="0.2">
      <c r="A75" s="42"/>
      <c r="B75" s="207" t="str">
        <f>IF(BackupMethod="Exchange Native Data Protection","--",IF(TotNumDBCopiesServer&gt;COUNTA(B$15:B74),B74+1,"--"))</f>
        <v>--</v>
      </c>
      <c r="C75" s="205" t="str">
        <f t="shared" si="14"/>
        <v>--</v>
      </c>
      <c r="D75" s="205" t="str">
        <f t="shared" si="8"/>
        <v>--</v>
      </c>
      <c r="E75" s="205" t="str">
        <f t="shared" si="9"/>
        <v>--</v>
      </c>
      <c r="F75" s="205" t="str">
        <f t="shared" si="10"/>
        <v>--</v>
      </c>
      <c r="G75" s="205" t="str">
        <f t="shared" si="11"/>
        <v>--</v>
      </c>
      <c r="H75" s="205" t="str">
        <f t="shared" si="12"/>
        <v>--</v>
      </c>
      <c r="I75" s="205" t="str">
        <f t="shared" si="13"/>
        <v>--</v>
      </c>
      <c r="J75" s="53"/>
      <c r="K75" s="42"/>
    </row>
    <row r="76" spans="1:11" x14ac:dyDescent="0.2">
      <c r="A76" s="42"/>
      <c r="B76" s="207" t="str">
        <f>IF(BackupMethod="Exchange Native Data Protection","--",IF(TotNumDBCopiesServer&gt;COUNTA(B$15:B75),B75+1,"--"))</f>
        <v>--</v>
      </c>
      <c r="C76" s="205" t="str">
        <f t="shared" si="14"/>
        <v>--</v>
      </c>
      <c r="D76" s="205" t="str">
        <f t="shared" si="8"/>
        <v>--</v>
      </c>
      <c r="E76" s="205" t="str">
        <f t="shared" si="9"/>
        <v>--</v>
      </c>
      <c r="F76" s="205" t="str">
        <f t="shared" si="10"/>
        <v>--</v>
      </c>
      <c r="G76" s="205" t="str">
        <f t="shared" si="11"/>
        <v>--</v>
      </c>
      <c r="H76" s="205" t="str">
        <f t="shared" si="12"/>
        <v>--</v>
      </c>
      <c r="I76" s="205" t="str">
        <f t="shared" si="13"/>
        <v>--</v>
      </c>
      <c r="J76" s="53"/>
      <c r="K76" s="42"/>
    </row>
    <row r="77" spans="1:11" x14ac:dyDescent="0.2">
      <c r="A77" s="42"/>
      <c r="B77" s="207" t="str">
        <f>IF(BackupMethod="Exchange Native Data Protection","--",IF(TotNumDBCopiesServer&gt;COUNTA(B$15:B76),B76+1,"--"))</f>
        <v>--</v>
      </c>
      <c r="C77" s="205" t="str">
        <f t="shared" si="14"/>
        <v>--</v>
      </c>
      <c r="D77" s="205" t="str">
        <f t="shared" si="8"/>
        <v>--</v>
      </c>
      <c r="E77" s="205" t="str">
        <f t="shared" si="9"/>
        <v>--</v>
      </c>
      <c r="F77" s="205" t="str">
        <f t="shared" si="10"/>
        <v>--</v>
      </c>
      <c r="G77" s="205" t="str">
        <f t="shared" si="11"/>
        <v>--</v>
      </c>
      <c r="H77" s="205" t="str">
        <f t="shared" si="12"/>
        <v>--</v>
      </c>
      <c r="I77" s="205" t="str">
        <f t="shared" si="13"/>
        <v>--</v>
      </c>
      <c r="J77" s="53"/>
      <c r="K77" s="42"/>
    </row>
    <row r="78" spans="1:11" x14ac:dyDescent="0.2">
      <c r="A78" s="42"/>
      <c r="B78" s="207" t="str">
        <f>IF(BackupMethod="Exchange Native Data Protection","--",IF(TotNumDBCopiesServer&gt;COUNTA(B$15:B77),B77+1,"--"))</f>
        <v>--</v>
      </c>
      <c r="C78" s="205"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205" t="str">
        <f t="shared" si="8"/>
        <v>--</v>
      </c>
      <c r="E78" s="205" t="str">
        <f t="shared" si="9"/>
        <v>--</v>
      </c>
      <c r="F78" s="205" t="str">
        <f t="shared" si="10"/>
        <v>--</v>
      </c>
      <c r="G78" s="205" t="str">
        <f t="shared" si="11"/>
        <v>--</v>
      </c>
      <c r="H78" s="205" t="str">
        <f t="shared" si="12"/>
        <v>--</v>
      </c>
      <c r="I78" s="205" t="str">
        <f t="shared" si="13"/>
        <v>--</v>
      </c>
      <c r="J78" s="53"/>
      <c r="K78" s="42"/>
    </row>
    <row r="79" spans="1:11" x14ac:dyDescent="0.2">
      <c r="A79" s="42"/>
      <c r="B79" s="207" t="str">
        <f>IF(BackupMethod="Exchange Native Data Protection","--",IF(TotNumDBCopiesServer&gt;COUNTA(B$15:B78),B78+1,"--"))</f>
        <v>--</v>
      </c>
      <c r="C79" s="205"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205" t="str">
        <f t="shared" si="8"/>
        <v>--</v>
      </c>
      <c r="E79" s="205" t="str">
        <f t="shared" si="9"/>
        <v>--</v>
      </c>
      <c r="F79" s="205" t="str">
        <f t="shared" si="10"/>
        <v>--</v>
      </c>
      <c r="G79" s="205" t="str">
        <f t="shared" si="11"/>
        <v>--</v>
      </c>
      <c r="H79" s="205" t="str">
        <f t="shared" si="12"/>
        <v>--</v>
      </c>
      <c r="I79" s="205" t="str">
        <f t="shared" si="13"/>
        <v>--</v>
      </c>
      <c r="J79" s="53"/>
      <c r="K79" s="42"/>
    </row>
    <row r="80" spans="1:11" x14ac:dyDescent="0.2">
      <c r="A80" s="42"/>
      <c r="B80" s="207" t="str">
        <f>IF(BackupMethod="Exchange Native Data Protection","--",IF(TotNumDBCopiesServer&gt;COUNTA(B$15:B79),B79+1,"--"))</f>
        <v>--</v>
      </c>
      <c r="C80" s="205" t="str">
        <f t="shared" si="14"/>
        <v>--</v>
      </c>
      <c r="D80" s="205" t="str">
        <f t="shared" si="8"/>
        <v>--</v>
      </c>
      <c r="E80" s="205" t="str">
        <f t="shared" si="9"/>
        <v>--</v>
      </c>
      <c r="F80" s="205" t="str">
        <f t="shared" si="10"/>
        <v>--</v>
      </c>
      <c r="G80" s="205" t="str">
        <f t="shared" si="11"/>
        <v>--</v>
      </c>
      <c r="H80" s="205" t="str">
        <f t="shared" si="12"/>
        <v>--</v>
      </c>
      <c r="I80" s="205" t="str">
        <f t="shared" si="13"/>
        <v>--</v>
      </c>
      <c r="J80" s="53"/>
      <c r="K80" s="42"/>
    </row>
    <row r="81" spans="1:11" x14ac:dyDescent="0.2">
      <c r="A81" s="42"/>
      <c r="B81" s="207" t="str">
        <f>IF(BackupMethod="Exchange Native Data Protection","--",IF(TotNumDBCopiesServer&gt;COUNTA(B$15:B80),B80+1,"--"))</f>
        <v>--</v>
      </c>
      <c r="C81" s="205" t="str">
        <f t="shared" si="14"/>
        <v>--</v>
      </c>
      <c r="D81" s="205" t="str">
        <f t="shared" si="8"/>
        <v>--</v>
      </c>
      <c r="E81" s="205" t="str">
        <f t="shared" si="9"/>
        <v>--</v>
      </c>
      <c r="F81" s="205" t="str">
        <f t="shared" si="10"/>
        <v>--</v>
      </c>
      <c r="G81" s="205" t="str">
        <f t="shared" si="11"/>
        <v>--</v>
      </c>
      <c r="H81" s="205" t="str">
        <f t="shared" si="12"/>
        <v>--</v>
      </c>
      <c r="I81" s="205" t="str">
        <f t="shared" si="13"/>
        <v>--</v>
      </c>
      <c r="J81" s="53"/>
      <c r="K81" s="42"/>
    </row>
    <row r="82" spans="1:11" x14ac:dyDescent="0.2">
      <c r="A82" s="42"/>
      <c r="B82" s="207" t="str">
        <f>IF(BackupMethod="Exchange Native Data Protection","--",IF(TotNumDBCopiesServer&gt;COUNTA(B$15:B81),B81+1,"--"))</f>
        <v>--</v>
      </c>
      <c r="C82" s="205" t="str">
        <f t="shared" si="14"/>
        <v>--</v>
      </c>
      <c r="D82" s="205" t="str">
        <f t="shared" si="8"/>
        <v>--</v>
      </c>
      <c r="E82" s="205" t="str">
        <f t="shared" si="9"/>
        <v>--</v>
      </c>
      <c r="F82" s="205" t="str">
        <f t="shared" si="10"/>
        <v>--</v>
      </c>
      <c r="G82" s="205" t="str">
        <f t="shared" si="11"/>
        <v>--</v>
      </c>
      <c r="H82" s="205" t="str">
        <f t="shared" si="12"/>
        <v>--</v>
      </c>
      <c r="I82" s="205" t="str">
        <f t="shared" si="13"/>
        <v>--</v>
      </c>
      <c r="J82" s="53"/>
      <c r="K82" s="42"/>
    </row>
    <row r="83" spans="1:11" x14ac:dyDescent="0.2">
      <c r="A83" s="42"/>
      <c r="B83" s="207" t="str">
        <f>IF(BackupMethod="Exchange Native Data Protection","--",IF(TotNumDBCopiesServer&gt;COUNTA(B$15:B82),B82+1,"--"))</f>
        <v>--</v>
      </c>
      <c r="C83" s="205"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205" t="str">
        <f t="shared" si="8"/>
        <v>--</v>
      </c>
      <c r="E83" s="205" t="str">
        <f t="shared" si="9"/>
        <v>--</v>
      </c>
      <c r="F83" s="205" t="str">
        <f t="shared" si="10"/>
        <v>--</v>
      </c>
      <c r="G83" s="205" t="str">
        <f t="shared" si="11"/>
        <v>--</v>
      </c>
      <c r="H83" s="205" t="str">
        <f t="shared" si="12"/>
        <v>--</v>
      </c>
      <c r="I83" s="205" t="str">
        <f t="shared" si="13"/>
        <v>--</v>
      </c>
      <c r="J83" s="53"/>
      <c r="K83" s="42"/>
    </row>
    <row r="84" spans="1:11" x14ac:dyDescent="0.2">
      <c r="A84" s="42"/>
      <c r="B84" s="207" t="str">
        <f>IF(BackupMethod="Exchange Native Data Protection","--",IF(TotNumDBCopiesServer&gt;COUNTA(B$15:B83),B83+1,"--"))</f>
        <v>--</v>
      </c>
      <c r="C84" s="205" t="str">
        <f t="shared" si="15"/>
        <v>--</v>
      </c>
      <c r="D84" s="205" t="str">
        <f t="shared" si="8"/>
        <v>--</v>
      </c>
      <c r="E84" s="205" t="str">
        <f t="shared" si="9"/>
        <v>--</v>
      </c>
      <c r="F84" s="205" t="str">
        <f t="shared" si="10"/>
        <v>--</v>
      </c>
      <c r="G84" s="205" t="str">
        <f t="shared" si="11"/>
        <v>--</v>
      </c>
      <c r="H84" s="205" t="str">
        <f t="shared" si="12"/>
        <v>--</v>
      </c>
      <c r="I84" s="205" t="str">
        <f t="shared" si="13"/>
        <v>--</v>
      </c>
      <c r="J84" s="53"/>
      <c r="K84" s="42"/>
    </row>
    <row r="85" spans="1:11" x14ac:dyDescent="0.2">
      <c r="A85" s="42"/>
      <c r="B85" s="207" t="str">
        <f>IF(BackupMethod="Exchange Native Data Protection","--",IF(TotNumDBCopiesServer&gt;COUNTA(B$15:B84),B84+1,"--"))</f>
        <v>--</v>
      </c>
      <c r="C85" s="205"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205" t="str">
        <f t="shared" si="8"/>
        <v>--</v>
      </c>
      <c r="E85" s="205" t="str">
        <f t="shared" si="9"/>
        <v>--</v>
      </c>
      <c r="F85" s="205" t="str">
        <f t="shared" si="10"/>
        <v>--</v>
      </c>
      <c r="G85" s="205" t="str">
        <f t="shared" si="11"/>
        <v>--</v>
      </c>
      <c r="H85" s="205" t="str">
        <f t="shared" si="12"/>
        <v>--</v>
      </c>
      <c r="I85" s="205" t="str">
        <f t="shared" si="13"/>
        <v>--</v>
      </c>
      <c r="J85" s="53"/>
      <c r="K85" s="42"/>
    </row>
    <row r="86" spans="1:11" x14ac:dyDescent="0.2">
      <c r="A86" s="42"/>
      <c r="B86" s="207" t="str">
        <f>IF(BackupMethod="Exchange Native Data Protection","--",IF(TotNumDBCopiesServer&gt;COUNTA(B$15:B85),B85+1,"--"))</f>
        <v>--</v>
      </c>
      <c r="C86" s="205"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205" t="str">
        <f t="shared" si="8"/>
        <v>--</v>
      </c>
      <c r="E86" s="205" t="str">
        <f t="shared" si="9"/>
        <v>--</v>
      </c>
      <c r="F86" s="205" t="str">
        <f t="shared" si="10"/>
        <v>--</v>
      </c>
      <c r="G86" s="205" t="str">
        <f t="shared" si="11"/>
        <v>--</v>
      </c>
      <c r="H86" s="205" t="str">
        <f t="shared" si="12"/>
        <v>--</v>
      </c>
      <c r="I86" s="205" t="str">
        <f t="shared" si="13"/>
        <v>--</v>
      </c>
      <c r="J86" s="53"/>
      <c r="K86" s="42"/>
    </row>
    <row r="87" spans="1:11" x14ac:dyDescent="0.2">
      <c r="A87" s="42"/>
      <c r="B87" s="207" t="str">
        <f>IF(BackupMethod="Exchange Native Data Protection","--",IF(TotNumDBCopiesServer&gt;COUNTA(B$15:B86),B86+1,"--"))</f>
        <v>--</v>
      </c>
      <c r="C87" s="205" t="str">
        <f t="shared" si="15"/>
        <v>--</v>
      </c>
      <c r="D87" s="205" t="str">
        <f t="shared" si="8"/>
        <v>--</v>
      </c>
      <c r="E87" s="205" t="str">
        <f t="shared" si="9"/>
        <v>--</v>
      </c>
      <c r="F87" s="205" t="str">
        <f t="shared" si="10"/>
        <v>--</v>
      </c>
      <c r="G87" s="205" t="str">
        <f t="shared" si="11"/>
        <v>--</v>
      </c>
      <c r="H87" s="205" t="str">
        <f t="shared" si="12"/>
        <v>--</v>
      </c>
      <c r="I87" s="205" t="str">
        <f t="shared" si="13"/>
        <v>--</v>
      </c>
      <c r="J87" s="53"/>
      <c r="K87" s="42"/>
    </row>
    <row r="88" spans="1:11" x14ac:dyDescent="0.2">
      <c r="A88" s="42"/>
      <c r="B88" s="207" t="str">
        <f>IF(BackupMethod="Exchange Native Data Protection","--",IF(TotNumDBCopiesServer&gt;COUNTA(B$15:B87),B87+1,"--"))</f>
        <v>--</v>
      </c>
      <c r="C88" s="205" t="str">
        <f t="shared" si="15"/>
        <v>--</v>
      </c>
      <c r="D88" s="205" t="str">
        <f t="shared" si="8"/>
        <v>--</v>
      </c>
      <c r="E88" s="205" t="str">
        <f t="shared" si="9"/>
        <v>--</v>
      </c>
      <c r="F88" s="205" t="str">
        <f t="shared" si="10"/>
        <v>--</v>
      </c>
      <c r="G88" s="205" t="str">
        <f t="shared" si="11"/>
        <v>--</v>
      </c>
      <c r="H88" s="205" t="str">
        <f t="shared" si="12"/>
        <v>--</v>
      </c>
      <c r="I88" s="205" t="str">
        <f t="shared" si="13"/>
        <v>--</v>
      </c>
      <c r="J88" s="53"/>
      <c r="K88" s="42"/>
    </row>
    <row r="89" spans="1:11" x14ac:dyDescent="0.2">
      <c r="A89" s="42"/>
      <c r="B89" s="207" t="str">
        <f>IF(BackupMethod="Exchange Native Data Protection","--",IF(TotNumDBCopiesServer&gt;COUNTA(B$15:B88),B88+1,"--"))</f>
        <v>--</v>
      </c>
      <c r="C89" s="205" t="str">
        <f t="shared" si="15"/>
        <v>--</v>
      </c>
      <c r="D89" s="205" t="str">
        <f t="shared" si="8"/>
        <v>--</v>
      </c>
      <c r="E89" s="205" t="str">
        <f t="shared" si="9"/>
        <v>--</v>
      </c>
      <c r="F89" s="205" t="str">
        <f t="shared" si="10"/>
        <v>--</v>
      </c>
      <c r="G89" s="205" t="str">
        <f t="shared" si="11"/>
        <v>--</v>
      </c>
      <c r="H89" s="205" t="str">
        <f t="shared" si="12"/>
        <v>--</v>
      </c>
      <c r="I89" s="205" t="str">
        <f t="shared" si="13"/>
        <v>--</v>
      </c>
      <c r="J89" s="53"/>
      <c r="K89" s="42"/>
    </row>
    <row r="90" spans="1:11" x14ac:dyDescent="0.2">
      <c r="A90" s="42"/>
      <c r="B90" s="207" t="str">
        <f>IF(BackupMethod="Exchange Native Data Protection","--",IF(TotNumDBCopiesServer&gt;COUNTA(B$15:B89),B89+1,"--"))</f>
        <v>--</v>
      </c>
      <c r="C90" s="205" t="str">
        <f t="shared" si="15"/>
        <v>--</v>
      </c>
      <c r="D90" s="205" t="str">
        <f t="shared" si="8"/>
        <v>--</v>
      </c>
      <c r="E90" s="205" t="str">
        <f t="shared" si="9"/>
        <v>--</v>
      </c>
      <c r="F90" s="205" t="str">
        <f t="shared" si="10"/>
        <v>--</v>
      </c>
      <c r="G90" s="205" t="str">
        <f t="shared" si="11"/>
        <v>--</v>
      </c>
      <c r="H90" s="205" t="str">
        <f t="shared" si="12"/>
        <v>--</v>
      </c>
      <c r="I90" s="205" t="str">
        <f t="shared" si="13"/>
        <v>--</v>
      </c>
      <c r="J90" s="53"/>
      <c r="K90" s="42"/>
    </row>
    <row r="91" spans="1:11" x14ac:dyDescent="0.2">
      <c r="A91" s="42"/>
      <c r="B91" s="207" t="str">
        <f>IF(BackupMethod="Exchange Native Data Protection","--",IF(TotNumDBCopiesServer&gt;COUNTA(B$15:B90),B90+1,"--"))</f>
        <v>--</v>
      </c>
      <c r="C91" s="205" t="str">
        <f t="shared" si="15"/>
        <v>--</v>
      </c>
      <c r="D91" s="205" t="str">
        <f t="shared" si="8"/>
        <v>--</v>
      </c>
      <c r="E91" s="205" t="str">
        <f t="shared" si="9"/>
        <v>--</v>
      </c>
      <c r="F91" s="205" t="str">
        <f t="shared" si="10"/>
        <v>--</v>
      </c>
      <c r="G91" s="205" t="str">
        <f t="shared" si="11"/>
        <v>--</v>
      </c>
      <c r="H91" s="205" t="str">
        <f t="shared" si="12"/>
        <v>--</v>
      </c>
      <c r="I91" s="205" t="str">
        <f t="shared" si="13"/>
        <v>--</v>
      </c>
      <c r="J91" s="53"/>
      <c r="K91" s="42"/>
    </row>
    <row r="92" spans="1:11" x14ac:dyDescent="0.2">
      <c r="A92" s="42"/>
      <c r="B92" s="207" t="str">
        <f>IF(BackupMethod="Exchange Native Data Protection","--",IF(TotNumDBCopiesServer&gt;COUNTA(B$15:B91),B91+1,"--"))</f>
        <v>--</v>
      </c>
      <c r="C92" s="205"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205" t="str">
        <f t="shared" si="8"/>
        <v>--</v>
      </c>
      <c r="E92" s="205" t="str">
        <f t="shared" si="9"/>
        <v>--</v>
      </c>
      <c r="F92" s="205" t="str">
        <f t="shared" si="10"/>
        <v>--</v>
      </c>
      <c r="G92" s="205" t="str">
        <f t="shared" si="11"/>
        <v>--</v>
      </c>
      <c r="H92" s="205" t="str">
        <f t="shared" si="12"/>
        <v>--</v>
      </c>
      <c r="I92" s="205" t="str">
        <f t="shared" si="13"/>
        <v>--</v>
      </c>
      <c r="J92" s="53"/>
      <c r="K92" s="42"/>
    </row>
    <row r="93" spans="1:11" x14ac:dyDescent="0.2">
      <c r="A93" s="42"/>
      <c r="B93" s="207" t="str">
        <f>IF(BackupMethod="Exchange Native Data Protection","--",IF(TotNumDBCopiesServer&gt;COUNTA(B$15:B92),B92+1,"--"))</f>
        <v>--</v>
      </c>
      <c r="C93" s="205"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205" t="str">
        <f t="shared" si="8"/>
        <v>--</v>
      </c>
      <c r="E93" s="205" t="str">
        <f t="shared" si="9"/>
        <v>--</v>
      </c>
      <c r="F93" s="205" t="str">
        <f t="shared" si="10"/>
        <v>--</v>
      </c>
      <c r="G93" s="205" t="str">
        <f t="shared" si="11"/>
        <v>--</v>
      </c>
      <c r="H93" s="205" t="str">
        <f t="shared" si="12"/>
        <v>--</v>
      </c>
      <c r="I93" s="205" t="str">
        <f t="shared" si="13"/>
        <v>--</v>
      </c>
      <c r="J93" s="53"/>
      <c r="K93" s="42"/>
    </row>
    <row r="94" spans="1:11" x14ac:dyDescent="0.2">
      <c r="A94" s="42"/>
      <c r="B94" s="207" t="str">
        <f>IF(BackupMethod="Exchange Native Data Protection","--",IF(TotNumDBCopiesServer&gt;COUNTA(B$15:B93),B93+1,"--"))</f>
        <v>--</v>
      </c>
      <c r="C94" s="205" t="str">
        <f t="shared" si="15"/>
        <v>--</v>
      </c>
      <c r="D94" s="205" t="str">
        <f t="shared" si="8"/>
        <v>--</v>
      </c>
      <c r="E94" s="205" t="str">
        <f t="shared" si="9"/>
        <v>--</v>
      </c>
      <c r="F94" s="205" t="str">
        <f t="shared" si="10"/>
        <v>--</v>
      </c>
      <c r="G94" s="205" t="str">
        <f t="shared" si="11"/>
        <v>--</v>
      </c>
      <c r="H94" s="205" t="str">
        <f t="shared" si="12"/>
        <v>--</v>
      </c>
      <c r="I94" s="205" t="str">
        <f t="shared" si="13"/>
        <v>--</v>
      </c>
      <c r="J94" s="53"/>
      <c r="K94" s="42"/>
    </row>
    <row r="95" spans="1:11" x14ac:dyDescent="0.2">
      <c r="A95" s="42"/>
      <c r="B95" s="207" t="str">
        <f>IF(BackupMethod="Exchange Native Data Protection","--",IF(TotNumDBCopiesServer&gt;COUNTA(B$15:B94),B94+1,"--"))</f>
        <v>--</v>
      </c>
      <c r="C95" s="205" t="str">
        <f t="shared" si="15"/>
        <v>--</v>
      </c>
      <c r="D95" s="205" t="str">
        <f t="shared" si="8"/>
        <v>--</v>
      </c>
      <c r="E95" s="205" t="str">
        <f t="shared" si="9"/>
        <v>--</v>
      </c>
      <c r="F95" s="205" t="str">
        <f t="shared" si="10"/>
        <v>--</v>
      </c>
      <c r="G95" s="205" t="str">
        <f t="shared" si="11"/>
        <v>--</v>
      </c>
      <c r="H95" s="205" t="str">
        <f t="shared" si="12"/>
        <v>--</v>
      </c>
      <c r="I95" s="205" t="str">
        <f t="shared" si="13"/>
        <v>--</v>
      </c>
      <c r="J95" s="53"/>
      <c r="K95" s="42"/>
    </row>
    <row r="96" spans="1:11" x14ac:dyDescent="0.2">
      <c r="A96" s="42"/>
      <c r="B96" s="207" t="str">
        <f>IF(BackupMethod="Exchange Native Data Protection","--",IF(TotNumDBCopiesServer&gt;COUNTA(B$15:B95),B95+1,"--"))</f>
        <v>--</v>
      </c>
      <c r="C96" s="205" t="str">
        <f t="shared" si="15"/>
        <v>--</v>
      </c>
      <c r="D96" s="205" t="str">
        <f t="shared" si="8"/>
        <v>--</v>
      </c>
      <c r="E96" s="205" t="str">
        <f t="shared" si="9"/>
        <v>--</v>
      </c>
      <c r="F96" s="205" t="str">
        <f t="shared" si="10"/>
        <v>--</v>
      </c>
      <c r="G96" s="205" t="str">
        <f t="shared" si="11"/>
        <v>--</v>
      </c>
      <c r="H96" s="205" t="str">
        <f t="shared" si="12"/>
        <v>--</v>
      </c>
      <c r="I96" s="205" t="str">
        <f t="shared" si="13"/>
        <v>--</v>
      </c>
      <c r="J96" s="53"/>
      <c r="K96" s="42"/>
    </row>
    <row r="97" spans="1:11" x14ac:dyDescent="0.2">
      <c r="A97" s="42"/>
      <c r="B97" s="207" t="str">
        <f>IF(BackupMethod="Exchange Native Data Protection","--",IF(TotNumDBCopiesServer&gt;COUNTA(B$15:B96),B96+1,"--"))</f>
        <v>--</v>
      </c>
      <c r="C97" s="205" t="str">
        <f t="shared" si="15"/>
        <v>--</v>
      </c>
      <c r="D97" s="205" t="str">
        <f t="shared" si="8"/>
        <v>--</v>
      </c>
      <c r="E97" s="205" t="str">
        <f t="shared" si="9"/>
        <v>--</v>
      </c>
      <c r="F97" s="205" t="str">
        <f t="shared" si="10"/>
        <v>--</v>
      </c>
      <c r="G97" s="205" t="str">
        <f t="shared" si="11"/>
        <v>--</v>
      </c>
      <c r="H97" s="205" t="str">
        <f t="shared" si="12"/>
        <v>--</v>
      </c>
      <c r="I97" s="205" t="str">
        <f t="shared" si="13"/>
        <v>--</v>
      </c>
      <c r="J97" s="53"/>
      <c r="K97" s="42"/>
    </row>
    <row r="98" spans="1:11" x14ac:dyDescent="0.2">
      <c r="A98" s="42"/>
      <c r="B98" s="207" t="str">
        <f>IF(BackupMethod="Exchange Native Data Protection","--",IF(TotNumDBCopiesServer&gt;COUNTA(B$15:B97),B97+1,"--"))</f>
        <v>--</v>
      </c>
      <c r="C98" s="205" t="str">
        <f t="shared" si="15"/>
        <v>--</v>
      </c>
      <c r="D98" s="205" t="str">
        <f t="shared" si="8"/>
        <v>--</v>
      </c>
      <c r="E98" s="205" t="str">
        <f t="shared" si="9"/>
        <v>--</v>
      </c>
      <c r="F98" s="205" t="str">
        <f t="shared" si="10"/>
        <v>--</v>
      </c>
      <c r="G98" s="205" t="str">
        <f t="shared" si="11"/>
        <v>--</v>
      </c>
      <c r="H98" s="205" t="str">
        <f t="shared" si="12"/>
        <v>--</v>
      </c>
      <c r="I98" s="205" t="str">
        <f t="shared" si="13"/>
        <v>--</v>
      </c>
      <c r="J98" s="53"/>
      <c r="K98" s="42"/>
    </row>
    <row r="99" spans="1:11" x14ac:dyDescent="0.2">
      <c r="A99" s="42"/>
      <c r="B99" s="207" t="str">
        <f>IF(BackupMethod="Exchange Native Data Protection","--",IF(TotNumDBCopiesServer&gt;COUNTA(B$15:B98),B98+1,"--"))</f>
        <v>--</v>
      </c>
      <c r="C99" s="205"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205" t="str">
        <f t="shared" si="8"/>
        <v>--</v>
      </c>
      <c r="E99" s="205" t="str">
        <f t="shared" si="9"/>
        <v>--</v>
      </c>
      <c r="F99" s="205" t="str">
        <f t="shared" si="10"/>
        <v>--</v>
      </c>
      <c r="G99" s="205" t="str">
        <f t="shared" si="11"/>
        <v>--</v>
      </c>
      <c r="H99" s="205" t="str">
        <f t="shared" si="12"/>
        <v>--</v>
      </c>
      <c r="I99" s="205" t="str">
        <f t="shared" si="13"/>
        <v>--</v>
      </c>
      <c r="J99" s="53"/>
      <c r="K99" s="42"/>
    </row>
    <row r="100" spans="1:11" x14ac:dyDescent="0.2">
      <c r="A100" s="42"/>
      <c r="B100" s="207" t="str">
        <f>IF(BackupMethod="Exchange Native Data Protection","--",IF(TotNumDBCopiesServer&gt;COUNTA(B$15:B99),B99+1,"--"))</f>
        <v>--</v>
      </c>
      <c r="C100" s="205"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205" t="str">
        <f t="shared" si="8"/>
        <v>--</v>
      </c>
      <c r="E100" s="205" t="str">
        <f t="shared" si="9"/>
        <v>--</v>
      </c>
      <c r="F100" s="205" t="str">
        <f t="shared" si="10"/>
        <v>--</v>
      </c>
      <c r="G100" s="205" t="str">
        <f t="shared" si="11"/>
        <v>--</v>
      </c>
      <c r="H100" s="205" t="str">
        <f t="shared" si="12"/>
        <v>--</v>
      </c>
      <c r="I100" s="205" t="str">
        <f t="shared" si="13"/>
        <v>--</v>
      </c>
      <c r="J100" s="53"/>
      <c r="K100" s="42"/>
    </row>
    <row r="101" spans="1:11" x14ac:dyDescent="0.2">
      <c r="A101" s="42"/>
      <c r="B101" s="207" t="str">
        <f>IF(BackupMethod="Exchange Native Data Protection","--",IF(TotNumDBCopiesServer&gt;COUNTA(B$15:B100),B100+1,"--"))</f>
        <v>--</v>
      </c>
      <c r="C101" s="205" t="str">
        <f t="shared" si="15"/>
        <v>--</v>
      </c>
      <c r="D101" s="205" t="str">
        <f t="shared" si="8"/>
        <v>--</v>
      </c>
      <c r="E101" s="205" t="str">
        <f t="shared" si="9"/>
        <v>--</v>
      </c>
      <c r="F101" s="205" t="str">
        <f t="shared" si="10"/>
        <v>--</v>
      </c>
      <c r="G101" s="205" t="str">
        <f t="shared" si="11"/>
        <v>--</v>
      </c>
      <c r="H101" s="205" t="str">
        <f t="shared" si="12"/>
        <v>--</v>
      </c>
      <c r="I101" s="205" t="str">
        <f t="shared" si="13"/>
        <v>--</v>
      </c>
      <c r="J101" s="53"/>
      <c r="K101" s="42"/>
    </row>
    <row r="102" spans="1:11" x14ac:dyDescent="0.2">
      <c r="A102" s="42"/>
      <c r="B102" s="207" t="str">
        <f>IF(BackupMethod="Exchange Native Data Protection","--",IF(TotNumDBCopiesServer&gt;COUNTA(B$15:B101),B101+1,"--"))</f>
        <v>--</v>
      </c>
      <c r="C102" s="205" t="str">
        <f t="shared" si="15"/>
        <v>--</v>
      </c>
      <c r="D102" s="205" t="str">
        <f t="shared" si="8"/>
        <v>--</v>
      </c>
      <c r="E102" s="205" t="str">
        <f t="shared" si="9"/>
        <v>--</v>
      </c>
      <c r="F102" s="205" t="str">
        <f t="shared" si="10"/>
        <v>--</v>
      </c>
      <c r="G102" s="205" t="str">
        <f t="shared" si="11"/>
        <v>--</v>
      </c>
      <c r="H102" s="205" t="str">
        <f t="shared" si="12"/>
        <v>--</v>
      </c>
      <c r="I102" s="205" t="str">
        <f t="shared" si="13"/>
        <v>--</v>
      </c>
      <c r="J102" s="53"/>
      <c r="K102" s="42"/>
    </row>
    <row r="103" spans="1:11" x14ac:dyDescent="0.2">
      <c r="A103" s="42"/>
      <c r="B103" s="207" t="str">
        <f>IF(BackupMethod="Exchange Native Data Protection","--",IF(TotNumDBCopiesServer&gt;COUNTA(B$15:B102),B102+1,"--"))</f>
        <v>--</v>
      </c>
      <c r="C103" s="205" t="str">
        <f t="shared" si="15"/>
        <v>--</v>
      </c>
      <c r="D103" s="205" t="str">
        <f t="shared" si="8"/>
        <v>--</v>
      </c>
      <c r="E103" s="205" t="str">
        <f t="shared" si="9"/>
        <v>--</v>
      </c>
      <c r="F103" s="205" t="str">
        <f t="shared" si="10"/>
        <v>--</v>
      </c>
      <c r="G103" s="205" t="str">
        <f t="shared" si="11"/>
        <v>--</v>
      </c>
      <c r="H103" s="205" t="str">
        <f t="shared" si="12"/>
        <v>--</v>
      </c>
      <c r="I103" s="205" t="str">
        <f t="shared" si="13"/>
        <v>--</v>
      </c>
      <c r="J103" s="53"/>
      <c r="K103" s="42"/>
    </row>
    <row r="104" spans="1:11" x14ac:dyDescent="0.2">
      <c r="A104" s="42"/>
      <c r="B104" s="207" t="str">
        <f>IF(BackupMethod="Exchange Native Data Protection","--",IF(TotNumDBCopiesServer&gt;COUNTA(B$15:B103),B103+1,"--"))</f>
        <v>--</v>
      </c>
      <c r="C104" s="205" t="str">
        <f t="shared" si="15"/>
        <v>--</v>
      </c>
      <c r="D104" s="205" t="str">
        <f t="shared" si="8"/>
        <v>--</v>
      </c>
      <c r="E104" s="205" t="str">
        <f t="shared" si="9"/>
        <v>--</v>
      </c>
      <c r="F104" s="205" t="str">
        <f t="shared" si="10"/>
        <v>--</v>
      </c>
      <c r="G104" s="205" t="str">
        <f t="shared" si="11"/>
        <v>--</v>
      </c>
      <c r="H104" s="205" t="str">
        <f t="shared" si="12"/>
        <v>--</v>
      </c>
      <c r="I104" s="205" t="str">
        <f t="shared" si="13"/>
        <v>--</v>
      </c>
      <c r="J104" s="53"/>
      <c r="K104" s="42"/>
    </row>
    <row r="105" spans="1:11" x14ac:dyDescent="0.2">
      <c r="A105" s="42"/>
      <c r="B105" s="207" t="str">
        <f>IF(BackupMethod="Exchange Native Data Protection","--",IF(TotNumDBCopiesServer&gt;COUNTA(B$15:B104),B104+1,"--"))</f>
        <v>--</v>
      </c>
      <c r="C105" s="205" t="str">
        <f t="shared" si="15"/>
        <v>--</v>
      </c>
      <c r="D105" s="205" t="str">
        <f t="shared" si="8"/>
        <v>--</v>
      </c>
      <c r="E105" s="205" t="str">
        <f t="shared" si="9"/>
        <v>--</v>
      </c>
      <c r="F105" s="205" t="str">
        <f t="shared" si="10"/>
        <v>--</v>
      </c>
      <c r="G105" s="205" t="str">
        <f t="shared" si="11"/>
        <v>--</v>
      </c>
      <c r="H105" s="205" t="str">
        <f t="shared" si="12"/>
        <v>--</v>
      </c>
      <c r="I105" s="205" t="str">
        <f t="shared" si="13"/>
        <v>--</v>
      </c>
      <c r="J105" s="53"/>
      <c r="K105" s="42"/>
    </row>
    <row r="106" spans="1:11" x14ac:dyDescent="0.2">
      <c r="A106" s="42"/>
      <c r="B106" s="207" t="str">
        <f>IF(BackupMethod="Exchange Native Data Protection","--",IF(TotNumDBCopiesServer&gt;COUNTA(B$15:B105),B105+1,"--"))</f>
        <v>--</v>
      </c>
      <c r="C106" s="205"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205" t="str">
        <f t="shared" si="8"/>
        <v>--</v>
      </c>
      <c r="E106" s="205" t="str">
        <f t="shared" si="9"/>
        <v>--</v>
      </c>
      <c r="F106" s="205" t="str">
        <f t="shared" si="10"/>
        <v>--</v>
      </c>
      <c r="G106" s="205" t="str">
        <f t="shared" si="11"/>
        <v>--</v>
      </c>
      <c r="H106" s="205" t="str">
        <f t="shared" si="12"/>
        <v>--</v>
      </c>
      <c r="I106" s="205" t="str">
        <f t="shared" si="13"/>
        <v>--</v>
      </c>
      <c r="J106" s="53"/>
      <c r="K106" s="42"/>
    </row>
    <row r="107" spans="1:11" x14ac:dyDescent="0.2">
      <c r="A107" s="42"/>
      <c r="B107" s="207" t="str">
        <f>IF(BackupMethod="Exchange Native Data Protection","--",IF(TotNumDBCopiesServer&gt;COUNTA(B$15:B106),B106+1,"--"))</f>
        <v>--</v>
      </c>
      <c r="C107" s="205"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205" t="str">
        <f t="shared" si="8"/>
        <v>--</v>
      </c>
      <c r="E107" s="205" t="str">
        <f t="shared" si="9"/>
        <v>--</v>
      </c>
      <c r="F107" s="205" t="str">
        <f t="shared" si="10"/>
        <v>--</v>
      </c>
      <c r="G107" s="205" t="str">
        <f t="shared" si="11"/>
        <v>--</v>
      </c>
      <c r="H107" s="205" t="str">
        <f t="shared" si="12"/>
        <v>--</v>
      </c>
      <c r="I107" s="205" t="str">
        <f t="shared" si="13"/>
        <v>--</v>
      </c>
      <c r="J107" s="53"/>
      <c r="K107" s="42"/>
    </row>
    <row r="108" spans="1:11" x14ac:dyDescent="0.2">
      <c r="A108" s="42"/>
      <c r="B108" s="207" t="str">
        <f>IF(BackupMethod="Exchange Native Data Protection","--",IF(TotNumDBCopiesServer&gt;COUNTA(B$15:B107),B107+1,"--"))</f>
        <v>--</v>
      </c>
      <c r="C108" s="205" t="str">
        <f t="shared" si="15"/>
        <v>--</v>
      </c>
      <c r="D108" s="205" t="str">
        <f t="shared" si="8"/>
        <v>--</v>
      </c>
      <c r="E108" s="205" t="str">
        <f t="shared" si="9"/>
        <v>--</v>
      </c>
      <c r="F108" s="205" t="str">
        <f t="shared" si="10"/>
        <v>--</v>
      </c>
      <c r="G108" s="205" t="str">
        <f t="shared" si="11"/>
        <v>--</v>
      </c>
      <c r="H108" s="205" t="str">
        <f t="shared" si="12"/>
        <v>--</v>
      </c>
      <c r="I108" s="205" t="str">
        <f t="shared" si="13"/>
        <v>--</v>
      </c>
      <c r="J108" s="53"/>
      <c r="K108" s="42"/>
    </row>
    <row r="109" spans="1:11" x14ac:dyDescent="0.2">
      <c r="A109" s="42"/>
      <c r="B109" s="207" t="str">
        <f>IF(BackupMethod="Exchange Native Data Protection","--",IF(TotNumDBCopiesServer&gt;COUNTA(B$15:B108),B108+1,"--"))</f>
        <v>--</v>
      </c>
      <c r="C109" s="205" t="str">
        <f t="shared" si="15"/>
        <v>--</v>
      </c>
      <c r="D109" s="205" t="str">
        <f t="shared" si="8"/>
        <v>--</v>
      </c>
      <c r="E109" s="205" t="str">
        <f t="shared" si="9"/>
        <v>--</v>
      </c>
      <c r="F109" s="205" t="str">
        <f t="shared" si="10"/>
        <v>--</v>
      </c>
      <c r="G109" s="205" t="str">
        <f t="shared" si="11"/>
        <v>--</v>
      </c>
      <c r="H109" s="205" t="str">
        <f t="shared" si="12"/>
        <v>--</v>
      </c>
      <c r="I109" s="205" t="str">
        <f t="shared" si="13"/>
        <v>--</v>
      </c>
      <c r="J109" s="53"/>
      <c r="K109" s="42"/>
    </row>
    <row r="110" spans="1:11" x14ac:dyDescent="0.2">
      <c r="A110" s="42"/>
      <c r="B110" s="207" t="str">
        <f>IF(BackupMethod="Exchange Native Data Protection","--",IF(TotNumDBCopiesServer&gt;COUNTA(B$15:B109),B109+1,"--"))</f>
        <v>--</v>
      </c>
      <c r="C110" s="205" t="str">
        <f t="shared" si="15"/>
        <v>--</v>
      </c>
      <c r="D110" s="205" t="str">
        <f t="shared" si="8"/>
        <v>--</v>
      </c>
      <c r="E110" s="205" t="str">
        <f t="shared" si="9"/>
        <v>--</v>
      </c>
      <c r="F110" s="205" t="str">
        <f t="shared" si="10"/>
        <v>--</v>
      </c>
      <c r="G110" s="205" t="str">
        <f t="shared" si="11"/>
        <v>--</v>
      </c>
      <c r="H110" s="205" t="str">
        <f t="shared" si="12"/>
        <v>--</v>
      </c>
      <c r="I110" s="205" t="str">
        <f t="shared" si="13"/>
        <v>--</v>
      </c>
      <c r="J110" s="53"/>
      <c r="K110" s="42"/>
    </row>
    <row r="111" spans="1:11" x14ac:dyDescent="0.2">
      <c r="A111" s="42"/>
      <c r="B111" s="207" t="str">
        <f>IF(BackupMethod="Exchange Native Data Protection","--",IF(TotNumDBCopiesServer&gt;COUNTA(B$15:B110),B110+1,"--"))</f>
        <v>--</v>
      </c>
      <c r="C111" s="205" t="str">
        <f t="shared" si="15"/>
        <v>--</v>
      </c>
      <c r="D111" s="205" t="str">
        <f t="shared" si="8"/>
        <v>--</v>
      </c>
      <c r="E111" s="205" t="str">
        <f t="shared" si="9"/>
        <v>--</v>
      </c>
      <c r="F111" s="205" t="str">
        <f t="shared" si="10"/>
        <v>--</v>
      </c>
      <c r="G111" s="205" t="str">
        <f t="shared" si="11"/>
        <v>--</v>
      </c>
      <c r="H111" s="205" t="str">
        <f t="shared" si="12"/>
        <v>--</v>
      </c>
      <c r="I111" s="205" t="str">
        <f t="shared" si="13"/>
        <v>--</v>
      </c>
      <c r="J111" s="53"/>
      <c r="K111" s="42"/>
    </row>
    <row r="112" spans="1:11" x14ac:dyDescent="0.2">
      <c r="A112" s="42"/>
      <c r="B112" s="207" t="str">
        <f>IF(BackupMethod="Exchange Native Data Protection","--",IF(TotNumDBCopiesServer&gt;COUNTA(B$15:B111),B111+1,"--"))</f>
        <v>--</v>
      </c>
      <c r="C112" s="205" t="str">
        <f t="shared" si="15"/>
        <v>--</v>
      </c>
      <c r="D112" s="205" t="str">
        <f>IF($B112="--","--",IF(BackupFreq="Daily Full","Full",IF(AND($C111="Full",ROW(D112)&lt;&gt;ROW($C111)),"Full",IF(BackupFreq="Weekly Full / Daily Incremental","Incremental","Differential"))))</f>
        <v>--</v>
      </c>
      <c r="E112" s="205" t="str">
        <f>IF($B112="--","--",IF(BackupFreq="Daily Full","Full",IF(AND(D112="Full",ROW(E112)=ROW(D112)),IF(BackupFreq="Weekly Full / Daily Incremental","Incremental","Differential"),IF(AND($D111="Full",ROW(E112)&lt;&gt;ROW($D111)),"Full",IF(BackupFreq="Weekly Full / Daily Incremental","Incremental","Differential")))))</f>
        <v>--</v>
      </c>
      <c r="F112" s="205"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205"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205"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205"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J112" s="53"/>
      <c r="K112" s="42"/>
    </row>
    <row r="113" spans="1:11" x14ac:dyDescent="0.2">
      <c r="A113" s="42"/>
      <c r="B113" s="207" t="str">
        <f>IF(BackupMethod="Exchange Native Data Protection","--",IF(TotNumDBCopiesServer&gt;COUNTA(B$15:B112),B112+1,"--"))</f>
        <v>--</v>
      </c>
      <c r="C113" s="205"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205" t="str">
        <f>IF($B113="--","--",IF(BackupFreq="Daily Full","Full",IF(AND($C112="Full",ROW(D113)&lt;&gt;ROW($C112)),"Full",IF(BackupFreq="Weekly Full / Daily Incremental","Incremental","Differential"))))</f>
        <v>--</v>
      </c>
      <c r="E113" s="205" t="str">
        <f>IF($B113="--","--",IF(BackupFreq="Daily Full","Full",IF(AND(D113="Full",ROW(E113)=ROW(D113)),IF(BackupFreq="Weekly Full / Daily Incremental","Incremental","Differential"),IF(AND($D112="Full",ROW(E113)&lt;&gt;ROW($D112)),"Full",IF(BackupFreq="Weekly Full / Daily Incremental","Incremental","Differential")))))</f>
        <v>--</v>
      </c>
      <c r="F113" s="205"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205"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205"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205"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J113" s="53"/>
      <c r="K113" s="42"/>
    </row>
    <row r="114" spans="1:11" x14ac:dyDescent="0.2">
      <c r="A114" s="42"/>
      <c r="B114" s="207" t="str">
        <f>IF(BackupMethod="Exchange Native Data Protection","--",IF(TotNumDBCopiesServer&gt;COUNTA(B$15:B113),B113+1,"--"))</f>
        <v>--</v>
      </c>
      <c r="C114" s="205"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265" t="str">
        <f>IF($B114="--","--",IF(BackupFreq="Daily Full","Full",IF(AND($C113="Full",ROW(D114)&lt;&gt;ROW($C113)),"Full",IF(BackupFreq="Weekly Full / Daily Incremental","Incremental","Differential"))))</f>
        <v>--</v>
      </c>
      <c r="E114" s="265" t="str">
        <f>IF($B114="--","--",IF(BackupFreq="Daily Full","Full",IF(AND(D114="Full",ROW(E114)=ROW(D114)),IF(BackupFreq="Weekly Full / Daily Incremental","Incremental","Differential"),IF(AND($D113="Full",ROW(E114)&lt;&gt;ROW($D113)),"Full",IF(BackupFreq="Weekly Full / Daily Incremental","Incremental","Differential")))))</f>
        <v>--</v>
      </c>
      <c r="F114" s="265"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265"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265"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205"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J114" s="53"/>
      <c r="K114" s="42"/>
    </row>
    <row r="115" spans="1:11" ht="15.75" thickBot="1" x14ac:dyDescent="0.25">
      <c r="A115" s="42"/>
      <c r="B115" s="325"/>
      <c r="C115" s="326"/>
      <c r="D115" s="326"/>
      <c r="E115" s="326"/>
      <c r="F115" s="326"/>
      <c r="G115" s="326"/>
      <c r="H115" s="326"/>
      <c r="I115" s="326"/>
      <c r="J115" s="53"/>
      <c r="K115" s="42"/>
    </row>
    <row r="116" spans="1:11" x14ac:dyDescent="0.2">
      <c r="B116" s="264"/>
      <c r="C116" s="265"/>
      <c r="D116" s="265"/>
      <c r="E116" s="265"/>
      <c r="F116" s="265"/>
      <c r="G116" s="265"/>
      <c r="H116" s="265"/>
      <c r="I116" s="265"/>
      <c r="J116" s="456"/>
      <c r="K116" s="456"/>
    </row>
    <row r="117" spans="1:11" x14ac:dyDescent="0.2">
      <c r="B117" s="264"/>
      <c r="C117" s="265"/>
      <c r="D117" s="265"/>
      <c r="E117" s="265"/>
      <c r="F117" s="265"/>
      <c r="G117" s="265"/>
      <c r="H117" s="265"/>
      <c r="I117" s="265"/>
      <c r="J117" s="53"/>
      <c r="K117" s="53"/>
    </row>
    <row r="118" spans="1:11" x14ac:dyDescent="0.2">
      <c r="B118" s="264"/>
      <c r="C118" s="265"/>
      <c r="D118" s="265"/>
      <c r="E118" s="265"/>
      <c r="F118" s="265"/>
      <c r="G118" s="265"/>
      <c r="H118" s="265"/>
      <c r="I118" s="265"/>
      <c r="J118" s="53"/>
      <c r="K118" s="53"/>
    </row>
    <row r="119" spans="1:11" x14ac:dyDescent="0.2">
      <c r="B119" s="264"/>
      <c r="C119" s="265"/>
      <c r="D119" s="265"/>
      <c r="E119" s="265"/>
      <c r="F119" s="265"/>
      <c r="G119" s="265"/>
      <c r="H119" s="265"/>
      <c r="I119" s="265"/>
      <c r="J119" s="53"/>
      <c r="K119" s="53"/>
    </row>
    <row r="120" spans="1:11" x14ac:dyDescent="0.2">
      <c r="B120" s="264"/>
      <c r="C120" s="265"/>
      <c r="D120" s="265"/>
      <c r="E120" s="265"/>
      <c r="F120" s="265"/>
      <c r="G120" s="265"/>
      <c r="H120" s="265"/>
      <c r="I120" s="265"/>
      <c r="J120" s="53"/>
      <c r="K120" s="53"/>
    </row>
    <row r="121" spans="1:11" x14ac:dyDescent="0.2">
      <c r="B121" s="264"/>
      <c r="C121" s="265"/>
      <c r="D121" s="265"/>
      <c r="E121" s="265"/>
      <c r="F121" s="265"/>
      <c r="G121" s="265"/>
      <c r="H121" s="265"/>
      <c r="I121" s="265"/>
      <c r="J121" s="53"/>
      <c r="K121" s="53"/>
    </row>
    <row r="122" spans="1:11" x14ac:dyDescent="0.2">
      <c r="B122" s="264"/>
      <c r="C122" s="265"/>
      <c r="D122" s="265"/>
      <c r="E122" s="265"/>
      <c r="F122" s="265"/>
      <c r="G122" s="265"/>
      <c r="H122" s="265"/>
      <c r="I122" s="265"/>
      <c r="J122" s="53"/>
      <c r="K122" s="53"/>
    </row>
    <row r="123" spans="1:11" x14ac:dyDescent="0.2">
      <c r="B123" s="264"/>
      <c r="C123" s="265"/>
      <c r="D123" s="265"/>
      <c r="E123" s="265"/>
      <c r="F123" s="265"/>
      <c r="G123" s="265"/>
      <c r="H123" s="265"/>
      <c r="I123" s="265"/>
      <c r="J123" s="53"/>
      <c r="K123" s="53"/>
    </row>
    <row r="124" spans="1:11" x14ac:dyDescent="0.2">
      <c r="B124" s="264"/>
      <c r="C124" s="265"/>
      <c r="D124" s="265"/>
      <c r="E124" s="265"/>
      <c r="F124" s="265"/>
      <c r="G124" s="265"/>
      <c r="H124" s="265"/>
      <c r="I124" s="265"/>
      <c r="J124" s="53"/>
      <c r="K124" s="53"/>
    </row>
    <row r="125" spans="1:11" x14ac:dyDescent="0.2">
      <c r="B125" s="264"/>
      <c r="C125" s="265"/>
      <c r="D125" s="265"/>
      <c r="E125" s="265"/>
      <c r="F125" s="265"/>
      <c r="G125" s="265"/>
      <c r="H125" s="265"/>
      <c r="I125" s="265"/>
      <c r="J125" s="53"/>
      <c r="K125" s="53"/>
    </row>
    <row r="126" spans="1:11" x14ac:dyDescent="0.2">
      <c r="B126" s="264"/>
      <c r="C126" s="265"/>
      <c r="D126" s="265"/>
      <c r="E126" s="265"/>
      <c r="F126" s="265"/>
      <c r="G126" s="265"/>
      <c r="H126" s="265"/>
      <c r="I126" s="265"/>
      <c r="J126" s="53"/>
      <c r="K126" s="53"/>
    </row>
    <row r="127" spans="1:11" x14ac:dyDescent="0.2">
      <c r="B127" s="264"/>
      <c r="C127" s="265"/>
      <c r="D127" s="265"/>
      <c r="E127" s="265"/>
      <c r="F127" s="265"/>
      <c r="G127" s="265"/>
      <c r="H127" s="265"/>
      <c r="I127" s="265"/>
      <c r="J127" s="53"/>
      <c r="K127" s="53"/>
    </row>
    <row r="128" spans="1:11" x14ac:dyDescent="0.2">
      <c r="B128" s="264"/>
      <c r="C128" s="265"/>
      <c r="D128" s="265"/>
      <c r="E128" s="265"/>
      <c r="F128" s="265"/>
      <c r="G128" s="265"/>
      <c r="H128" s="265"/>
      <c r="I128" s="265"/>
      <c r="J128" s="53"/>
      <c r="K128" s="53"/>
    </row>
    <row r="129" spans="2:11" x14ac:dyDescent="0.2">
      <c r="B129" s="264"/>
      <c r="C129" s="265"/>
      <c r="D129" s="265"/>
      <c r="E129" s="265"/>
      <c r="F129" s="265"/>
      <c r="G129" s="265"/>
      <c r="H129" s="265"/>
      <c r="I129" s="265"/>
      <c r="J129" s="53"/>
      <c r="K129" s="53"/>
    </row>
    <row r="130" spans="2:11" x14ac:dyDescent="0.2">
      <c r="B130" s="264"/>
      <c r="C130" s="265"/>
      <c r="D130" s="265"/>
      <c r="E130" s="265"/>
      <c r="F130" s="265"/>
      <c r="G130" s="265"/>
      <c r="H130" s="265"/>
      <c r="I130" s="265"/>
      <c r="J130" s="53"/>
      <c r="K130" s="53"/>
    </row>
    <row r="131" spans="2:11" x14ac:dyDescent="0.2">
      <c r="B131" s="264"/>
      <c r="C131" s="265"/>
      <c r="D131" s="265"/>
      <c r="E131" s="265"/>
      <c r="F131" s="265"/>
      <c r="G131" s="265"/>
      <c r="H131" s="265"/>
      <c r="I131" s="265"/>
      <c r="J131" s="53"/>
      <c r="K131" s="53"/>
    </row>
    <row r="132" spans="2:11" x14ac:dyDescent="0.2">
      <c r="B132" s="264"/>
      <c r="C132" s="265"/>
      <c r="D132" s="265"/>
      <c r="E132" s="265"/>
      <c r="F132" s="265"/>
      <c r="G132" s="265"/>
      <c r="H132" s="265"/>
      <c r="I132" s="265"/>
      <c r="J132" s="53"/>
      <c r="K132" s="53"/>
    </row>
    <row r="133" spans="2:11" x14ac:dyDescent="0.2">
      <c r="B133" s="207"/>
      <c r="C133" s="205"/>
      <c r="D133" s="205"/>
      <c r="E133" s="205"/>
      <c r="F133" s="205"/>
      <c r="G133" s="205"/>
      <c r="H133" s="205"/>
      <c r="I133" s="205"/>
      <c r="J133" s="53"/>
      <c r="K133" s="53"/>
    </row>
    <row r="134" spans="2:11" x14ac:dyDescent="0.2">
      <c r="J134" s="53"/>
      <c r="K134" s="53"/>
    </row>
    <row r="135" spans="2:11" x14ac:dyDescent="0.2">
      <c r="J135" s="53"/>
      <c r="K135" s="53"/>
    </row>
    <row r="136" spans="2:11" x14ac:dyDescent="0.2">
      <c r="J136" s="53"/>
      <c r="K136" s="53"/>
    </row>
    <row r="137" spans="2:11" x14ac:dyDescent="0.2">
      <c r="J137" s="53"/>
      <c r="K137" s="53"/>
    </row>
    <row r="138" spans="2:11" x14ac:dyDescent="0.2">
      <c r="J138" s="53"/>
      <c r="K138" s="53"/>
    </row>
    <row r="139" spans="2:11" x14ac:dyDescent="0.2">
      <c r="J139" s="53"/>
      <c r="K139" s="53"/>
    </row>
    <row r="140" spans="2:11" x14ac:dyDescent="0.2">
      <c r="J140" s="53"/>
      <c r="K140" s="53"/>
    </row>
    <row r="141" spans="2:11" x14ac:dyDescent="0.2">
      <c r="J141" s="53"/>
      <c r="K141" s="53"/>
    </row>
    <row r="142" spans="2:11" x14ac:dyDescent="0.2">
      <c r="J142" s="53"/>
      <c r="K142" s="53"/>
    </row>
    <row r="143" spans="2:11" x14ac:dyDescent="0.2">
      <c r="J143" s="53"/>
      <c r="K143" s="53"/>
    </row>
    <row r="144" spans="2:11" x14ac:dyDescent="0.2">
      <c r="J144" s="53"/>
      <c r="K144" s="53"/>
    </row>
    <row r="145" spans="10:11" x14ac:dyDescent="0.2">
      <c r="J145" s="53"/>
      <c r="K145" s="53"/>
    </row>
    <row r="146" spans="10:11" x14ac:dyDescent="0.2">
      <c r="J146" s="53"/>
      <c r="K146" s="53"/>
    </row>
    <row r="147" spans="10:11" x14ac:dyDescent="0.2">
      <c r="J147" s="53"/>
      <c r="K147" s="53"/>
    </row>
    <row r="148" spans="10:11" x14ac:dyDescent="0.2">
      <c r="J148" s="53"/>
      <c r="K148" s="53"/>
    </row>
    <row r="149" spans="10:11" x14ac:dyDescent="0.2">
      <c r="J149" s="53"/>
      <c r="K149" s="53"/>
    </row>
    <row r="150" spans="10:11" x14ac:dyDescent="0.2">
      <c r="J150" s="53"/>
      <c r="K150" s="53"/>
    </row>
    <row r="151" spans="10:11" x14ac:dyDescent="0.2">
      <c r="J151" s="53"/>
      <c r="K151" s="53"/>
    </row>
    <row r="152" spans="10:11" x14ac:dyDescent="0.2">
      <c r="J152" s="53"/>
      <c r="K152" s="53"/>
    </row>
    <row r="153" spans="10:11" x14ac:dyDescent="0.2">
      <c r="J153" s="53"/>
      <c r="K153" s="53"/>
    </row>
    <row r="154" spans="10:11" x14ac:dyDescent="0.2">
      <c r="J154" s="53"/>
      <c r="K154" s="53"/>
    </row>
    <row r="155" spans="10:11" x14ac:dyDescent="0.2">
      <c r="J155" s="53"/>
      <c r="K155" s="53"/>
    </row>
    <row r="156" spans="10:11" x14ac:dyDescent="0.2">
      <c r="J156" s="53"/>
      <c r="K156" s="53"/>
    </row>
    <row r="157" spans="10:11" x14ac:dyDescent="0.2">
      <c r="J157" s="53"/>
      <c r="K157" s="53"/>
    </row>
    <row r="158" spans="10:11" x14ac:dyDescent="0.2">
      <c r="J158" s="53"/>
      <c r="K158" s="53"/>
    </row>
    <row r="159" spans="10:11" x14ac:dyDescent="0.2">
      <c r="J159" s="53"/>
      <c r="K159" s="53"/>
    </row>
    <row r="160" spans="10:11" x14ac:dyDescent="0.2">
      <c r="J160" s="53"/>
      <c r="K160" s="53"/>
    </row>
    <row r="161" spans="10:11" x14ac:dyDescent="0.2">
      <c r="J161" s="53"/>
      <c r="K161" s="53"/>
    </row>
    <row r="162" spans="10:11" x14ac:dyDescent="0.2">
      <c r="J162" s="53"/>
      <c r="K162" s="53"/>
    </row>
    <row r="163" spans="10:11" x14ac:dyDescent="0.2">
      <c r="J163" s="53"/>
      <c r="K163" s="53"/>
    </row>
    <row r="164" spans="10:11" x14ac:dyDescent="0.2">
      <c r="J164" s="53"/>
      <c r="K164" s="53"/>
    </row>
    <row r="165" spans="10:11" x14ac:dyDescent="0.2">
      <c r="J165" s="53"/>
      <c r="K165" s="53"/>
    </row>
    <row r="166" spans="10:11" x14ac:dyDescent="0.2">
      <c r="J166" s="53"/>
      <c r="K166" s="53"/>
    </row>
    <row r="167" spans="10:11" x14ac:dyDescent="0.2">
      <c r="J167" s="53"/>
      <c r="K167" s="53"/>
    </row>
    <row r="168" spans="10:11" x14ac:dyDescent="0.2">
      <c r="J168" s="53"/>
      <c r="K168" s="53"/>
    </row>
    <row r="169" spans="10:11" x14ac:dyDescent="0.2">
      <c r="J169" s="53"/>
      <c r="K169" s="53"/>
    </row>
    <row r="170" spans="10:11" x14ac:dyDescent="0.2">
      <c r="J170" s="53"/>
      <c r="K170" s="53"/>
    </row>
    <row r="171" spans="10:11" x14ac:dyDescent="0.2">
      <c r="J171" s="53"/>
      <c r="K171" s="53"/>
    </row>
    <row r="172" spans="10:11" x14ac:dyDescent="0.2">
      <c r="J172" s="53"/>
      <c r="K172" s="53"/>
    </row>
    <row r="173" spans="10:11" x14ac:dyDescent="0.2">
      <c r="J173" s="53"/>
      <c r="K173" s="53"/>
    </row>
    <row r="174" spans="10:11" x14ac:dyDescent="0.2">
      <c r="J174" s="53"/>
      <c r="K174" s="53"/>
    </row>
    <row r="175" spans="10:11" x14ac:dyDescent="0.2">
      <c r="J175" s="53"/>
      <c r="K175" s="53"/>
    </row>
    <row r="176" spans="10:11" x14ac:dyDescent="0.2">
      <c r="J176" s="53"/>
      <c r="K176" s="53"/>
    </row>
    <row r="177" spans="10:11" x14ac:dyDescent="0.2">
      <c r="J177" s="53"/>
      <c r="K177" s="53"/>
    </row>
    <row r="178" spans="10:11" x14ac:dyDescent="0.2">
      <c r="J178" s="53"/>
      <c r="K178" s="53"/>
    </row>
    <row r="179" spans="10:11" x14ac:dyDescent="0.2">
      <c r="J179" s="53"/>
      <c r="K179" s="53"/>
    </row>
    <row r="180" spans="10:11" x14ac:dyDescent="0.2">
      <c r="J180" s="53"/>
      <c r="K180" s="53"/>
    </row>
    <row r="181" spans="10:11" x14ac:dyDescent="0.2">
      <c r="J181" s="53"/>
      <c r="K181" s="53"/>
    </row>
    <row r="182" spans="10:11" x14ac:dyDescent="0.2">
      <c r="J182" s="53"/>
      <c r="K182" s="53"/>
    </row>
    <row r="183" spans="10:11" x14ac:dyDescent="0.2">
      <c r="J183" s="53"/>
      <c r="K183" s="53"/>
    </row>
    <row r="184" spans="10:11" x14ac:dyDescent="0.2">
      <c r="J184" s="53"/>
      <c r="K184" s="53"/>
    </row>
    <row r="185" spans="10:11" x14ac:dyDescent="0.2">
      <c r="J185" s="53"/>
      <c r="K185" s="53"/>
    </row>
    <row r="186" spans="10:11" x14ac:dyDescent="0.2">
      <c r="J186" s="53"/>
      <c r="K186" s="53"/>
    </row>
    <row r="187" spans="10:11" x14ac:dyDescent="0.2">
      <c r="J187" s="53"/>
      <c r="K187" s="53"/>
    </row>
    <row r="188" spans="10:11" x14ac:dyDescent="0.2">
      <c r="J188" s="53"/>
      <c r="K188" s="53"/>
    </row>
  </sheetData>
  <mergeCells count="9">
    <mergeCell ref="B1:K1"/>
    <mergeCell ref="B3:K3"/>
    <mergeCell ref="B6:K6"/>
    <mergeCell ref="F8:J11"/>
    <mergeCell ref="B13:I13"/>
    <mergeCell ref="C9:D9"/>
    <mergeCell ref="C10:D10"/>
    <mergeCell ref="C11:D11"/>
    <mergeCell ref="B8:D8"/>
  </mergeCells>
  <conditionalFormatting sqref="C15:I114">
    <cfRule type="expression" dxfId="157" priority="2" stopIfTrue="1">
      <formula>AND(IF(C15="Full",TRUE),IF(BackupFreq&lt;&gt;"Daily Full",TRUE))</formula>
    </cfRule>
  </conditionalFormatting>
  <conditionalFormatting sqref="F8:J11">
    <cfRule type="expression" dxfId="156"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156"/>
  <sheetViews>
    <sheetView showGridLines="0" showRowColHeaders="0" zoomScale="80" zoomScaleNormal="80" workbookViewId="0">
      <selection activeCell="B1" sqref="B1:AB1"/>
    </sheetView>
  </sheetViews>
  <sheetFormatPr defaultColWidth="9.140625" defaultRowHeight="15" outlineLevelRow="2" x14ac:dyDescent="0.25"/>
  <cols>
    <col min="1" max="1" width="3.42578125" style="66" customWidth="1"/>
    <col min="2" max="2" width="7.140625" style="66" bestFit="1" customWidth="1"/>
    <col min="3" max="3" width="23" style="66" customWidth="1"/>
    <col min="4" max="4" width="25.42578125" style="66" bestFit="1" customWidth="1"/>
    <col min="5" max="5" width="23.140625" style="66" customWidth="1"/>
    <col min="6" max="6" width="8.42578125" style="66" bestFit="1" customWidth="1"/>
    <col min="7" max="7" width="7.85546875" style="66" bestFit="1" customWidth="1"/>
    <col min="8" max="8" width="15.85546875" style="66" customWidth="1"/>
    <col min="9" max="9" width="7.140625" style="66" customWidth="1"/>
    <col min="10" max="10" width="9.5703125" style="66" bestFit="1" customWidth="1"/>
    <col min="11" max="11" width="8.85546875" style="66" bestFit="1" customWidth="1"/>
    <col min="12" max="14" width="11.140625" style="66" customWidth="1"/>
    <col min="15" max="21" width="7.85546875" style="66" bestFit="1" customWidth="1"/>
    <col min="22" max="28" width="6" style="66" bestFit="1" customWidth="1"/>
    <col min="29" max="16384" width="9.140625" style="66"/>
  </cols>
  <sheetData>
    <row r="1" spans="1:28" s="35" customFormat="1" x14ac:dyDescent="0.2">
      <c r="B1" s="1167" t="s">
        <v>272</v>
      </c>
      <c r="C1" s="1168"/>
      <c r="D1" s="1168"/>
      <c r="E1" s="1168"/>
      <c r="F1" s="1168"/>
      <c r="G1" s="1168"/>
      <c r="H1" s="1168"/>
      <c r="I1" s="1168"/>
      <c r="J1" s="1168"/>
      <c r="K1" s="1168"/>
      <c r="L1" s="1168"/>
      <c r="M1" s="1168"/>
      <c r="N1" s="1168"/>
      <c r="O1" s="1168"/>
      <c r="P1" s="1168"/>
      <c r="Q1" s="1168"/>
      <c r="R1" s="1168"/>
      <c r="S1" s="1168"/>
      <c r="T1" s="1168"/>
      <c r="U1" s="1168"/>
      <c r="V1" s="1168"/>
      <c r="W1" s="1168"/>
      <c r="X1" s="1168"/>
      <c r="Y1" s="1168"/>
      <c r="Z1" s="1168"/>
      <c r="AA1" s="1168"/>
      <c r="AB1" s="1169"/>
    </row>
    <row r="2" spans="1:28" s="35" customFormat="1" x14ac:dyDescent="0.2">
      <c r="A2" s="42"/>
      <c r="B2" s="1168" t="s">
        <v>273</v>
      </c>
      <c r="C2" s="1168"/>
      <c r="D2" s="1168"/>
      <c r="E2" s="1168"/>
      <c r="F2" s="1168"/>
      <c r="G2" s="1168"/>
      <c r="H2" s="1168"/>
      <c r="I2" s="1168"/>
      <c r="J2" s="64"/>
      <c r="K2" s="64"/>
      <c r="L2" s="64"/>
      <c r="M2" s="64"/>
      <c r="N2" s="64"/>
      <c r="O2" s="64"/>
      <c r="P2" s="64"/>
      <c r="Q2" s="64"/>
      <c r="R2" s="64"/>
      <c r="S2" s="64"/>
      <c r="T2" s="64"/>
      <c r="U2" s="64"/>
      <c r="V2" s="64"/>
      <c r="W2" s="64"/>
      <c r="X2" s="64"/>
      <c r="Y2" s="64"/>
      <c r="Z2" s="64"/>
      <c r="AA2" s="64"/>
      <c r="AB2" s="65"/>
    </row>
    <row r="3" spans="1:28" s="35" customFormat="1" x14ac:dyDescent="0.2">
      <c r="A3" s="42"/>
      <c r="B3" s="1168" t="s">
        <v>1410</v>
      </c>
      <c r="C3" s="1168"/>
      <c r="D3" s="1168"/>
      <c r="E3" s="1168"/>
      <c r="F3" s="1168"/>
      <c r="G3" s="1168"/>
      <c r="H3" s="1168"/>
      <c r="I3" s="1168"/>
      <c r="J3" s="937"/>
      <c r="K3" s="937"/>
      <c r="L3" s="937"/>
      <c r="M3" s="937"/>
      <c r="N3" s="937"/>
      <c r="O3" s="937"/>
      <c r="P3" s="937"/>
      <c r="Q3" s="937"/>
      <c r="R3" s="937"/>
      <c r="S3" s="937"/>
      <c r="T3" s="937"/>
      <c r="U3" s="937"/>
      <c r="V3" s="937"/>
      <c r="W3" s="937"/>
      <c r="X3" s="937"/>
      <c r="Y3" s="937"/>
      <c r="Z3" s="937"/>
      <c r="AA3" s="937"/>
      <c r="AB3" s="938"/>
    </row>
    <row r="4" spans="1:28" s="35" customFormat="1" x14ac:dyDescent="0.2">
      <c r="A4" s="42"/>
      <c r="B4" s="64"/>
      <c r="C4" s="64"/>
      <c r="D4" s="64"/>
      <c r="E4" s="64"/>
      <c r="F4" s="64"/>
      <c r="G4" s="64"/>
      <c r="H4" s="64"/>
      <c r="I4" s="64"/>
      <c r="J4" s="64"/>
      <c r="K4" s="64"/>
      <c r="L4" s="64"/>
      <c r="M4" s="64"/>
      <c r="N4" s="64"/>
      <c r="O4" s="64"/>
      <c r="P4" s="64"/>
      <c r="Q4" s="64"/>
      <c r="R4" s="64"/>
      <c r="S4" s="64"/>
      <c r="T4" s="64"/>
      <c r="U4" s="64"/>
      <c r="V4" s="64"/>
      <c r="W4" s="64"/>
      <c r="X4" s="64"/>
      <c r="Y4" s="64"/>
      <c r="Z4" s="64"/>
      <c r="AA4" s="64"/>
      <c r="AB4" s="65"/>
    </row>
    <row r="5" spans="1:28" s="35" customFormat="1" x14ac:dyDescent="0.2">
      <c r="A5" s="42"/>
      <c r="B5" s="1170" t="s">
        <v>452</v>
      </c>
      <c r="C5" s="1170"/>
      <c r="D5" s="1170"/>
      <c r="E5" s="1170"/>
      <c r="F5" s="1170"/>
      <c r="G5" s="1170"/>
      <c r="H5" s="1170"/>
      <c r="I5" s="1170"/>
      <c r="J5" s="1170"/>
      <c r="K5" s="1170"/>
      <c r="L5" s="1170"/>
      <c r="M5" s="1170"/>
      <c r="N5" s="1170"/>
      <c r="O5" s="1170"/>
      <c r="P5" s="1170"/>
      <c r="Q5" s="1170"/>
      <c r="R5" s="1170"/>
      <c r="S5" s="1170"/>
      <c r="T5" s="1170"/>
      <c r="U5" s="1170"/>
      <c r="V5" s="1170"/>
      <c r="W5" s="1170"/>
      <c r="X5" s="1170"/>
      <c r="Y5" s="1170"/>
      <c r="Z5" s="1170"/>
      <c r="AA5" s="1170"/>
      <c r="AB5" s="1188"/>
    </row>
    <row r="6" spans="1:28" hidden="1" outlineLevel="1" x14ac:dyDescent="0.25">
      <c r="A6" s="67"/>
      <c r="B6" s="58"/>
      <c r="AB6" s="67"/>
    </row>
    <row r="7" spans="1:28" ht="15.75" hidden="1" outlineLevel="1" thickBot="1" x14ac:dyDescent="0.3">
      <c r="A7" s="67"/>
      <c r="B7" s="1312" t="s">
        <v>158</v>
      </c>
      <c r="C7" s="1312"/>
      <c r="D7" s="1312"/>
      <c r="E7" s="1312"/>
      <c r="F7" s="1312"/>
      <c r="G7" s="1312"/>
      <c r="L7" s="90"/>
      <c r="M7" s="90"/>
      <c r="N7" s="90"/>
      <c r="AB7" s="67"/>
    </row>
    <row r="8" spans="1:28" ht="15.75" hidden="1" outlineLevel="1" thickTop="1" x14ac:dyDescent="0.25">
      <c r="A8" s="67"/>
      <c r="B8" s="1231" t="s">
        <v>175</v>
      </c>
      <c r="C8" s="1232"/>
      <c r="D8" s="1233"/>
      <c r="E8" s="1283" t="str">
        <f>IF(AND(HAOption="Yes",OR(calcNumPMBXServersDC2&lt;&gt;0,calcNumLagMBXServersSDC&lt;&gt;0)),VLOOKUP(NetLinkType,tblNetworkLink,2,FALSE)*(NetLinkLatency/1000),"--")</f>
        <v>--</v>
      </c>
      <c r="F8" s="1284"/>
      <c r="G8" s="1284"/>
      <c r="H8" s="58"/>
      <c r="I8" s="58"/>
      <c r="J8" s="58"/>
      <c r="L8" s="90"/>
      <c r="M8" s="90"/>
      <c r="N8" s="90"/>
      <c r="O8" s="58"/>
      <c r="P8" s="58"/>
      <c r="Q8" s="58"/>
      <c r="R8" s="58"/>
      <c r="S8" s="58"/>
      <c r="T8" s="58"/>
      <c r="U8" s="58"/>
      <c r="V8" s="58"/>
      <c r="W8" s="58"/>
      <c r="X8" s="58"/>
      <c r="Y8" s="58"/>
      <c r="Z8" s="58"/>
      <c r="AA8" s="58"/>
      <c r="AB8" s="67"/>
    </row>
    <row r="9" spans="1:28" hidden="1" outlineLevel="1" x14ac:dyDescent="0.25">
      <c r="A9" s="67"/>
      <c r="B9" s="1293" t="s">
        <v>536</v>
      </c>
      <c r="C9" s="1294"/>
      <c r="D9" s="1295"/>
      <c r="E9" s="1291">
        <f>IF(RPO=0,1,RPO)</f>
        <v>24</v>
      </c>
      <c r="F9" s="1292"/>
      <c r="G9" s="1292"/>
      <c r="H9" s="58"/>
      <c r="I9" s="58"/>
      <c r="J9" s="58"/>
      <c r="K9" s="58"/>
      <c r="L9" s="90"/>
      <c r="M9" s="90"/>
      <c r="N9" s="90"/>
      <c r="O9" s="58"/>
      <c r="P9" s="58"/>
      <c r="Q9" s="58"/>
      <c r="R9" s="58"/>
      <c r="S9" s="58"/>
      <c r="T9" s="58"/>
      <c r="U9" s="58"/>
      <c r="V9" s="58"/>
      <c r="W9" s="58"/>
      <c r="X9" s="58"/>
      <c r="Y9" s="58"/>
      <c r="Z9" s="58"/>
      <c r="AA9" s="58"/>
      <c r="AB9" s="67"/>
    </row>
    <row r="10" spans="1:28" s="45" customFormat="1" hidden="1" outlineLevel="1" x14ac:dyDescent="0.2">
      <c r="A10" s="48"/>
      <c r="B10" s="68"/>
      <c r="C10" s="68"/>
      <c r="D10" s="68"/>
      <c r="E10" s="68"/>
      <c r="F10" s="68"/>
      <c r="G10" s="68"/>
      <c r="H10" s="68"/>
      <c r="I10" s="68"/>
      <c r="J10" s="68"/>
      <c r="K10" s="68"/>
      <c r="L10" s="204"/>
      <c r="M10" s="204"/>
      <c r="N10" s="204"/>
      <c r="O10" s="68"/>
      <c r="P10" s="68"/>
      <c r="Q10" s="68"/>
      <c r="R10" s="68"/>
      <c r="S10" s="68"/>
      <c r="T10" s="68"/>
      <c r="U10" s="68"/>
      <c r="V10" s="68"/>
      <c r="W10" s="68"/>
      <c r="X10" s="68"/>
      <c r="Y10" s="68"/>
      <c r="Z10" s="68"/>
      <c r="AA10" s="68"/>
      <c r="AB10" s="69"/>
    </row>
    <row r="11" spans="1:28" s="45" customFormat="1" ht="15.75" hidden="1" outlineLevel="1" thickBot="1" x14ac:dyDescent="0.3">
      <c r="A11" s="48"/>
      <c r="B11" s="1310" t="s">
        <v>419</v>
      </c>
      <c r="C11" s="1240"/>
      <c r="D11" s="1240"/>
      <c r="E11" s="1240"/>
      <c r="F11" s="1240"/>
      <c r="G11" s="1240"/>
      <c r="H11" s="70"/>
      <c r="I11" s="70"/>
      <c r="J11" s="70"/>
      <c r="K11" s="70"/>
      <c r="L11" s="204"/>
      <c r="M11" s="204"/>
      <c r="N11" s="204"/>
      <c r="O11" s="68"/>
      <c r="P11" s="68"/>
      <c r="Q11" s="68"/>
      <c r="R11" s="68"/>
      <c r="S11" s="68"/>
      <c r="T11" s="68"/>
      <c r="U11" s="68"/>
      <c r="V11" s="68"/>
      <c r="W11" s="68"/>
      <c r="X11" s="68"/>
      <c r="Y11" s="68"/>
      <c r="Z11" s="68"/>
      <c r="AA11" s="68"/>
      <c r="AB11" s="69"/>
    </row>
    <row r="12" spans="1:28" s="45" customFormat="1" ht="15.75" hidden="1" outlineLevel="1" thickTop="1" x14ac:dyDescent="0.2">
      <c r="A12" s="48"/>
      <c r="B12" s="1311" t="s">
        <v>435</v>
      </c>
      <c r="C12" s="1311"/>
      <c r="D12" s="1311"/>
      <c r="E12" s="1313" t="str">
        <f>IF(AND(SiteResilienceEnabled="Yes",HAOption="Yes",ValidationCheck=FALSE,SUM(LogH1:LogH24)&lt;&gt;0),(LARGE(tblLogReplication,1)*(CalcNumDBUserTLogs+NumDBMoveMbxTLogs)*8)/3600*IF(NetworkCompression="Enabled",1-varLogCompressionFactor,1),"--")</f>
        <v>--</v>
      </c>
      <c r="F12" s="1314"/>
      <c r="G12" s="1314"/>
      <c r="H12" s="71"/>
      <c r="I12" s="33"/>
      <c r="J12" s="33"/>
      <c r="K12" s="33"/>
      <c r="L12" s="204"/>
      <c r="M12" s="204"/>
      <c r="N12" s="204"/>
      <c r="O12" s="68"/>
      <c r="P12" s="68"/>
      <c r="Q12" s="68"/>
      <c r="R12" s="68"/>
      <c r="S12" s="68"/>
      <c r="T12" s="68"/>
      <c r="U12" s="68"/>
      <c r="V12" s="68"/>
      <c r="W12" s="68"/>
      <c r="X12" s="68"/>
      <c r="Y12" s="68"/>
      <c r="Z12" s="68"/>
      <c r="AA12" s="68"/>
      <c r="AB12" s="69"/>
    </row>
    <row r="13" spans="1:28" s="45" customFormat="1" hidden="1" outlineLevel="1" x14ac:dyDescent="0.2">
      <c r="A13" s="48"/>
      <c r="B13" s="1321" t="s">
        <v>433</v>
      </c>
      <c r="C13" s="1322"/>
      <c r="D13" s="1323"/>
      <c r="E13" s="1324" t="str">
        <f>IF(AND(SiteResilienceEnabled="Yes",HAOption="Yes",ValidationCheck=FALSE,SUM(LogH1:LogH24)&lt;&gt;0),(LARGE(tblLogReplication,1)*(CalcNumDBUserTLogs+NumDBMoveMbxTLogs)*8)/3600,"--")</f>
        <v>--</v>
      </c>
      <c r="F13" s="1237"/>
      <c r="G13" s="1225"/>
      <c r="H13" s="71"/>
      <c r="I13" s="33"/>
      <c r="J13" s="33"/>
      <c r="K13" s="33"/>
      <c r="L13" s="204"/>
      <c r="M13" s="204"/>
      <c r="N13" s="204"/>
      <c r="O13" s="68"/>
      <c r="P13" s="68"/>
      <c r="Q13" s="68"/>
      <c r="R13" s="68"/>
      <c r="S13" s="68"/>
      <c r="T13" s="68"/>
      <c r="U13" s="68"/>
      <c r="V13" s="68"/>
      <c r="W13" s="68"/>
      <c r="X13" s="68"/>
      <c r="Y13" s="68"/>
      <c r="Z13" s="68"/>
      <c r="AA13" s="68"/>
      <c r="AB13" s="69"/>
    </row>
    <row r="14" spans="1:28" s="45" customFormat="1" hidden="1" outlineLevel="1" x14ac:dyDescent="0.2">
      <c r="A14" s="48"/>
      <c r="B14" s="1318" t="s">
        <v>434</v>
      </c>
      <c r="C14" s="1319"/>
      <c r="D14" s="1320"/>
      <c r="E14" s="1315" t="str">
        <f>IF(DBLogBandwidth&lt;&gt;"--",DBLogBandwidth*calcLogStreamsBtwnDCs,"--")</f>
        <v>--</v>
      </c>
      <c r="F14" s="1316"/>
      <c r="G14" s="1317"/>
      <c r="H14" s="71"/>
      <c r="I14" s="33"/>
      <c r="J14" s="33"/>
      <c r="K14" s="33"/>
      <c r="L14" s="204"/>
      <c r="M14" s="204"/>
      <c r="N14" s="204"/>
      <c r="O14" s="68"/>
      <c r="P14" s="68"/>
      <c r="Q14" s="68"/>
      <c r="R14" s="68"/>
      <c r="S14" s="68"/>
      <c r="T14" s="68"/>
      <c r="U14" s="68"/>
      <c r="V14" s="68"/>
      <c r="W14" s="68"/>
      <c r="X14" s="68"/>
      <c r="Y14" s="68"/>
      <c r="Z14" s="68"/>
      <c r="AA14" s="68"/>
      <c r="AB14" s="69"/>
    </row>
    <row r="15" spans="1:28" s="45" customFormat="1" hidden="1" outlineLevel="1" x14ac:dyDescent="0.2">
      <c r="A15" s="48"/>
      <c r="B15" s="1321" t="s">
        <v>436</v>
      </c>
      <c r="C15" s="1322"/>
      <c r="D15" s="1323"/>
      <c r="E15" s="1288" t="str">
        <f>IF(DBLogBandwidth&lt;&gt;"--",PeakCIBandwidth*calcLogStreamsBtwnDCs,"--")</f>
        <v>--</v>
      </c>
      <c r="F15" s="1289"/>
      <c r="G15" s="1290"/>
      <c r="H15" s="71"/>
      <c r="I15" s="33"/>
      <c r="J15" s="33"/>
      <c r="K15" s="33"/>
      <c r="L15" s="204"/>
      <c r="M15" s="204"/>
      <c r="N15" s="204"/>
      <c r="O15" s="68"/>
      <c r="P15" s="68"/>
      <c r="Q15" s="68"/>
      <c r="R15" s="68"/>
      <c r="S15" s="68"/>
      <c r="T15" s="68"/>
      <c r="U15" s="68"/>
      <c r="V15" s="68"/>
      <c r="W15" s="68"/>
      <c r="X15" s="68"/>
      <c r="Y15" s="68"/>
      <c r="Z15" s="68"/>
      <c r="AA15" s="68"/>
      <c r="AB15" s="69"/>
    </row>
    <row r="16" spans="1:28" s="35" customFormat="1" hidden="1" outlineLevel="1" x14ac:dyDescent="0.2">
      <c r="A16" s="42"/>
      <c r="B16" s="216"/>
      <c r="C16" s="34"/>
      <c r="D16" s="34"/>
      <c r="E16" s="34"/>
      <c r="F16" s="34"/>
      <c r="G16" s="34"/>
      <c r="H16" s="33"/>
      <c r="I16" s="33"/>
      <c r="J16" s="33"/>
      <c r="K16" s="33"/>
      <c r="L16" s="33"/>
      <c r="M16" s="33"/>
      <c r="N16" s="33"/>
      <c r="O16" s="33"/>
      <c r="P16" s="33"/>
      <c r="Q16" s="33"/>
      <c r="R16" s="33"/>
      <c r="S16" s="33"/>
      <c r="T16" s="33"/>
      <c r="U16" s="33"/>
      <c r="V16" s="33"/>
      <c r="W16" s="33"/>
      <c r="X16" s="33"/>
      <c r="Y16" s="33"/>
      <c r="Z16" s="33"/>
      <c r="AA16" s="33"/>
      <c r="AB16" s="40"/>
    </row>
    <row r="17" spans="1:28" s="35" customFormat="1" hidden="1" outlineLevel="1" x14ac:dyDescent="0.2">
      <c r="A17" s="42"/>
      <c r="B17" s="1306" t="s">
        <v>91</v>
      </c>
      <c r="C17" s="1308" t="s">
        <v>97</v>
      </c>
      <c r="D17" s="1308" t="s">
        <v>398</v>
      </c>
      <c r="E17" s="1303" t="s">
        <v>96</v>
      </c>
      <c r="F17" s="1304"/>
      <c r="G17" s="1304"/>
      <c r="H17" s="1304"/>
      <c r="I17" s="1304"/>
      <c r="J17" s="1304"/>
      <c r="K17" s="1304"/>
      <c r="L17" s="1304"/>
      <c r="M17" s="1304"/>
      <c r="N17" s="1304"/>
      <c r="O17" s="1304"/>
      <c r="P17" s="1304"/>
      <c r="Q17" s="1304"/>
      <c r="R17" s="1304"/>
      <c r="S17" s="1304"/>
      <c r="T17" s="1304"/>
      <c r="U17" s="1304"/>
      <c r="V17" s="1304"/>
      <c r="W17" s="1304"/>
      <c r="X17" s="1304"/>
      <c r="Y17" s="1304"/>
      <c r="Z17" s="1304"/>
      <c r="AA17" s="1304"/>
      <c r="AB17" s="1305"/>
    </row>
    <row r="18" spans="1:28" s="35" customFormat="1" ht="15.75" hidden="1" outlineLevel="1" thickBot="1" x14ac:dyDescent="0.3">
      <c r="A18" s="42"/>
      <c r="B18" s="1307"/>
      <c r="C18" s="1309"/>
      <c r="D18" s="1309"/>
      <c r="E18" s="405">
        <v>1</v>
      </c>
      <c r="F18" s="405">
        <v>2</v>
      </c>
      <c r="G18" s="405">
        <v>3</v>
      </c>
      <c r="H18" s="405">
        <v>4</v>
      </c>
      <c r="I18" s="405">
        <v>5</v>
      </c>
      <c r="J18" s="405">
        <v>6</v>
      </c>
      <c r="K18" s="405">
        <v>7</v>
      </c>
      <c r="L18" s="405">
        <v>8</v>
      </c>
      <c r="M18" s="405">
        <v>9</v>
      </c>
      <c r="N18" s="405">
        <v>10</v>
      </c>
      <c r="O18" s="405">
        <v>11</v>
      </c>
      <c r="P18" s="405">
        <v>12</v>
      </c>
      <c r="Q18" s="405">
        <v>13</v>
      </c>
      <c r="R18" s="405">
        <v>14</v>
      </c>
      <c r="S18" s="405">
        <v>15</v>
      </c>
      <c r="T18" s="405">
        <v>16</v>
      </c>
      <c r="U18" s="405">
        <v>17</v>
      </c>
      <c r="V18" s="405">
        <v>18</v>
      </c>
      <c r="W18" s="405">
        <v>19</v>
      </c>
      <c r="X18" s="405">
        <v>20</v>
      </c>
      <c r="Y18" s="405">
        <v>21</v>
      </c>
      <c r="Z18" s="405">
        <v>22</v>
      </c>
      <c r="AA18" s="405">
        <v>23</v>
      </c>
      <c r="AB18" s="406">
        <v>24</v>
      </c>
    </row>
    <row r="19" spans="1:28" s="35" customFormat="1" hidden="1" outlineLevel="2" x14ac:dyDescent="0.2">
      <c r="A19" s="42"/>
      <c r="B19" s="233">
        <f t="shared" ref="B19:D42" si="0">B43</f>
        <v>1</v>
      </c>
      <c r="C19" s="230">
        <f t="shared" si="0"/>
        <v>0</v>
      </c>
      <c r="D19" s="231">
        <f t="shared" si="0"/>
        <v>0</v>
      </c>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8"/>
    </row>
    <row r="20" spans="1:28" s="35" customFormat="1" hidden="1" outlineLevel="2" x14ac:dyDescent="0.2">
      <c r="A20" s="42"/>
      <c r="B20" s="226">
        <f t="shared" si="0"/>
        <v>2</v>
      </c>
      <c r="C20" s="227">
        <f t="shared" si="0"/>
        <v>0</v>
      </c>
      <c r="D20" s="228">
        <f t="shared" si="0"/>
        <v>0</v>
      </c>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39"/>
    </row>
    <row r="21" spans="1:28" s="35" customFormat="1" hidden="1" outlineLevel="2" x14ac:dyDescent="0.2">
      <c r="A21" s="42"/>
      <c r="B21" s="233">
        <f t="shared" si="0"/>
        <v>3</v>
      </c>
      <c r="C21" s="234">
        <f t="shared" si="0"/>
        <v>0</v>
      </c>
      <c r="D21" s="235">
        <f t="shared" si="0"/>
        <v>0</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40"/>
    </row>
    <row r="22" spans="1:28" s="35" customFormat="1" hidden="1" outlineLevel="2" x14ac:dyDescent="0.2">
      <c r="A22" s="42"/>
      <c r="B22" s="226">
        <f t="shared" si="0"/>
        <v>4</v>
      </c>
      <c r="C22" s="227">
        <f t="shared" si="0"/>
        <v>0</v>
      </c>
      <c r="D22" s="228">
        <f t="shared" si="0"/>
        <v>0</v>
      </c>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39"/>
    </row>
    <row r="23" spans="1:28" s="35" customFormat="1" hidden="1" outlineLevel="2" x14ac:dyDescent="0.2">
      <c r="A23" s="42"/>
      <c r="B23" s="233">
        <f t="shared" si="0"/>
        <v>5</v>
      </c>
      <c r="C23" s="234">
        <f t="shared" si="0"/>
        <v>0</v>
      </c>
      <c r="D23" s="235">
        <f t="shared" si="0"/>
        <v>0</v>
      </c>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40"/>
    </row>
    <row r="24" spans="1:28" s="35" customFormat="1" hidden="1" outlineLevel="2" x14ac:dyDescent="0.2">
      <c r="A24" s="42"/>
      <c r="B24" s="226">
        <f t="shared" si="0"/>
        <v>6</v>
      </c>
      <c r="C24" s="227">
        <f t="shared" si="0"/>
        <v>0</v>
      </c>
      <c r="D24" s="228">
        <f t="shared" si="0"/>
        <v>0</v>
      </c>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39"/>
    </row>
    <row r="25" spans="1:28" s="35" customFormat="1" hidden="1" outlineLevel="2" x14ac:dyDescent="0.2">
      <c r="A25" s="42"/>
      <c r="B25" s="233">
        <f t="shared" si="0"/>
        <v>7</v>
      </c>
      <c r="C25" s="234">
        <f t="shared" si="0"/>
        <v>0</v>
      </c>
      <c r="D25" s="235">
        <f t="shared" si="0"/>
        <v>0</v>
      </c>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40"/>
    </row>
    <row r="26" spans="1:28" s="35" customFormat="1" hidden="1" outlineLevel="2" x14ac:dyDescent="0.2">
      <c r="A26" s="42"/>
      <c r="B26" s="226">
        <f t="shared" si="0"/>
        <v>8</v>
      </c>
      <c r="C26" s="227">
        <f t="shared" si="0"/>
        <v>0</v>
      </c>
      <c r="D26" s="228">
        <f t="shared" si="0"/>
        <v>0</v>
      </c>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39"/>
    </row>
    <row r="27" spans="1:28" s="35" customFormat="1" hidden="1" outlineLevel="2" x14ac:dyDescent="0.2">
      <c r="A27" s="42"/>
      <c r="B27" s="233">
        <f t="shared" si="0"/>
        <v>9</v>
      </c>
      <c r="C27" s="234">
        <f t="shared" si="0"/>
        <v>0</v>
      </c>
      <c r="D27" s="235">
        <f t="shared" si="0"/>
        <v>0</v>
      </c>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40"/>
    </row>
    <row r="28" spans="1:28" s="35" customFormat="1" hidden="1" outlineLevel="2" x14ac:dyDescent="0.2">
      <c r="A28" s="42"/>
      <c r="B28" s="226">
        <f t="shared" si="0"/>
        <v>10</v>
      </c>
      <c r="C28" s="227">
        <f t="shared" si="0"/>
        <v>0</v>
      </c>
      <c r="D28" s="228">
        <f t="shared" si="0"/>
        <v>0</v>
      </c>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9"/>
    </row>
    <row r="29" spans="1:28" s="35" customFormat="1" hidden="1" outlineLevel="2" x14ac:dyDescent="0.2">
      <c r="A29" s="42"/>
      <c r="B29" s="233">
        <f t="shared" si="0"/>
        <v>11</v>
      </c>
      <c r="C29" s="234">
        <f t="shared" si="0"/>
        <v>0</v>
      </c>
      <c r="D29" s="235">
        <f t="shared" si="0"/>
        <v>0</v>
      </c>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40"/>
    </row>
    <row r="30" spans="1:28" s="35" customFormat="1" hidden="1" outlineLevel="2" x14ac:dyDescent="0.2">
      <c r="A30" s="42"/>
      <c r="B30" s="226">
        <f t="shared" si="0"/>
        <v>12</v>
      </c>
      <c r="C30" s="227">
        <f t="shared" si="0"/>
        <v>0</v>
      </c>
      <c r="D30" s="228">
        <f t="shared" si="0"/>
        <v>0</v>
      </c>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39"/>
    </row>
    <row r="31" spans="1:28" s="35" customFormat="1" hidden="1" outlineLevel="2" x14ac:dyDescent="0.2">
      <c r="A31" s="42"/>
      <c r="B31" s="233">
        <f t="shared" si="0"/>
        <v>13</v>
      </c>
      <c r="C31" s="234">
        <f t="shared" si="0"/>
        <v>0</v>
      </c>
      <c r="D31" s="235">
        <f t="shared" si="0"/>
        <v>0</v>
      </c>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40"/>
    </row>
    <row r="32" spans="1:28" s="35" customFormat="1" hidden="1" outlineLevel="2" x14ac:dyDescent="0.2">
      <c r="A32" s="42"/>
      <c r="B32" s="226">
        <f t="shared" si="0"/>
        <v>14</v>
      </c>
      <c r="C32" s="227">
        <f t="shared" si="0"/>
        <v>0</v>
      </c>
      <c r="D32" s="228">
        <f t="shared" si="0"/>
        <v>0</v>
      </c>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39"/>
    </row>
    <row r="33" spans="1:28" s="35" customFormat="1" hidden="1" outlineLevel="2" x14ac:dyDescent="0.2">
      <c r="A33" s="42"/>
      <c r="B33" s="233">
        <f t="shared" si="0"/>
        <v>15</v>
      </c>
      <c r="C33" s="234">
        <f t="shared" si="0"/>
        <v>0</v>
      </c>
      <c r="D33" s="235">
        <f t="shared" si="0"/>
        <v>0</v>
      </c>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40"/>
    </row>
    <row r="34" spans="1:28" s="35" customFormat="1" hidden="1" outlineLevel="2" x14ac:dyDescent="0.2">
      <c r="A34" s="42"/>
      <c r="B34" s="226">
        <f t="shared" si="0"/>
        <v>16</v>
      </c>
      <c r="C34" s="227">
        <f t="shared" si="0"/>
        <v>0</v>
      </c>
      <c r="D34" s="228">
        <f t="shared" si="0"/>
        <v>0</v>
      </c>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39"/>
    </row>
    <row r="35" spans="1:28" s="35" customFormat="1" hidden="1" outlineLevel="2" x14ac:dyDescent="0.2">
      <c r="A35" s="42"/>
      <c r="B35" s="233">
        <f t="shared" si="0"/>
        <v>17</v>
      </c>
      <c r="C35" s="234">
        <f t="shared" si="0"/>
        <v>0</v>
      </c>
      <c r="D35" s="235">
        <f t="shared" si="0"/>
        <v>0</v>
      </c>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40"/>
    </row>
    <row r="36" spans="1:28" s="35" customFormat="1" hidden="1" outlineLevel="2" x14ac:dyDescent="0.2">
      <c r="A36" s="42"/>
      <c r="B36" s="226">
        <f t="shared" si="0"/>
        <v>18</v>
      </c>
      <c r="C36" s="227">
        <f t="shared" si="0"/>
        <v>0</v>
      </c>
      <c r="D36" s="228">
        <f t="shared" si="0"/>
        <v>0</v>
      </c>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39"/>
    </row>
    <row r="37" spans="1:28" s="35" customFormat="1" hidden="1" outlineLevel="2" x14ac:dyDescent="0.2">
      <c r="A37" s="42"/>
      <c r="B37" s="233">
        <f t="shared" si="0"/>
        <v>19</v>
      </c>
      <c r="C37" s="234">
        <f t="shared" si="0"/>
        <v>0</v>
      </c>
      <c r="D37" s="235">
        <f t="shared" si="0"/>
        <v>0</v>
      </c>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40"/>
    </row>
    <row r="38" spans="1:28" s="35" customFormat="1" hidden="1" outlineLevel="2" x14ac:dyDescent="0.2">
      <c r="A38" s="42"/>
      <c r="B38" s="226">
        <f t="shared" si="0"/>
        <v>20</v>
      </c>
      <c r="C38" s="227">
        <f t="shared" si="0"/>
        <v>0</v>
      </c>
      <c r="D38" s="228">
        <f t="shared" si="0"/>
        <v>0</v>
      </c>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39"/>
    </row>
    <row r="39" spans="1:28" s="35" customFormat="1" hidden="1" outlineLevel="2" x14ac:dyDescent="0.2">
      <c r="A39" s="42"/>
      <c r="B39" s="233">
        <f t="shared" si="0"/>
        <v>21</v>
      </c>
      <c r="C39" s="234">
        <f t="shared" si="0"/>
        <v>0</v>
      </c>
      <c r="D39" s="235">
        <f t="shared" si="0"/>
        <v>0</v>
      </c>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40"/>
    </row>
    <row r="40" spans="1:28" s="35" customFormat="1" hidden="1" outlineLevel="2" x14ac:dyDescent="0.2">
      <c r="A40" s="42"/>
      <c r="B40" s="226">
        <f t="shared" si="0"/>
        <v>22</v>
      </c>
      <c r="C40" s="227">
        <f t="shared" si="0"/>
        <v>0</v>
      </c>
      <c r="D40" s="228">
        <f t="shared" si="0"/>
        <v>0</v>
      </c>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39"/>
    </row>
    <row r="41" spans="1:28" s="35" customFormat="1" hidden="1" outlineLevel="2" x14ac:dyDescent="0.2">
      <c r="A41" s="42"/>
      <c r="B41" s="233">
        <f t="shared" si="0"/>
        <v>23</v>
      </c>
      <c r="C41" s="234">
        <f t="shared" si="0"/>
        <v>0</v>
      </c>
      <c r="D41" s="235">
        <f t="shared" si="0"/>
        <v>0</v>
      </c>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40"/>
    </row>
    <row r="42" spans="1:28" s="35" customFormat="1" hidden="1" outlineLevel="2" x14ac:dyDescent="0.2">
      <c r="A42" s="42"/>
      <c r="B42" s="403">
        <f t="shared" si="0"/>
        <v>24</v>
      </c>
      <c r="C42" s="227">
        <f t="shared" si="0"/>
        <v>0</v>
      </c>
      <c r="D42" s="228">
        <f t="shared" si="0"/>
        <v>0</v>
      </c>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39"/>
    </row>
    <row r="43" spans="1:28" s="35" customFormat="1" ht="15.75" hidden="1" outlineLevel="1" collapsed="1" thickTop="1" x14ac:dyDescent="0.2">
      <c r="A43" s="42"/>
      <c r="B43" s="404">
        <v>1</v>
      </c>
      <c r="C43" s="234">
        <f>LogH1</f>
        <v>0</v>
      </c>
      <c r="D43" s="279">
        <f t="shared" ref="D43:D66" si="1">C43*(CalcNumDBUserTLogs+NumDBMoveMbxTLogs)</f>
        <v>0</v>
      </c>
      <c r="E43" s="368">
        <f t="shared" ref="E43:E66" si="2">((AVERAGE($D43))*8)/3600</f>
        <v>0</v>
      </c>
      <c r="F43" s="368">
        <f t="shared" ref="F43:F66" si="3">((AVERAGE($D42:$D43))*8)/3600</f>
        <v>0</v>
      </c>
      <c r="G43" s="368">
        <f t="shared" ref="G43:G66" si="4">((AVERAGE($D41:$D43))*8)/3600</f>
        <v>0</v>
      </c>
      <c r="H43" s="368">
        <f t="shared" ref="H43:I66" si="5">((AVERAGE($D39:$D43))*8)/3600</f>
        <v>0</v>
      </c>
      <c r="I43" s="368">
        <f t="shared" si="5"/>
        <v>0</v>
      </c>
      <c r="J43" s="368">
        <f t="shared" ref="J43:J66" si="6">((AVERAGE($D38:$D43))*8)/3600</f>
        <v>0</v>
      </c>
      <c r="K43" s="368">
        <f t="shared" ref="K43:K66" si="7">((AVERAGE($D37:$D43))*8)/3600</f>
        <v>0</v>
      </c>
      <c r="L43" s="368">
        <f t="shared" ref="L43:L66" si="8">((AVERAGE($D36:$D43))*8)/3600</f>
        <v>0</v>
      </c>
      <c r="M43" s="368">
        <f t="shared" ref="M43:M66" si="9">((AVERAGE($D35:$D43))*8)/3600</f>
        <v>0</v>
      </c>
      <c r="N43" s="368">
        <f t="shared" ref="N43:N66" si="10">((AVERAGE($D34:$D43))*8)/3600</f>
        <v>0</v>
      </c>
      <c r="O43" s="368">
        <f t="shared" ref="O43:O66" si="11">((AVERAGE($D33:$D43))*8)/3600</f>
        <v>0</v>
      </c>
      <c r="P43" s="368">
        <f t="shared" ref="P43:P66" si="12">((AVERAGE($D32:$D43))*8)/3600</f>
        <v>0</v>
      </c>
      <c r="Q43" s="368">
        <f t="shared" ref="Q43:Q66" si="13">((AVERAGE($D31:$D43))*8)/3600</f>
        <v>0</v>
      </c>
      <c r="R43" s="368">
        <f t="shared" ref="R43:R66" si="14">((AVERAGE($D30:$D43))*8)/3600</f>
        <v>0</v>
      </c>
      <c r="S43" s="368">
        <f t="shared" ref="S43:S66" si="15">((AVERAGE($D29:$D43))*8)/3600</f>
        <v>0</v>
      </c>
      <c r="T43" s="368">
        <f t="shared" ref="T43:T66" si="16">((AVERAGE($D28:$D43))*8)/3600</f>
        <v>0</v>
      </c>
      <c r="U43" s="368">
        <f t="shared" ref="U43:U66" si="17">((AVERAGE($D27:$D43))*8)/3600</f>
        <v>0</v>
      </c>
      <c r="V43" s="368">
        <f t="shared" ref="V43:V66" si="18">((AVERAGE($D26:$D43))*8)/3600</f>
        <v>0</v>
      </c>
      <c r="W43" s="368">
        <f t="shared" ref="W43:W66" si="19">((AVERAGE($D25:$D43))*8)/3600</f>
        <v>0</v>
      </c>
      <c r="X43" s="368">
        <f t="shared" ref="X43:X66" si="20">((AVERAGE($D24:$D43))*8)/3600</f>
        <v>0</v>
      </c>
      <c r="Y43" s="368">
        <f t="shared" ref="Y43:Y66" si="21">((AVERAGE($D23:$D43))*8)/3600</f>
        <v>0</v>
      </c>
      <c r="Z43" s="368">
        <f t="shared" ref="Z43:Z66" si="22">((AVERAGE($D22:$D43))*8)/3600</f>
        <v>0</v>
      </c>
      <c r="AA43" s="368">
        <f t="shared" ref="AA43:AA66" si="23">((AVERAGE($D21:$D43))*8)/3600</f>
        <v>0</v>
      </c>
      <c r="AB43" s="369">
        <f t="shared" ref="AB43:AB66" si="24">((AVERAGE($D20:$D43))*8)/3600</f>
        <v>0</v>
      </c>
    </row>
    <row r="44" spans="1:28" s="35" customFormat="1" hidden="1" outlineLevel="1" x14ac:dyDescent="0.2">
      <c r="A44" s="42"/>
      <c r="B44" s="226">
        <v>2</v>
      </c>
      <c r="C44" s="227">
        <f>LogH2</f>
        <v>0</v>
      </c>
      <c r="D44" s="280">
        <f t="shared" si="1"/>
        <v>0</v>
      </c>
      <c r="E44" s="370">
        <f t="shared" si="2"/>
        <v>0</v>
      </c>
      <c r="F44" s="370">
        <f t="shared" si="3"/>
        <v>0</v>
      </c>
      <c r="G44" s="370">
        <f t="shared" si="4"/>
        <v>0</v>
      </c>
      <c r="H44" s="370">
        <f t="shared" si="5"/>
        <v>0</v>
      </c>
      <c r="I44" s="370">
        <f t="shared" si="5"/>
        <v>0</v>
      </c>
      <c r="J44" s="370">
        <f t="shared" si="6"/>
        <v>0</v>
      </c>
      <c r="K44" s="370">
        <f t="shared" si="7"/>
        <v>0</v>
      </c>
      <c r="L44" s="370">
        <f t="shared" si="8"/>
        <v>0</v>
      </c>
      <c r="M44" s="370">
        <f t="shared" si="9"/>
        <v>0</v>
      </c>
      <c r="N44" s="370">
        <f t="shared" si="10"/>
        <v>0</v>
      </c>
      <c r="O44" s="370">
        <f t="shared" si="11"/>
        <v>0</v>
      </c>
      <c r="P44" s="370">
        <f t="shared" si="12"/>
        <v>0</v>
      </c>
      <c r="Q44" s="370">
        <f t="shared" si="13"/>
        <v>0</v>
      </c>
      <c r="R44" s="370">
        <f t="shared" si="14"/>
        <v>0</v>
      </c>
      <c r="S44" s="370">
        <f t="shared" si="15"/>
        <v>0</v>
      </c>
      <c r="T44" s="370">
        <f t="shared" si="16"/>
        <v>0</v>
      </c>
      <c r="U44" s="370">
        <f t="shared" si="17"/>
        <v>0</v>
      </c>
      <c r="V44" s="370">
        <f t="shared" si="18"/>
        <v>0</v>
      </c>
      <c r="W44" s="370">
        <f t="shared" si="19"/>
        <v>0</v>
      </c>
      <c r="X44" s="370">
        <f t="shared" si="20"/>
        <v>0</v>
      </c>
      <c r="Y44" s="370">
        <f t="shared" si="21"/>
        <v>0</v>
      </c>
      <c r="Z44" s="370">
        <f t="shared" si="22"/>
        <v>0</v>
      </c>
      <c r="AA44" s="370">
        <f t="shared" si="23"/>
        <v>0</v>
      </c>
      <c r="AB44" s="371">
        <f t="shared" si="24"/>
        <v>0</v>
      </c>
    </row>
    <row r="45" spans="1:28" s="35" customFormat="1" hidden="1" outlineLevel="1" x14ac:dyDescent="0.2">
      <c r="A45" s="42"/>
      <c r="B45" s="233">
        <v>3</v>
      </c>
      <c r="C45" s="234">
        <f>LogH3</f>
        <v>0</v>
      </c>
      <c r="D45" s="279">
        <f t="shared" si="1"/>
        <v>0</v>
      </c>
      <c r="E45" s="368">
        <f t="shared" si="2"/>
        <v>0</v>
      </c>
      <c r="F45" s="368">
        <f t="shared" si="3"/>
        <v>0</v>
      </c>
      <c r="G45" s="368">
        <f t="shared" si="4"/>
        <v>0</v>
      </c>
      <c r="H45" s="368">
        <f t="shared" si="5"/>
        <v>0</v>
      </c>
      <c r="I45" s="368">
        <f t="shared" si="5"/>
        <v>0</v>
      </c>
      <c r="J45" s="368">
        <f t="shared" si="6"/>
        <v>0</v>
      </c>
      <c r="K45" s="368">
        <f t="shared" si="7"/>
        <v>0</v>
      </c>
      <c r="L45" s="368">
        <f t="shared" si="8"/>
        <v>0</v>
      </c>
      <c r="M45" s="368">
        <f t="shared" si="9"/>
        <v>0</v>
      </c>
      <c r="N45" s="368">
        <f t="shared" si="10"/>
        <v>0</v>
      </c>
      <c r="O45" s="368">
        <f t="shared" si="11"/>
        <v>0</v>
      </c>
      <c r="P45" s="368">
        <f t="shared" si="12"/>
        <v>0</v>
      </c>
      <c r="Q45" s="368">
        <f t="shared" si="13"/>
        <v>0</v>
      </c>
      <c r="R45" s="368">
        <f t="shared" si="14"/>
        <v>0</v>
      </c>
      <c r="S45" s="368">
        <f t="shared" si="15"/>
        <v>0</v>
      </c>
      <c r="T45" s="368">
        <f t="shared" si="16"/>
        <v>0</v>
      </c>
      <c r="U45" s="368">
        <f t="shared" si="17"/>
        <v>0</v>
      </c>
      <c r="V45" s="368">
        <f t="shared" si="18"/>
        <v>0</v>
      </c>
      <c r="W45" s="368">
        <f t="shared" si="19"/>
        <v>0</v>
      </c>
      <c r="X45" s="368">
        <f t="shared" si="20"/>
        <v>0</v>
      </c>
      <c r="Y45" s="368">
        <f t="shared" si="21"/>
        <v>0</v>
      </c>
      <c r="Z45" s="368">
        <f t="shared" si="22"/>
        <v>0</v>
      </c>
      <c r="AA45" s="368">
        <f t="shared" si="23"/>
        <v>0</v>
      </c>
      <c r="AB45" s="369">
        <f t="shared" si="24"/>
        <v>0</v>
      </c>
    </row>
    <row r="46" spans="1:28" s="35" customFormat="1" hidden="1" outlineLevel="1" x14ac:dyDescent="0.2">
      <c r="A46" s="42"/>
      <c r="B46" s="226">
        <v>4</v>
      </c>
      <c r="C46" s="227">
        <f>LogH4</f>
        <v>0</v>
      </c>
      <c r="D46" s="280">
        <f t="shared" si="1"/>
        <v>0</v>
      </c>
      <c r="E46" s="370">
        <f t="shared" si="2"/>
        <v>0</v>
      </c>
      <c r="F46" s="370">
        <f t="shared" si="3"/>
        <v>0</v>
      </c>
      <c r="G46" s="370">
        <f t="shared" si="4"/>
        <v>0</v>
      </c>
      <c r="H46" s="370">
        <f t="shared" si="5"/>
        <v>0</v>
      </c>
      <c r="I46" s="370">
        <f t="shared" si="5"/>
        <v>0</v>
      </c>
      <c r="J46" s="370">
        <f t="shared" si="6"/>
        <v>0</v>
      </c>
      <c r="K46" s="370">
        <f t="shared" si="7"/>
        <v>0</v>
      </c>
      <c r="L46" s="370">
        <f t="shared" si="8"/>
        <v>0</v>
      </c>
      <c r="M46" s="370">
        <f t="shared" si="9"/>
        <v>0</v>
      </c>
      <c r="N46" s="370">
        <f t="shared" si="10"/>
        <v>0</v>
      </c>
      <c r="O46" s="370">
        <f t="shared" si="11"/>
        <v>0</v>
      </c>
      <c r="P46" s="370">
        <f t="shared" si="12"/>
        <v>0</v>
      </c>
      <c r="Q46" s="370">
        <f t="shared" si="13"/>
        <v>0</v>
      </c>
      <c r="R46" s="370">
        <f t="shared" si="14"/>
        <v>0</v>
      </c>
      <c r="S46" s="370">
        <f t="shared" si="15"/>
        <v>0</v>
      </c>
      <c r="T46" s="370">
        <f t="shared" si="16"/>
        <v>0</v>
      </c>
      <c r="U46" s="370">
        <f t="shared" si="17"/>
        <v>0</v>
      </c>
      <c r="V46" s="370">
        <f t="shared" si="18"/>
        <v>0</v>
      </c>
      <c r="W46" s="370">
        <f t="shared" si="19"/>
        <v>0</v>
      </c>
      <c r="X46" s="370">
        <f t="shared" si="20"/>
        <v>0</v>
      </c>
      <c r="Y46" s="370">
        <f t="shared" si="21"/>
        <v>0</v>
      </c>
      <c r="Z46" s="370">
        <f t="shared" si="22"/>
        <v>0</v>
      </c>
      <c r="AA46" s="370">
        <f t="shared" si="23"/>
        <v>0</v>
      </c>
      <c r="AB46" s="371">
        <f t="shared" si="24"/>
        <v>0</v>
      </c>
    </row>
    <row r="47" spans="1:28" s="35" customFormat="1" hidden="1" outlineLevel="1" x14ac:dyDescent="0.2">
      <c r="A47" s="42"/>
      <c r="B47" s="233">
        <v>5</v>
      </c>
      <c r="C47" s="234">
        <f>LogH5</f>
        <v>0</v>
      </c>
      <c r="D47" s="279">
        <f t="shared" si="1"/>
        <v>0</v>
      </c>
      <c r="E47" s="368">
        <f t="shared" si="2"/>
        <v>0</v>
      </c>
      <c r="F47" s="368">
        <f t="shared" si="3"/>
        <v>0</v>
      </c>
      <c r="G47" s="368">
        <f t="shared" si="4"/>
        <v>0</v>
      </c>
      <c r="H47" s="368">
        <f t="shared" si="5"/>
        <v>0</v>
      </c>
      <c r="I47" s="368">
        <f t="shared" si="5"/>
        <v>0</v>
      </c>
      <c r="J47" s="368">
        <f t="shared" si="6"/>
        <v>0</v>
      </c>
      <c r="K47" s="368">
        <f t="shared" si="7"/>
        <v>0</v>
      </c>
      <c r="L47" s="368">
        <f t="shared" si="8"/>
        <v>0</v>
      </c>
      <c r="M47" s="368">
        <f t="shared" si="9"/>
        <v>0</v>
      </c>
      <c r="N47" s="368">
        <f t="shared" si="10"/>
        <v>0</v>
      </c>
      <c r="O47" s="368">
        <f t="shared" si="11"/>
        <v>0</v>
      </c>
      <c r="P47" s="368">
        <f t="shared" si="12"/>
        <v>0</v>
      </c>
      <c r="Q47" s="368">
        <f t="shared" si="13"/>
        <v>0</v>
      </c>
      <c r="R47" s="368">
        <f t="shared" si="14"/>
        <v>0</v>
      </c>
      <c r="S47" s="368">
        <f t="shared" si="15"/>
        <v>0</v>
      </c>
      <c r="T47" s="368">
        <f t="shared" si="16"/>
        <v>0</v>
      </c>
      <c r="U47" s="368">
        <f t="shared" si="17"/>
        <v>0</v>
      </c>
      <c r="V47" s="368">
        <f t="shared" si="18"/>
        <v>0</v>
      </c>
      <c r="W47" s="368">
        <f t="shared" si="19"/>
        <v>0</v>
      </c>
      <c r="X47" s="368">
        <f t="shared" si="20"/>
        <v>0</v>
      </c>
      <c r="Y47" s="368">
        <f t="shared" si="21"/>
        <v>0</v>
      </c>
      <c r="Z47" s="368">
        <f t="shared" si="22"/>
        <v>0</v>
      </c>
      <c r="AA47" s="368">
        <f t="shared" si="23"/>
        <v>0</v>
      </c>
      <c r="AB47" s="369">
        <f t="shared" si="24"/>
        <v>0</v>
      </c>
    </row>
    <row r="48" spans="1:28" s="35" customFormat="1" hidden="1" outlineLevel="1" x14ac:dyDescent="0.2">
      <c r="A48" s="42"/>
      <c r="B48" s="226">
        <v>6</v>
      </c>
      <c r="C48" s="227">
        <f>LogH6</f>
        <v>0</v>
      </c>
      <c r="D48" s="280">
        <f t="shared" si="1"/>
        <v>0</v>
      </c>
      <c r="E48" s="370">
        <f t="shared" si="2"/>
        <v>0</v>
      </c>
      <c r="F48" s="370">
        <f t="shared" si="3"/>
        <v>0</v>
      </c>
      <c r="G48" s="370">
        <f t="shared" si="4"/>
        <v>0</v>
      </c>
      <c r="H48" s="370">
        <f t="shared" si="5"/>
        <v>0</v>
      </c>
      <c r="I48" s="370">
        <f t="shared" si="5"/>
        <v>0</v>
      </c>
      <c r="J48" s="370">
        <f t="shared" si="6"/>
        <v>0</v>
      </c>
      <c r="K48" s="370">
        <f t="shared" si="7"/>
        <v>0</v>
      </c>
      <c r="L48" s="370">
        <f t="shared" si="8"/>
        <v>0</v>
      </c>
      <c r="M48" s="370">
        <f t="shared" si="9"/>
        <v>0</v>
      </c>
      <c r="N48" s="370">
        <f t="shared" si="10"/>
        <v>0</v>
      </c>
      <c r="O48" s="370">
        <f t="shared" si="11"/>
        <v>0</v>
      </c>
      <c r="P48" s="370">
        <f t="shared" si="12"/>
        <v>0</v>
      </c>
      <c r="Q48" s="370">
        <f t="shared" si="13"/>
        <v>0</v>
      </c>
      <c r="R48" s="370">
        <f t="shared" si="14"/>
        <v>0</v>
      </c>
      <c r="S48" s="370">
        <f t="shared" si="15"/>
        <v>0</v>
      </c>
      <c r="T48" s="370">
        <f t="shared" si="16"/>
        <v>0</v>
      </c>
      <c r="U48" s="370">
        <f t="shared" si="17"/>
        <v>0</v>
      </c>
      <c r="V48" s="370">
        <f t="shared" si="18"/>
        <v>0</v>
      </c>
      <c r="W48" s="370">
        <f t="shared" si="19"/>
        <v>0</v>
      </c>
      <c r="X48" s="370">
        <f t="shared" si="20"/>
        <v>0</v>
      </c>
      <c r="Y48" s="370">
        <f t="shared" si="21"/>
        <v>0</v>
      </c>
      <c r="Z48" s="370">
        <f t="shared" si="22"/>
        <v>0</v>
      </c>
      <c r="AA48" s="370">
        <f t="shared" si="23"/>
        <v>0</v>
      </c>
      <c r="AB48" s="371">
        <f t="shared" si="24"/>
        <v>0</v>
      </c>
    </row>
    <row r="49" spans="1:28" s="35" customFormat="1" hidden="1" outlineLevel="1" x14ac:dyDescent="0.2">
      <c r="A49" s="42"/>
      <c r="B49" s="233">
        <v>7</v>
      </c>
      <c r="C49" s="234">
        <f>LogH7</f>
        <v>0</v>
      </c>
      <c r="D49" s="279">
        <f t="shared" si="1"/>
        <v>0</v>
      </c>
      <c r="E49" s="368">
        <f t="shared" si="2"/>
        <v>0</v>
      </c>
      <c r="F49" s="368">
        <f t="shared" si="3"/>
        <v>0</v>
      </c>
      <c r="G49" s="368">
        <f t="shared" si="4"/>
        <v>0</v>
      </c>
      <c r="H49" s="368">
        <f t="shared" si="5"/>
        <v>0</v>
      </c>
      <c r="I49" s="368">
        <f t="shared" si="5"/>
        <v>0</v>
      </c>
      <c r="J49" s="368">
        <f t="shared" si="6"/>
        <v>0</v>
      </c>
      <c r="K49" s="368">
        <f t="shared" si="7"/>
        <v>0</v>
      </c>
      <c r="L49" s="368">
        <f t="shared" si="8"/>
        <v>0</v>
      </c>
      <c r="M49" s="368">
        <f t="shared" si="9"/>
        <v>0</v>
      </c>
      <c r="N49" s="368">
        <f t="shared" si="10"/>
        <v>0</v>
      </c>
      <c r="O49" s="368">
        <f t="shared" si="11"/>
        <v>0</v>
      </c>
      <c r="P49" s="368">
        <f t="shared" si="12"/>
        <v>0</v>
      </c>
      <c r="Q49" s="368">
        <f t="shared" si="13"/>
        <v>0</v>
      </c>
      <c r="R49" s="368">
        <f t="shared" si="14"/>
        <v>0</v>
      </c>
      <c r="S49" s="368">
        <f t="shared" si="15"/>
        <v>0</v>
      </c>
      <c r="T49" s="368">
        <f t="shared" si="16"/>
        <v>0</v>
      </c>
      <c r="U49" s="368">
        <f t="shared" si="17"/>
        <v>0</v>
      </c>
      <c r="V49" s="368">
        <f t="shared" si="18"/>
        <v>0</v>
      </c>
      <c r="W49" s="368">
        <f t="shared" si="19"/>
        <v>0</v>
      </c>
      <c r="X49" s="368">
        <f t="shared" si="20"/>
        <v>0</v>
      </c>
      <c r="Y49" s="368">
        <f t="shared" si="21"/>
        <v>0</v>
      </c>
      <c r="Z49" s="368">
        <f t="shared" si="22"/>
        <v>0</v>
      </c>
      <c r="AA49" s="368">
        <f t="shared" si="23"/>
        <v>0</v>
      </c>
      <c r="AB49" s="369">
        <f t="shared" si="24"/>
        <v>0</v>
      </c>
    </row>
    <row r="50" spans="1:28" s="35" customFormat="1" hidden="1" outlineLevel="1" x14ac:dyDescent="0.2">
      <c r="A50" s="42"/>
      <c r="B50" s="226">
        <v>8</v>
      </c>
      <c r="C50" s="227">
        <f>LogH8</f>
        <v>0</v>
      </c>
      <c r="D50" s="280">
        <f t="shared" si="1"/>
        <v>0</v>
      </c>
      <c r="E50" s="370">
        <f t="shared" si="2"/>
        <v>0</v>
      </c>
      <c r="F50" s="370">
        <f t="shared" si="3"/>
        <v>0</v>
      </c>
      <c r="G50" s="370">
        <f t="shared" si="4"/>
        <v>0</v>
      </c>
      <c r="H50" s="370">
        <f t="shared" si="5"/>
        <v>0</v>
      </c>
      <c r="I50" s="370">
        <f t="shared" si="5"/>
        <v>0</v>
      </c>
      <c r="J50" s="370">
        <f t="shared" si="6"/>
        <v>0</v>
      </c>
      <c r="K50" s="370">
        <f t="shared" si="7"/>
        <v>0</v>
      </c>
      <c r="L50" s="370">
        <f t="shared" si="8"/>
        <v>0</v>
      </c>
      <c r="M50" s="370">
        <f t="shared" si="9"/>
        <v>0</v>
      </c>
      <c r="N50" s="370">
        <f t="shared" si="10"/>
        <v>0</v>
      </c>
      <c r="O50" s="370">
        <f t="shared" si="11"/>
        <v>0</v>
      </c>
      <c r="P50" s="370">
        <f t="shared" si="12"/>
        <v>0</v>
      </c>
      <c r="Q50" s="370">
        <f t="shared" si="13"/>
        <v>0</v>
      </c>
      <c r="R50" s="370">
        <f t="shared" si="14"/>
        <v>0</v>
      </c>
      <c r="S50" s="370">
        <f t="shared" si="15"/>
        <v>0</v>
      </c>
      <c r="T50" s="370">
        <f t="shared" si="16"/>
        <v>0</v>
      </c>
      <c r="U50" s="370">
        <f t="shared" si="17"/>
        <v>0</v>
      </c>
      <c r="V50" s="370">
        <f t="shared" si="18"/>
        <v>0</v>
      </c>
      <c r="W50" s="370">
        <f t="shared" si="19"/>
        <v>0</v>
      </c>
      <c r="X50" s="370">
        <f t="shared" si="20"/>
        <v>0</v>
      </c>
      <c r="Y50" s="370">
        <f t="shared" si="21"/>
        <v>0</v>
      </c>
      <c r="Z50" s="370">
        <f t="shared" si="22"/>
        <v>0</v>
      </c>
      <c r="AA50" s="370">
        <f t="shared" si="23"/>
        <v>0</v>
      </c>
      <c r="AB50" s="371">
        <f t="shared" si="24"/>
        <v>0</v>
      </c>
    </row>
    <row r="51" spans="1:28" s="35" customFormat="1" hidden="1" outlineLevel="1" x14ac:dyDescent="0.2">
      <c r="A51" s="42"/>
      <c r="B51" s="233">
        <v>9</v>
      </c>
      <c r="C51" s="234">
        <f>LogH9</f>
        <v>0</v>
      </c>
      <c r="D51" s="279">
        <f t="shared" si="1"/>
        <v>0</v>
      </c>
      <c r="E51" s="368">
        <f t="shared" si="2"/>
        <v>0</v>
      </c>
      <c r="F51" s="368">
        <f t="shared" si="3"/>
        <v>0</v>
      </c>
      <c r="G51" s="368">
        <f t="shared" si="4"/>
        <v>0</v>
      </c>
      <c r="H51" s="368">
        <f t="shared" si="5"/>
        <v>0</v>
      </c>
      <c r="I51" s="368">
        <f t="shared" si="5"/>
        <v>0</v>
      </c>
      <c r="J51" s="368">
        <f t="shared" si="6"/>
        <v>0</v>
      </c>
      <c r="K51" s="368">
        <f t="shared" si="7"/>
        <v>0</v>
      </c>
      <c r="L51" s="368">
        <f t="shared" si="8"/>
        <v>0</v>
      </c>
      <c r="M51" s="368">
        <f t="shared" si="9"/>
        <v>0</v>
      </c>
      <c r="N51" s="368">
        <f t="shared" si="10"/>
        <v>0</v>
      </c>
      <c r="O51" s="368">
        <f t="shared" si="11"/>
        <v>0</v>
      </c>
      <c r="P51" s="368">
        <f t="shared" si="12"/>
        <v>0</v>
      </c>
      <c r="Q51" s="368">
        <f t="shared" si="13"/>
        <v>0</v>
      </c>
      <c r="R51" s="368">
        <f t="shared" si="14"/>
        <v>0</v>
      </c>
      <c r="S51" s="368">
        <f t="shared" si="15"/>
        <v>0</v>
      </c>
      <c r="T51" s="368">
        <f t="shared" si="16"/>
        <v>0</v>
      </c>
      <c r="U51" s="368">
        <f t="shared" si="17"/>
        <v>0</v>
      </c>
      <c r="V51" s="368">
        <f t="shared" si="18"/>
        <v>0</v>
      </c>
      <c r="W51" s="368">
        <f t="shared" si="19"/>
        <v>0</v>
      </c>
      <c r="X51" s="368">
        <f t="shared" si="20"/>
        <v>0</v>
      </c>
      <c r="Y51" s="368">
        <f t="shared" si="21"/>
        <v>0</v>
      </c>
      <c r="Z51" s="368">
        <f t="shared" si="22"/>
        <v>0</v>
      </c>
      <c r="AA51" s="368">
        <f t="shared" si="23"/>
        <v>0</v>
      </c>
      <c r="AB51" s="369">
        <f t="shared" si="24"/>
        <v>0</v>
      </c>
    </row>
    <row r="52" spans="1:28" s="35" customFormat="1" hidden="1" outlineLevel="1" x14ac:dyDescent="0.2">
      <c r="A52" s="42"/>
      <c r="B52" s="226">
        <v>10</v>
      </c>
      <c r="C52" s="227">
        <f>LogH10</f>
        <v>0</v>
      </c>
      <c r="D52" s="280">
        <f t="shared" si="1"/>
        <v>0</v>
      </c>
      <c r="E52" s="370">
        <f t="shared" si="2"/>
        <v>0</v>
      </c>
      <c r="F52" s="370">
        <f t="shared" si="3"/>
        <v>0</v>
      </c>
      <c r="G52" s="370">
        <f t="shared" si="4"/>
        <v>0</v>
      </c>
      <c r="H52" s="370">
        <f t="shared" si="5"/>
        <v>0</v>
      </c>
      <c r="I52" s="370">
        <f t="shared" si="5"/>
        <v>0</v>
      </c>
      <c r="J52" s="370">
        <f t="shared" si="6"/>
        <v>0</v>
      </c>
      <c r="K52" s="370">
        <f t="shared" si="7"/>
        <v>0</v>
      </c>
      <c r="L52" s="370">
        <f t="shared" si="8"/>
        <v>0</v>
      </c>
      <c r="M52" s="370">
        <f t="shared" si="9"/>
        <v>0</v>
      </c>
      <c r="N52" s="370">
        <f t="shared" si="10"/>
        <v>0</v>
      </c>
      <c r="O52" s="370">
        <f t="shared" si="11"/>
        <v>0</v>
      </c>
      <c r="P52" s="370">
        <f t="shared" si="12"/>
        <v>0</v>
      </c>
      <c r="Q52" s="370">
        <f t="shared" si="13"/>
        <v>0</v>
      </c>
      <c r="R52" s="370">
        <f t="shared" si="14"/>
        <v>0</v>
      </c>
      <c r="S52" s="370">
        <f t="shared" si="15"/>
        <v>0</v>
      </c>
      <c r="T52" s="370">
        <f t="shared" si="16"/>
        <v>0</v>
      </c>
      <c r="U52" s="370">
        <f t="shared" si="17"/>
        <v>0</v>
      </c>
      <c r="V52" s="370">
        <f t="shared" si="18"/>
        <v>0</v>
      </c>
      <c r="W52" s="370">
        <f t="shared" si="19"/>
        <v>0</v>
      </c>
      <c r="X52" s="370">
        <f t="shared" si="20"/>
        <v>0</v>
      </c>
      <c r="Y52" s="370">
        <f t="shared" si="21"/>
        <v>0</v>
      </c>
      <c r="Z52" s="370">
        <f t="shared" si="22"/>
        <v>0</v>
      </c>
      <c r="AA52" s="370">
        <f t="shared" si="23"/>
        <v>0</v>
      </c>
      <c r="AB52" s="371">
        <f t="shared" si="24"/>
        <v>0</v>
      </c>
    </row>
    <row r="53" spans="1:28" s="35" customFormat="1" hidden="1" outlineLevel="1" x14ac:dyDescent="0.2">
      <c r="A53" s="42"/>
      <c r="B53" s="233">
        <v>11</v>
      </c>
      <c r="C53" s="234">
        <f>LogH11</f>
        <v>0</v>
      </c>
      <c r="D53" s="279">
        <f t="shared" si="1"/>
        <v>0</v>
      </c>
      <c r="E53" s="368">
        <f t="shared" si="2"/>
        <v>0</v>
      </c>
      <c r="F53" s="368">
        <f t="shared" si="3"/>
        <v>0</v>
      </c>
      <c r="G53" s="368">
        <f t="shared" si="4"/>
        <v>0</v>
      </c>
      <c r="H53" s="368">
        <f t="shared" si="5"/>
        <v>0</v>
      </c>
      <c r="I53" s="368">
        <f t="shared" si="5"/>
        <v>0</v>
      </c>
      <c r="J53" s="368">
        <f t="shared" si="6"/>
        <v>0</v>
      </c>
      <c r="K53" s="368">
        <f t="shared" si="7"/>
        <v>0</v>
      </c>
      <c r="L53" s="368">
        <f t="shared" si="8"/>
        <v>0</v>
      </c>
      <c r="M53" s="368">
        <f t="shared" si="9"/>
        <v>0</v>
      </c>
      <c r="N53" s="368">
        <f t="shared" si="10"/>
        <v>0</v>
      </c>
      <c r="O53" s="368">
        <f t="shared" si="11"/>
        <v>0</v>
      </c>
      <c r="P53" s="368">
        <f t="shared" si="12"/>
        <v>0</v>
      </c>
      <c r="Q53" s="368">
        <f t="shared" si="13"/>
        <v>0</v>
      </c>
      <c r="R53" s="368">
        <f t="shared" si="14"/>
        <v>0</v>
      </c>
      <c r="S53" s="368">
        <f t="shared" si="15"/>
        <v>0</v>
      </c>
      <c r="T53" s="368">
        <f t="shared" si="16"/>
        <v>0</v>
      </c>
      <c r="U53" s="368">
        <f t="shared" si="17"/>
        <v>0</v>
      </c>
      <c r="V53" s="368">
        <f t="shared" si="18"/>
        <v>0</v>
      </c>
      <c r="W53" s="368">
        <f t="shared" si="19"/>
        <v>0</v>
      </c>
      <c r="X53" s="368">
        <f t="shared" si="20"/>
        <v>0</v>
      </c>
      <c r="Y53" s="368">
        <f t="shared" si="21"/>
        <v>0</v>
      </c>
      <c r="Z53" s="368">
        <f t="shared" si="22"/>
        <v>0</v>
      </c>
      <c r="AA53" s="368">
        <f t="shared" si="23"/>
        <v>0</v>
      </c>
      <c r="AB53" s="369">
        <f t="shared" si="24"/>
        <v>0</v>
      </c>
    </row>
    <row r="54" spans="1:28" s="35" customFormat="1" hidden="1" outlineLevel="1" x14ac:dyDescent="0.2">
      <c r="A54" s="42"/>
      <c r="B54" s="226">
        <v>12</v>
      </c>
      <c r="C54" s="227">
        <f>LogH12</f>
        <v>0</v>
      </c>
      <c r="D54" s="280">
        <f t="shared" si="1"/>
        <v>0</v>
      </c>
      <c r="E54" s="370">
        <f t="shared" si="2"/>
        <v>0</v>
      </c>
      <c r="F54" s="370">
        <f t="shared" si="3"/>
        <v>0</v>
      </c>
      <c r="G54" s="370">
        <f t="shared" si="4"/>
        <v>0</v>
      </c>
      <c r="H54" s="370">
        <f t="shared" si="5"/>
        <v>0</v>
      </c>
      <c r="I54" s="370">
        <f t="shared" si="5"/>
        <v>0</v>
      </c>
      <c r="J54" s="370">
        <f t="shared" si="6"/>
        <v>0</v>
      </c>
      <c r="K54" s="370">
        <f t="shared" si="7"/>
        <v>0</v>
      </c>
      <c r="L54" s="370">
        <f t="shared" si="8"/>
        <v>0</v>
      </c>
      <c r="M54" s="370">
        <f t="shared" si="9"/>
        <v>0</v>
      </c>
      <c r="N54" s="370">
        <f t="shared" si="10"/>
        <v>0</v>
      </c>
      <c r="O54" s="370">
        <f t="shared" si="11"/>
        <v>0</v>
      </c>
      <c r="P54" s="370">
        <f t="shared" si="12"/>
        <v>0</v>
      </c>
      <c r="Q54" s="370">
        <f t="shared" si="13"/>
        <v>0</v>
      </c>
      <c r="R54" s="370">
        <f t="shared" si="14"/>
        <v>0</v>
      </c>
      <c r="S54" s="370">
        <f t="shared" si="15"/>
        <v>0</v>
      </c>
      <c r="T54" s="370">
        <f t="shared" si="16"/>
        <v>0</v>
      </c>
      <c r="U54" s="370">
        <f t="shared" si="17"/>
        <v>0</v>
      </c>
      <c r="V54" s="370">
        <f t="shared" si="18"/>
        <v>0</v>
      </c>
      <c r="W54" s="370">
        <f t="shared" si="19"/>
        <v>0</v>
      </c>
      <c r="X54" s="370">
        <f t="shared" si="20"/>
        <v>0</v>
      </c>
      <c r="Y54" s="370">
        <f t="shared" si="21"/>
        <v>0</v>
      </c>
      <c r="Z54" s="370">
        <f t="shared" si="22"/>
        <v>0</v>
      </c>
      <c r="AA54" s="370">
        <f t="shared" si="23"/>
        <v>0</v>
      </c>
      <c r="AB54" s="371">
        <f t="shared" si="24"/>
        <v>0</v>
      </c>
    </row>
    <row r="55" spans="1:28" s="35" customFormat="1" hidden="1" outlineLevel="1" x14ac:dyDescent="0.2">
      <c r="A55" s="42"/>
      <c r="B55" s="233">
        <v>13</v>
      </c>
      <c r="C55" s="234">
        <f>LogH13</f>
        <v>0</v>
      </c>
      <c r="D55" s="279">
        <f t="shared" si="1"/>
        <v>0</v>
      </c>
      <c r="E55" s="368">
        <f t="shared" si="2"/>
        <v>0</v>
      </c>
      <c r="F55" s="368">
        <f t="shared" si="3"/>
        <v>0</v>
      </c>
      <c r="G55" s="368">
        <f t="shared" si="4"/>
        <v>0</v>
      </c>
      <c r="H55" s="368">
        <f t="shared" si="5"/>
        <v>0</v>
      </c>
      <c r="I55" s="368">
        <f t="shared" si="5"/>
        <v>0</v>
      </c>
      <c r="J55" s="368">
        <f t="shared" si="6"/>
        <v>0</v>
      </c>
      <c r="K55" s="368">
        <f t="shared" si="7"/>
        <v>0</v>
      </c>
      <c r="L55" s="368">
        <f t="shared" si="8"/>
        <v>0</v>
      </c>
      <c r="M55" s="368">
        <f t="shared" si="9"/>
        <v>0</v>
      </c>
      <c r="N55" s="368">
        <f t="shared" si="10"/>
        <v>0</v>
      </c>
      <c r="O55" s="368">
        <f t="shared" si="11"/>
        <v>0</v>
      </c>
      <c r="P55" s="368">
        <f t="shared" si="12"/>
        <v>0</v>
      </c>
      <c r="Q55" s="368">
        <f t="shared" si="13"/>
        <v>0</v>
      </c>
      <c r="R55" s="368">
        <f t="shared" si="14"/>
        <v>0</v>
      </c>
      <c r="S55" s="368">
        <f t="shared" si="15"/>
        <v>0</v>
      </c>
      <c r="T55" s="368">
        <f t="shared" si="16"/>
        <v>0</v>
      </c>
      <c r="U55" s="368">
        <f t="shared" si="17"/>
        <v>0</v>
      </c>
      <c r="V55" s="368">
        <f t="shared" si="18"/>
        <v>0</v>
      </c>
      <c r="W55" s="368">
        <f t="shared" si="19"/>
        <v>0</v>
      </c>
      <c r="X55" s="368">
        <f t="shared" si="20"/>
        <v>0</v>
      </c>
      <c r="Y55" s="368">
        <f t="shared" si="21"/>
        <v>0</v>
      </c>
      <c r="Z55" s="368">
        <f t="shared" si="22"/>
        <v>0</v>
      </c>
      <c r="AA55" s="368">
        <f t="shared" si="23"/>
        <v>0</v>
      </c>
      <c r="AB55" s="369">
        <f t="shared" si="24"/>
        <v>0</v>
      </c>
    </row>
    <row r="56" spans="1:28" hidden="1" outlineLevel="1" x14ac:dyDescent="0.25">
      <c r="A56" s="67"/>
      <c r="B56" s="226">
        <v>14</v>
      </c>
      <c r="C56" s="227">
        <f>LogH14</f>
        <v>0</v>
      </c>
      <c r="D56" s="280">
        <f t="shared" si="1"/>
        <v>0</v>
      </c>
      <c r="E56" s="370">
        <f t="shared" si="2"/>
        <v>0</v>
      </c>
      <c r="F56" s="370">
        <f t="shared" si="3"/>
        <v>0</v>
      </c>
      <c r="G56" s="370">
        <f t="shared" si="4"/>
        <v>0</v>
      </c>
      <c r="H56" s="370">
        <f t="shared" si="5"/>
        <v>0</v>
      </c>
      <c r="I56" s="370">
        <f t="shared" si="5"/>
        <v>0</v>
      </c>
      <c r="J56" s="370">
        <f t="shared" si="6"/>
        <v>0</v>
      </c>
      <c r="K56" s="370">
        <f t="shared" si="7"/>
        <v>0</v>
      </c>
      <c r="L56" s="370">
        <f t="shared" si="8"/>
        <v>0</v>
      </c>
      <c r="M56" s="370">
        <f t="shared" si="9"/>
        <v>0</v>
      </c>
      <c r="N56" s="370">
        <f t="shared" si="10"/>
        <v>0</v>
      </c>
      <c r="O56" s="370">
        <f t="shared" si="11"/>
        <v>0</v>
      </c>
      <c r="P56" s="370">
        <f t="shared" si="12"/>
        <v>0</v>
      </c>
      <c r="Q56" s="370">
        <f t="shared" si="13"/>
        <v>0</v>
      </c>
      <c r="R56" s="370">
        <f t="shared" si="14"/>
        <v>0</v>
      </c>
      <c r="S56" s="370">
        <f t="shared" si="15"/>
        <v>0</v>
      </c>
      <c r="T56" s="370">
        <f t="shared" si="16"/>
        <v>0</v>
      </c>
      <c r="U56" s="370">
        <f t="shared" si="17"/>
        <v>0</v>
      </c>
      <c r="V56" s="370">
        <f t="shared" si="18"/>
        <v>0</v>
      </c>
      <c r="W56" s="370">
        <f t="shared" si="19"/>
        <v>0</v>
      </c>
      <c r="X56" s="370">
        <f t="shared" si="20"/>
        <v>0</v>
      </c>
      <c r="Y56" s="370">
        <f t="shared" si="21"/>
        <v>0</v>
      </c>
      <c r="Z56" s="370">
        <f t="shared" si="22"/>
        <v>0</v>
      </c>
      <c r="AA56" s="370">
        <f t="shared" si="23"/>
        <v>0</v>
      </c>
      <c r="AB56" s="371">
        <f t="shared" si="24"/>
        <v>0</v>
      </c>
    </row>
    <row r="57" spans="1:28" hidden="1" outlineLevel="1" x14ac:dyDescent="0.25">
      <c r="A57" s="67"/>
      <c r="B57" s="233">
        <v>15</v>
      </c>
      <c r="C57" s="234">
        <f>LogH15</f>
        <v>0</v>
      </c>
      <c r="D57" s="279">
        <f t="shared" si="1"/>
        <v>0</v>
      </c>
      <c r="E57" s="368">
        <f t="shared" si="2"/>
        <v>0</v>
      </c>
      <c r="F57" s="368">
        <f t="shared" si="3"/>
        <v>0</v>
      </c>
      <c r="G57" s="368">
        <f t="shared" si="4"/>
        <v>0</v>
      </c>
      <c r="H57" s="368">
        <f t="shared" si="5"/>
        <v>0</v>
      </c>
      <c r="I57" s="368">
        <f t="shared" si="5"/>
        <v>0</v>
      </c>
      <c r="J57" s="368">
        <f t="shared" si="6"/>
        <v>0</v>
      </c>
      <c r="K57" s="368">
        <f t="shared" si="7"/>
        <v>0</v>
      </c>
      <c r="L57" s="368">
        <f t="shared" si="8"/>
        <v>0</v>
      </c>
      <c r="M57" s="368">
        <f t="shared" si="9"/>
        <v>0</v>
      </c>
      <c r="N57" s="368">
        <f t="shared" si="10"/>
        <v>0</v>
      </c>
      <c r="O57" s="368">
        <f t="shared" si="11"/>
        <v>0</v>
      </c>
      <c r="P57" s="368">
        <f t="shared" si="12"/>
        <v>0</v>
      </c>
      <c r="Q57" s="368">
        <f t="shared" si="13"/>
        <v>0</v>
      </c>
      <c r="R57" s="368">
        <f t="shared" si="14"/>
        <v>0</v>
      </c>
      <c r="S57" s="368">
        <f t="shared" si="15"/>
        <v>0</v>
      </c>
      <c r="T57" s="368">
        <f t="shared" si="16"/>
        <v>0</v>
      </c>
      <c r="U57" s="368">
        <f t="shared" si="17"/>
        <v>0</v>
      </c>
      <c r="V57" s="368">
        <f t="shared" si="18"/>
        <v>0</v>
      </c>
      <c r="W57" s="368">
        <f t="shared" si="19"/>
        <v>0</v>
      </c>
      <c r="X57" s="368">
        <f t="shared" si="20"/>
        <v>0</v>
      </c>
      <c r="Y57" s="368">
        <f t="shared" si="21"/>
        <v>0</v>
      </c>
      <c r="Z57" s="368">
        <f t="shared" si="22"/>
        <v>0</v>
      </c>
      <c r="AA57" s="368">
        <f t="shared" si="23"/>
        <v>0</v>
      </c>
      <c r="AB57" s="369">
        <f t="shared" si="24"/>
        <v>0</v>
      </c>
    </row>
    <row r="58" spans="1:28" hidden="1" outlineLevel="1" x14ac:dyDescent="0.25">
      <c r="A58" s="67"/>
      <c r="B58" s="226">
        <v>16</v>
      </c>
      <c r="C58" s="227">
        <f>LogH16</f>
        <v>0</v>
      </c>
      <c r="D58" s="280">
        <f t="shared" si="1"/>
        <v>0</v>
      </c>
      <c r="E58" s="370">
        <f t="shared" si="2"/>
        <v>0</v>
      </c>
      <c r="F58" s="370">
        <f t="shared" si="3"/>
        <v>0</v>
      </c>
      <c r="G58" s="370">
        <f t="shared" si="4"/>
        <v>0</v>
      </c>
      <c r="H58" s="370">
        <f t="shared" si="5"/>
        <v>0</v>
      </c>
      <c r="I58" s="370">
        <f t="shared" si="5"/>
        <v>0</v>
      </c>
      <c r="J58" s="370">
        <f t="shared" si="6"/>
        <v>0</v>
      </c>
      <c r="K58" s="370">
        <f t="shared" si="7"/>
        <v>0</v>
      </c>
      <c r="L58" s="370">
        <f t="shared" si="8"/>
        <v>0</v>
      </c>
      <c r="M58" s="370">
        <f t="shared" si="9"/>
        <v>0</v>
      </c>
      <c r="N58" s="370">
        <f t="shared" si="10"/>
        <v>0</v>
      </c>
      <c r="O58" s="370">
        <f t="shared" si="11"/>
        <v>0</v>
      </c>
      <c r="P58" s="370">
        <f t="shared" si="12"/>
        <v>0</v>
      </c>
      <c r="Q58" s="370">
        <f t="shared" si="13"/>
        <v>0</v>
      </c>
      <c r="R58" s="370">
        <f t="shared" si="14"/>
        <v>0</v>
      </c>
      <c r="S58" s="370">
        <f t="shared" si="15"/>
        <v>0</v>
      </c>
      <c r="T58" s="370">
        <f t="shared" si="16"/>
        <v>0</v>
      </c>
      <c r="U58" s="370">
        <f t="shared" si="17"/>
        <v>0</v>
      </c>
      <c r="V58" s="370">
        <f t="shared" si="18"/>
        <v>0</v>
      </c>
      <c r="W58" s="370">
        <f t="shared" si="19"/>
        <v>0</v>
      </c>
      <c r="X58" s="370">
        <f t="shared" si="20"/>
        <v>0</v>
      </c>
      <c r="Y58" s="370">
        <f t="shared" si="21"/>
        <v>0</v>
      </c>
      <c r="Z58" s="370">
        <f t="shared" si="22"/>
        <v>0</v>
      </c>
      <c r="AA58" s="370">
        <f t="shared" si="23"/>
        <v>0</v>
      </c>
      <c r="AB58" s="371">
        <f t="shared" si="24"/>
        <v>0</v>
      </c>
    </row>
    <row r="59" spans="1:28" hidden="1" outlineLevel="1" x14ac:dyDescent="0.25">
      <c r="A59" s="67"/>
      <c r="B59" s="233">
        <v>17</v>
      </c>
      <c r="C59" s="234">
        <f>LogH17</f>
        <v>0</v>
      </c>
      <c r="D59" s="279">
        <f t="shared" si="1"/>
        <v>0</v>
      </c>
      <c r="E59" s="368">
        <f t="shared" si="2"/>
        <v>0</v>
      </c>
      <c r="F59" s="368">
        <f t="shared" si="3"/>
        <v>0</v>
      </c>
      <c r="G59" s="368">
        <f t="shared" si="4"/>
        <v>0</v>
      </c>
      <c r="H59" s="368">
        <f t="shared" si="5"/>
        <v>0</v>
      </c>
      <c r="I59" s="368">
        <f t="shared" si="5"/>
        <v>0</v>
      </c>
      <c r="J59" s="368">
        <f t="shared" si="6"/>
        <v>0</v>
      </c>
      <c r="K59" s="368">
        <f t="shared" si="7"/>
        <v>0</v>
      </c>
      <c r="L59" s="368">
        <f t="shared" si="8"/>
        <v>0</v>
      </c>
      <c r="M59" s="368">
        <f t="shared" si="9"/>
        <v>0</v>
      </c>
      <c r="N59" s="368">
        <f t="shared" si="10"/>
        <v>0</v>
      </c>
      <c r="O59" s="368">
        <f t="shared" si="11"/>
        <v>0</v>
      </c>
      <c r="P59" s="368">
        <f t="shared" si="12"/>
        <v>0</v>
      </c>
      <c r="Q59" s="368">
        <f t="shared" si="13"/>
        <v>0</v>
      </c>
      <c r="R59" s="368">
        <f t="shared" si="14"/>
        <v>0</v>
      </c>
      <c r="S59" s="368">
        <f t="shared" si="15"/>
        <v>0</v>
      </c>
      <c r="T59" s="368">
        <f t="shared" si="16"/>
        <v>0</v>
      </c>
      <c r="U59" s="368">
        <f t="shared" si="17"/>
        <v>0</v>
      </c>
      <c r="V59" s="368">
        <f t="shared" si="18"/>
        <v>0</v>
      </c>
      <c r="W59" s="368">
        <f t="shared" si="19"/>
        <v>0</v>
      </c>
      <c r="X59" s="368">
        <f t="shared" si="20"/>
        <v>0</v>
      </c>
      <c r="Y59" s="368">
        <f t="shared" si="21"/>
        <v>0</v>
      </c>
      <c r="Z59" s="368">
        <f t="shared" si="22"/>
        <v>0</v>
      </c>
      <c r="AA59" s="368">
        <f t="shared" si="23"/>
        <v>0</v>
      </c>
      <c r="AB59" s="369">
        <f t="shared" si="24"/>
        <v>0</v>
      </c>
    </row>
    <row r="60" spans="1:28" hidden="1" outlineLevel="1" x14ac:dyDescent="0.25">
      <c r="A60" s="67"/>
      <c r="B60" s="226">
        <v>18</v>
      </c>
      <c r="C60" s="227">
        <f>LogH18</f>
        <v>0</v>
      </c>
      <c r="D60" s="280">
        <f t="shared" si="1"/>
        <v>0</v>
      </c>
      <c r="E60" s="370">
        <f t="shared" si="2"/>
        <v>0</v>
      </c>
      <c r="F60" s="370">
        <f t="shared" si="3"/>
        <v>0</v>
      </c>
      <c r="G60" s="370">
        <f t="shared" si="4"/>
        <v>0</v>
      </c>
      <c r="H60" s="370">
        <f t="shared" si="5"/>
        <v>0</v>
      </c>
      <c r="I60" s="370">
        <f t="shared" si="5"/>
        <v>0</v>
      </c>
      <c r="J60" s="370">
        <f t="shared" si="6"/>
        <v>0</v>
      </c>
      <c r="K60" s="370">
        <f t="shared" si="7"/>
        <v>0</v>
      </c>
      <c r="L60" s="370">
        <f t="shared" si="8"/>
        <v>0</v>
      </c>
      <c r="M60" s="370">
        <f t="shared" si="9"/>
        <v>0</v>
      </c>
      <c r="N60" s="370">
        <f t="shared" si="10"/>
        <v>0</v>
      </c>
      <c r="O60" s="370">
        <f t="shared" si="11"/>
        <v>0</v>
      </c>
      <c r="P60" s="370">
        <f t="shared" si="12"/>
        <v>0</v>
      </c>
      <c r="Q60" s="370">
        <f t="shared" si="13"/>
        <v>0</v>
      </c>
      <c r="R60" s="370">
        <f t="shared" si="14"/>
        <v>0</v>
      </c>
      <c r="S60" s="370">
        <f t="shared" si="15"/>
        <v>0</v>
      </c>
      <c r="T60" s="370">
        <f t="shared" si="16"/>
        <v>0</v>
      </c>
      <c r="U60" s="370">
        <f t="shared" si="17"/>
        <v>0</v>
      </c>
      <c r="V60" s="370">
        <f t="shared" si="18"/>
        <v>0</v>
      </c>
      <c r="W60" s="370">
        <f t="shared" si="19"/>
        <v>0</v>
      </c>
      <c r="X60" s="370">
        <f t="shared" si="20"/>
        <v>0</v>
      </c>
      <c r="Y60" s="370">
        <f t="shared" si="21"/>
        <v>0</v>
      </c>
      <c r="Z60" s="370">
        <f t="shared" si="22"/>
        <v>0</v>
      </c>
      <c r="AA60" s="370">
        <f t="shared" si="23"/>
        <v>0</v>
      </c>
      <c r="AB60" s="371">
        <f t="shared" si="24"/>
        <v>0</v>
      </c>
    </row>
    <row r="61" spans="1:28" hidden="1" outlineLevel="1" x14ac:dyDescent="0.25">
      <c r="A61" s="67"/>
      <c r="B61" s="233">
        <v>19</v>
      </c>
      <c r="C61" s="234">
        <f>LogH19</f>
        <v>0</v>
      </c>
      <c r="D61" s="279">
        <f t="shared" si="1"/>
        <v>0</v>
      </c>
      <c r="E61" s="368">
        <f t="shared" si="2"/>
        <v>0</v>
      </c>
      <c r="F61" s="368">
        <f t="shared" si="3"/>
        <v>0</v>
      </c>
      <c r="G61" s="368">
        <f t="shared" si="4"/>
        <v>0</v>
      </c>
      <c r="H61" s="368">
        <f t="shared" si="5"/>
        <v>0</v>
      </c>
      <c r="I61" s="368">
        <f t="shared" si="5"/>
        <v>0</v>
      </c>
      <c r="J61" s="368">
        <f t="shared" si="6"/>
        <v>0</v>
      </c>
      <c r="K61" s="368">
        <f t="shared" si="7"/>
        <v>0</v>
      </c>
      <c r="L61" s="368">
        <f t="shared" si="8"/>
        <v>0</v>
      </c>
      <c r="M61" s="368">
        <f t="shared" si="9"/>
        <v>0</v>
      </c>
      <c r="N61" s="368">
        <f t="shared" si="10"/>
        <v>0</v>
      </c>
      <c r="O61" s="368">
        <f t="shared" si="11"/>
        <v>0</v>
      </c>
      <c r="P61" s="368">
        <f t="shared" si="12"/>
        <v>0</v>
      </c>
      <c r="Q61" s="368">
        <f t="shared" si="13"/>
        <v>0</v>
      </c>
      <c r="R61" s="368">
        <f t="shared" si="14"/>
        <v>0</v>
      </c>
      <c r="S61" s="368">
        <f t="shared" si="15"/>
        <v>0</v>
      </c>
      <c r="T61" s="368">
        <f t="shared" si="16"/>
        <v>0</v>
      </c>
      <c r="U61" s="368">
        <f t="shared" si="17"/>
        <v>0</v>
      </c>
      <c r="V61" s="368">
        <f t="shared" si="18"/>
        <v>0</v>
      </c>
      <c r="W61" s="368">
        <f t="shared" si="19"/>
        <v>0</v>
      </c>
      <c r="X61" s="368">
        <f t="shared" si="20"/>
        <v>0</v>
      </c>
      <c r="Y61" s="368">
        <f t="shared" si="21"/>
        <v>0</v>
      </c>
      <c r="Z61" s="368">
        <f t="shared" si="22"/>
        <v>0</v>
      </c>
      <c r="AA61" s="368">
        <f t="shared" si="23"/>
        <v>0</v>
      </c>
      <c r="AB61" s="369">
        <f t="shared" si="24"/>
        <v>0</v>
      </c>
    </row>
    <row r="62" spans="1:28" hidden="1" outlineLevel="1" x14ac:dyDescent="0.25">
      <c r="A62" s="67"/>
      <c r="B62" s="226">
        <v>20</v>
      </c>
      <c r="C62" s="227">
        <f>LogH20</f>
        <v>0</v>
      </c>
      <c r="D62" s="280">
        <f t="shared" si="1"/>
        <v>0</v>
      </c>
      <c r="E62" s="370">
        <f t="shared" si="2"/>
        <v>0</v>
      </c>
      <c r="F62" s="370">
        <f t="shared" si="3"/>
        <v>0</v>
      </c>
      <c r="G62" s="370">
        <f t="shared" si="4"/>
        <v>0</v>
      </c>
      <c r="H62" s="370">
        <f t="shared" si="5"/>
        <v>0</v>
      </c>
      <c r="I62" s="370">
        <f t="shared" si="5"/>
        <v>0</v>
      </c>
      <c r="J62" s="370">
        <f t="shared" si="6"/>
        <v>0</v>
      </c>
      <c r="K62" s="370">
        <f t="shared" si="7"/>
        <v>0</v>
      </c>
      <c r="L62" s="370">
        <f t="shared" si="8"/>
        <v>0</v>
      </c>
      <c r="M62" s="370">
        <f t="shared" si="9"/>
        <v>0</v>
      </c>
      <c r="N62" s="370">
        <f t="shared" si="10"/>
        <v>0</v>
      </c>
      <c r="O62" s="370">
        <f t="shared" si="11"/>
        <v>0</v>
      </c>
      <c r="P62" s="370">
        <f t="shared" si="12"/>
        <v>0</v>
      </c>
      <c r="Q62" s="370">
        <f t="shared" si="13"/>
        <v>0</v>
      </c>
      <c r="R62" s="370">
        <f t="shared" si="14"/>
        <v>0</v>
      </c>
      <c r="S62" s="370">
        <f t="shared" si="15"/>
        <v>0</v>
      </c>
      <c r="T62" s="370">
        <f t="shared" si="16"/>
        <v>0</v>
      </c>
      <c r="U62" s="370">
        <f t="shared" si="17"/>
        <v>0</v>
      </c>
      <c r="V62" s="370">
        <f t="shared" si="18"/>
        <v>0</v>
      </c>
      <c r="W62" s="370">
        <f t="shared" si="19"/>
        <v>0</v>
      </c>
      <c r="X62" s="370">
        <f t="shared" si="20"/>
        <v>0</v>
      </c>
      <c r="Y62" s="370">
        <f t="shared" si="21"/>
        <v>0</v>
      </c>
      <c r="Z62" s="370">
        <f t="shared" si="22"/>
        <v>0</v>
      </c>
      <c r="AA62" s="370">
        <f t="shared" si="23"/>
        <v>0</v>
      </c>
      <c r="AB62" s="371">
        <f t="shared" si="24"/>
        <v>0</v>
      </c>
    </row>
    <row r="63" spans="1:28" hidden="1" outlineLevel="1" x14ac:dyDescent="0.25">
      <c r="A63" s="67"/>
      <c r="B63" s="233">
        <v>21</v>
      </c>
      <c r="C63" s="234">
        <f>LogH21</f>
        <v>0</v>
      </c>
      <c r="D63" s="279">
        <f t="shared" si="1"/>
        <v>0</v>
      </c>
      <c r="E63" s="368">
        <f t="shared" si="2"/>
        <v>0</v>
      </c>
      <c r="F63" s="368">
        <f t="shared" si="3"/>
        <v>0</v>
      </c>
      <c r="G63" s="368">
        <f t="shared" si="4"/>
        <v>0</v>
      </c>
      <c r="H63" s="368">
        <f t="shared" si="5"/>
        <v>0</v>
      </c>
      <c r="I63" s="368">
        <f t="shared" si="5"/>
        <v>0</v>
      </c>
      <c r="J63" s="368">
        <f t="shared" si="6"/>
        <v>0</v>
      </c>
      <c r="K63" s="368">
        <f t="shared" si="7"/>
        <v>0</v>
      </c>
      <c r="L63" s="368">
        <f t="shared" si="8"/>
        <v>0</v>
      </c>
      <c r="M63" s="368">
        <f t="shared" si="9"/>
        <v>0</v>
      </c>
      <c r="N63" s="368">
        <f t="shared" si="10"/>
        <v>0</v>
      </c>
      <c r="O63" s="368">
        <f t="shared" si="11"/>
        <v>0</v>
      </c>
      <c r="P63" s="368">
        <f t="shared" si="12"/>
        <v>0</v>
      </c>
      <c r="Q63" s="368">
        <f t="shared" si="13"/>
        <v>0</v>
      </c>
      <c r="R63" s="368">
        <f t="shared" si="14"/>
        <v>0</v>
      </c>
      <c r="S63" s="368">
        <f t="shared" si="15"/>
        <v>0</v>
      </c>
      <c r="T63" s="368">
        <f t="shared" si="16"/>
        <v>0</v>
      </c>
      <c r="U63" s="368">
        <f t="shared" si="17"/>
        <v>0</v>
      </c>
      <c r="V63" s="368">
        <f t="shared" si="18"/>
        <v>0</v>
      </c>
      <c r="W63" s="368">
        <f t="shared" si="19"/>
        <v>0</v>
      </c>
      <c r="X63" s="368">
        <f t="shared" si="20"/>
        <v>0</v>
      </c>
      <c r="Y63" s="368">
        <f t="shared" si="21"/>
        <v>0</v>
      </c>
      <c r="Z63" s="368">
        <f t="shared" si="22"/>
        <v>0</v>
      </c>
      <c r="AA63" s="368">
        <f t="shared" si="23"/>
        <v>0</v>
      </c>
      <c r="AB63" s="369">
        <f t="shared" si="24"/>
        <v>0</v>
      </c>
    </row>
    <row r="64" spans="1:28" hidden="1" outlineLevel="1" x14ac:dyDescent="0.25">
      <c r="A64" s="67"/>
      <c r="B64" s="226">
        <v>22</v>
      </c>
      <c r="C64" s="227">
        <f>LogH22</f>
        <v>0</v>
      </c>
      <c r="D64" s="280">
        <f t="shared" si="1"/>
        <v>0</v>
      </c>
      <c r="E64" s="370">
        <f t="shared" si="2"/>
        <v>0</v>
      </c>
      <c r="F64" s="370">
        <f t="shared" si="3"/>
        <v>0</v>
      </c>
      <c r="G64" s="370">
        <f t="shared" si="4"/>
        <v>0</v>
      </c>
      <c r="H64" s="370">
        <f t="shared" si="5"/>
        <v>0</v>
      </c>
      <c r="I64" s="370">
        <f t="shared" si="5"/>
        <v>0</v>
      </c>
      <c r="J64" s="370">
        <f t="shared" si="6"/>
        <v>0</v>
      </c>
      <c r="K64" s="370">
        <f t="shared" si="7"/>
        <v>0</v>
      </c>
      <c r="L64" s="370">
        <f t="shared" si="8"/>
        <v>0</v>
      </c>
      <c r="M64" s="370">
        <f t="shared" si="9"/>
        <v>0</v>
      </c>
      <c r="N64" s="370">
        <f t="shared" si="10"/>
        <v>0</v>
      </c>
      <c r="O64" s="370">
        <f t="shared" si="11"/>
        <v>0</v>
      </c>
      <c r="P64" s="370">
        <f t="shared" si="12"/>
        <v>0</v>
      </c>
      <c r="Q64" s="370">
        <f t="shared" si="13"/>
        <v>0</v>
      </c>
      <c r="R64" s="370">
        <f t="shared" si="14"/>
        <v>0</v>
      </c>
      <c r="S64" s="370">
        <f t="shared" si="15"/>
        <v>0</v>
      </c>
      <c r="T64" s="370">
        <f t="shared" si="16"/>
        <v>0</v>
      </c>
      <c r="U64" s="370">
        <f t="shared" si="17"/>
        <v>0</v>
      </c>
      <c r="V64" s="370">
        <f t="shared" si="18"/>
        <v>0</v>
      </c>
      <c r="W64" s="370">
        <f t="shared" si="19"/>
        <v>0</v>
      </c>
      <c r="X64" s="370">
        <f t="shared" si="20"/>
        <v>0</v>
      </c>
      <c r="Y64" s="370">
        <f t="shared" si="21"/>
        <v>0</v>
      </c>
      <c r="Z64" s="370">
        <f t="shared" si="22"/>
        <v>0</v>
      </c>
      <c r="AA64" s="370">
        <f t="shared" si="23"/>
        <v>0</v>
      </c>
      <c r="AB64" s="371">
        <f t="shared" si="24"/>
        <v>0</v>
      </c>
    </row>
    <row r="65" spans="1:32" hidden="1" outlineLevel="1" x14ac:dyDescent="0.25">
      <c r="A65" s="67"/>
      <c r="B65" s="233">
        <v>23</v>
      </c>
      <c r="C65" s="234">
        <f>LogH23</f>
        <v>0</v>
      </c>
      <c r="D65" s="279">
        <f t="shared" si="1"/>
        <v>0</v>
      </c>
      <c r="E65" s="368">
        <f t="shared" si="2"/>
        <v>0</v>
      </c>
      <c r="F65" s="368">
        <f t="shared" si="3"/>
        <v>0</v>
      </c>
      <c r="G65" s="368">
        <f t="shared" si="4"/>
        <v>0</v>
      </c>
      <c r="H65" s="368">
        <f t="shared" si="5"/>
        <v>0</v>
      </c>
      <c r="I65" s="368">
        <f t="shared" si="5"/>
        <v>0</v>
      </c>
      <c r="J65" s="368">
        <f t="shared" si="6"/>
        <v>0</v>
      </c>
      <c r="K65" s="368">
        <f t="shared" si="7"/>
        <v>0</v>
      </c>
      <c r="L65" s="368">
        <f t="shared" si="8"/>
        <v>0</v>
      </c>
      <c r="M65" s="368">
        <f t="shared" si="9"/>
        <v>0</v>
      </c>
      <c r="N65" s="368">
        <f t="shared" si="10"/>
        <v>0</v>
      </c>
      <c r="O65" s="368">
        <f t="shared" si="11"/>
        <v>0</v>
      </c>
      <c r="P65" s="368">
        <f t="shared" si="12"/>
        <v>0</v>
      </c>
      <c r="Q65" s="368">
        <f t="shared" si="13"/>
        <v>0</v>
      </c>
      <c r="R65" s="368">
        <f t="shared" si="14"/>
        <v>0</v>
      </c>
      <c r="S65" s="368">
        <f t="shared" si="15"/>
        <v>0</v>
      </c>
      <c r="T65" s="368">
        <f t="shared" si="16"/>
        <v>0</v>
      </c>
      <c r="U65" s="368">
        <f t="shared" si="17"/>
        <v>0</v>
      </c>
      <c r="V65" s="368">
        <f t="shared" si="18"/>
        <v>0</v>
      </c>
      <c r="W65" s="368">
        <f t="shared" si="19"/>
        <v>0</v>
      </c>
      <c r="X65" s="368">
        <f t="shared" si="20"/>
        <v>0</v>
      </c>
      <c r="Y65" s="368">
        <f t="shared" si="21"/>
        <v>0</v>
      </c>
      <c r="Z65" s="368">
        <f t="shared" si="22"/>
        <v>0</v>
      </c>
      <c r="AA65" s="368">
        <f t="shared" si="23"/>
        <v>0</v>
      </c>
      <c r="AB65" s="369">
        <f t="shared" si="24"/>
        <v>0</v>
      </c>
    </row>
    <row r="66" spans="1:32" hidden="1" outlineLevel="1" x14ac:dyDescent="0.25">
      <c r="A66" s="67"/>
      <c r="B66" s="220">
        <v>24</v>
      </c>
      <c r="C66" s="219">
        <f>LogH24</f>
        <v>0</v>
      </c>
      <c r="D66" s="281">
        <f t="shared" si="1"/>
        <v>0</v>
      </c>
      <c r="E66" s="372">
        <f t="shared" si="2"/>
        <v>0</v>
      </c>
      <c r="F66" s="372">
        <f t="shared" si="3"/>
        <v>0</v>
      </c>
      <c r="G66" s="372">
        <f t="shared" si="4"/>
        <v>0</v>
      </c>
      <c r="H66" s="372">
        <f t="shared" si="5"/>
        <v>0</v>
      </c>
      <c r="I66" s="372">
        <f t="shared" si="5"/>
        <v>0</v>
      </c>
      <c r="J66" s="372">
        <f t="shared" si="6"/>
        <v>0</v>
      </c>
      <c r="K66" s="372">
        <f t="shared" si="7"/>
        <v>0</v>
      </c>
      <c r="L66" s="372">
        <f t="shared" si="8"/>
        <v>0</v>
      </c>
      <c r="M66" s="372">
        <f t="shared" si="9"/>
        <v>0</v>
      </c>
      <c r="N66" s="372">
        <f t="shared" si="10"/>
        <v>0</v>
      </c>
      <c r="O66" s="372">
        <f t="shared" si="11"/>
        <v>0</v>
      </c>
      <c r="P66" s="372">
        <f t="shared" si="12"/>
        <v>0</v>
      </c>
      <c r="Q66" s="372">
        <f t="shared" si="13"/>
        <v>0</v>
      </c>
      <c r="R66" s="372">
        <f t="shared" si="14"/>
        <v>0</v>
      </c>
      <c r="S66" s="372">
        <f t="shared" si="15"/>
        <v>0</v>
      </c>
      <c r="T66" s="372">
        <f t="shared" si="16"/>
        <v>0</v>
      </c>
      <c r="U66" s="372">
        <f t="shared" si="17"/>
        <v>0</v>
      </c>
      <c r="V66" s="372">
        <f t="shared" si="18"/>
        <v>0</v>
      </c>
      <c r="W66" s="372">
        <f t="shared" si="19"/>
        <v>0</v>
      </c>
      <c r="X66" s="372">
        <f t="shared" si="20"/>
        <v>0</v>
      </c>
      <c r="Y66" s="372">
        <f t="shared" si="21"/>
        <v>0</v>
      </c>
      <c r="Z66" s="372">
        <f t="shared" si="22"/>
        <v>0</v>
      </c>
      <c r="AA66" s="372">
        <f t="shared" si="23"/>
        <v>0</v>
      </c>
      <c r="AB66" s="373">
        <f t="shared" si="24"/>
        <v>0</v>
      </c>
    </row>
    <row r="67" spans="1:32" s="79" customFormat="1" hidden="1" outlineLevel="1" x14ac:dyDescent="0.25">
      <c r="A67" s="121"/>
      <c r="B67" s="59"/>
      <c r="C67" s="282"/>
      <c r="D67" s="283"/>
      <c r="E67" s="73"/>
      <c r="F67" s="73"/>
      <c r="G67" s="73"/>
      <c r="H67" s="73"/>
      <c r="I67" s="73"/>
      <c r="J67" s="73"/>
      <c r="K67" s="73"/>
      <c r="L67" s="73"/>
      <c r="M67" s="73"/>
      <c r="N67" s="73"/>
      <c r="O67" s="73"/>
      <c r="P67" s="73"/>
      <c r="Q67" s="73"/>
      <c r="R67" s="73"/>
      <c r="S67" s="73"/>
      <c r="T67" s="73"/>
      <c r="U67" s="73"/>
      <c r="V67" s="73"/>
      <c r="W67" s="73"/>
      <c r="X67" s="73"/>
      <c r="Y67" s="73"/>
      <c r="Z67" s="73"/>
      <c r="AA67" s="73"/>
      <c r="AB67" s="72"/>
    </row>
    <row r="68" spans="1:32" hidden="1" outlineLevel="1" x14ac:dyDescent="0.25">
      <c r="A68" s="67"/>
      <c r="B68" s="221"/>
      <c r="C68" s="221"/>
      <c r="D68" s="222"/>
      <c r="E68" s="1303" t="s">
        <v>420</v>
      </c>
      <c r="F68" s="1304"/>
      <c r="G68" s="1304"/>
      <c r="H68" s="1304"/>
      <c r="I68" s="1304"/>
      <c r="J68" s="1304"/>
      <c r="K68" s="1304"/>
      <c r="L68" s="1304"/>
      <c r="M68" s="1304"/>
      <c r="N68" s="1304"/>
      <c r="O68" s="1304"/>
      <c r="P68" s="1304"/>
      <c r="Q68" s="1304"/>
      <c r="R68" s="1304"/>
      <c r="S68" s="1304"/>
      <c r="T68" s="1304"/>
      <c r="U68" s="1304"/>
      <c r="V68" s="1304"/>
      <c r="W68" s="1304"/>
      <c r="X68" s="1304"/>
      <c r="Y68" s="1304"/>
      <c r="Z68" s="1304"/>
      <c r="AA68" s="1304"/>
      <c r="AB68" s="1305"/>
    </row>
    <row r="69" spans="1:32" hidden="1" outlineLevel="1" x14ac:dyDescent="0.25">
      <c r="A69" s="67"/>
      <c r="B69" s="221"/>
      <c r="C69" s="221"/>
      <c r="D69" s="221"/>
      <c r="E69" s="1303" t="s">
        <v>92</v>
      </c>
      <c r="F69" s="1304"/>
      <c r="G69" s="1304"/>
      <c r="H69" s="1304"/>
      <c r="I69" s="1304"/>
      <c r="J69" s="1304"/>
      <c r="K69" s="1304"/>
      <c r="L69" s="1304"/>
      <c r="M69" s="1304"/>
      <c r="N69" s="1304"/>
      <c r="O69" s="1304"/>
      <c r="P69" s="1304"/>
      <c r="Q69" s="1304"/>
      <c r="R69" s="1304"/>
      <c r="S69" s="1304"/>
      <c r="T69" s="1304"/>
      <c r="U69" s="1304"/>
      <c r="V69" s="1304"/>
      <c r="W69" s="1304"/>
      <c r="X69" s="1304"/>
      <c r="Y69" s="1304"/>
      <c r="Z69" s="1304"/>
      <c r="AA69" s="1304"/>
      <c r="AB69" s="1305"/>
    </row>
    <row r="70" spans="1:32" ht="15.75" hidden="1" outlineLevel="1" thickBot="1" x14ac:dyDescent="0.3">
      <c r="A70" s="67"/>
      <c r="B70" s="223"/>
      <c r="C70" s="223"/>
      <c r="D70" s="224"/>
      <c r="E70" s="405">
        <f t="shared" ref="E70:AB70" si="25">E18</f>
        <v>1</v>
      </c>
      <c r="F70" s="405">
        <f t="shared" si="25"/>
        <v>2</v>
      </c>
      <c r="G70" s="405">
        <f t="shared" si="25"/>
        <v>3</v>
      </c>
      <c r="H70" s="405">
        <f t="shared" si="25"/>
        <v>4</v>
      </c>
      <c r="I70" s="405">
        <f t="shared" si="25"/>
        <v>5</v>
      </c>
      <c r="J70" s="405">
        <f t="shared" si="25"/>
        <v>6</v>
      </c>
      <c r="K70" s="405">
        <f t="shared" si="25"/>
        <v>7</v>
      </c>
      <c r="L70" s="405">
        <f t="shared" si="25"/>
        <v>8</v>
      </c>
      <c r="M70" s="405">
        <f t="shared" si="25"/>
        <v>9</v>
      </c>
      <c r="N70" s="405">
        <f t="shared" si="25"/>
        <v>10</v>
      </c>
      <c r="O70" s="405">
        <f t="shared" si="25"/>
        <v>11</v>
      </c>
      <c r="P70" s="405">
        <f t="shared" si="25"/>
        <v>12</v>
      </c>
      <c r="Q70" s="405">
        <f t="shared" si="25"/>
        <v>13</v>
      </c>
      <c r="R70" s="405">
        <f t="shared" si="25"/>
        <v>14</v>
      </c>
      <c r="S70" s="405">
        <f t="shared" si="25"/>
        <v>15</v>
      </c>
      <c r="T70" s="405">
        <f t="shared" si="25"/>
        <v>16</v>
      </c>
      <c r="U70" s="405">
        <f t="shared" si="25"/>
        <v>17</v>
      </c>
      <c r="V70" s="405">
        <f t="shared" si="25"/>
        <v>18</v>
      </c>
      <c r="W70" s="405">
        <f t="shared" si="25"/>
        <v>19</v>
      </c>
      <c r="X70" s="405">
        <f t="shared" si="25"/>
        <v>20</v>
      </c>
      <c r="Y70" s="405">
        <f t="shared" si="25"/>
        <v>21</v>
      </c>
      <c r="Z70" s="405">
        <f t="shared" si="25"/>
        <v>22</v>
      </c>
      <c r="AA70" s="405">
        <f t="shared" si="25"/>
        <v>23</v>
      </c>
      <c r="AB70" s="406">
        <f t="shared" si="25"/>
        <v>24</v>
      </c>
    </row>
    <row r="71" spans="1:32" ht="15.75" hidden="1" outlineLevel="1" thickTop="1" x14ac:dyDescent="0.25">
      <c r="A71" s="67"/>
      <c r="B71" s="1170" t="s">
        <v>421</v>
      </c>
      <c r="C71" s="1170"/>
      <c r="D71" s="1170"/>
      <c r="E71" s="374">
        <f t="shared" ref="E71:AB71" si="26">MAX(E$43:E$66)</f>
        <v>0</v>
      </c>
      <c r="F71" s="375">
        <f t="shared" si="26"/>
        <v>0</v>
      </c>
      <c r="G71" s="376">
        <f t="shared" si="26"/>
        <v>0</v>
      </c>
      <c r="H71" s="376">
        <f t="shared" si="26"/>
        <v>0</v>
      </c>
      <c r="I71" s="374">
        <f t="shared" si="26"/>
        <v>0</v>
      </c>
      <c r="J71" s="376">
        <f t="shared" si="26"/>
        <v>0</v>
      </c>
      <c r="K71" s="374">
        <f t="shared" si="26"/>
        <v>0</v>
      </c>
      <c r="L71" s="375">
        <f t="shared" si="26"/>
        <v>0</v>
      </c>
      <c r="M71" s="376">
        <f t="shared" si="26"/>
        <v>0</v>
      </c>
      <c r="N71" s="376">
        <f t="shared" si="26"/>
        <v>0</v>
      </c>
      <c r="O71" s="374">
        <f t="shared" si="26"/>
        <v>0</v>
      </c>
      <c r="P71" s="376">
        <f t="shared" si="26"/>
        <v>0</v>
      </c>
      <c r="Q71" s="374">
        <f t="shared" si="26"/>
        <v>0</v>
      </c>
      <c r="R71" s="375">
        <f t="shared" si="26"/>
        <v>0</v>
      </c>
      <c r="S71" s="375">
        <f t="shared" si="26"/>
        <v>0</v>
      </c>
      <c r="T71" s="375">
        <f t="shared" si="26"/>
        <v>0</v>
      </c>
      <c r="U71" s="375">
        <f t="shared" si="26"/>
        <v>0</v>
      </c>
      <c r="V71" s="375">
        <f t="shared" si="26"/>
        <v>0</v>
      </c>
      <c r="W71" s="375">
        <f t="shared" si="26"/>
        <v>0</v>
      </c>
      <c r="X71" s="375">
        <f t="shared" si="26"/>
        <v>0</v>
      </c>
      <c r="Y71" s="375">
        <f t="shared" si="26"/>
        <v>0</v>
      </c>
      <c r="Z71" s="375">
        <f t="shared" si="26"/>
        <v>0</v>
      </c>
      <c r="AA71" s="375">
        <f t="shared" si="26"/>
        <v>0</v>
      </c>
      <c r="AB71" s="377">
        <f t="shared" si="26"/>
        <v>0</v>
      </c>
    </row>
    <row r="72" spans="1:32" hidden="1" outlineLevel="1" x14ac:dyDescent="0.25">
      <c r="A72" s="67"/>
      <c r="B72" s="55"/>
      <c r="C72" s="55"/>
      <c r="D72" s="55"/>
      <c r="E72" s="74"/>
      <c r="F72" s="74"/>
      <c r="G72" s="74"/>
      <c r="H72" s="74"/>
      <c r="I72" s="74"/>
      <c r="J72" s="74"/>
      <c r="K72" s="74"/>
      <c r="L72" s="74"/>
      <c r="M72" s="74"/>
      <c r="N72" s="74"/>
      <c r="O72" s="74"/>
      <c r="P72" s="74"/>
      <c r="Q72" s="74"/>
      <c r="R72" s="74"/>
      <c r="S72" s="74"/>
      <c r="T72" s="74"/>
      <c r="U72" s="74"/>
      <c r="V72" s="74"/>
      <c r="W72" s="74"/>
      <c r="X72" s="74"/>
      <c r="Y72" s="74"/>
      <c r="Z72" s="74"/>
      <c r="AA72" s="74"/>
      <c r="AB72" s="75"/>
    </row>
    <row r="73" spans="1:32" ht="15.75" hidden="1" outlineLevel="1" thickBot="1" x14ac:dyDescent="0.3">
      <c r="A73" s="67"/>
      <c r="B73" s="1240" t="s">
        <v>179</v>
      </c>
      <c r="C73" s="1240"/>
      <c r="D73" s="407" t="s">
        <v>178</v>
      </c>
      <c r="E73" s="1242" t="s">
        <v>177</v>
      </c>
      <c r="F73" s="1243"/>
      <c r="G73" s="1243"/>
      <c r="H73" s="1239" t="s">
        <v>157</v>
      </c>
      <c r="I73" s="1240"/>
      <c r="J73" s="1240"/>
      <c r="K73" s="1240"/>
      <c r="L73" s="1240"/>
      <c r="M73" s="1239" t="s">
        <v>156</v>
      </c>
      <c r="N73" s="1240"/>
      <c r="O73" s="1240"/>
      <c r="P73" s="1240"/>
      <c r="Q73" s="74"/>
      <c r="R73" s="74"/>
      <c r="S73" s="74"/>
      <c r="T73" s="74"/>
      <c r="U73" s="74"/>
      <c r="V73" s="74"/>
      <c r="W73" s="74"/>
      <c r="X73" s="74"/>
      <c r="Y73" s="74"/>
      <c r="Z73" s="74"/>
      <c r="AA73" s="74"/>
      <c r="AB73" s="75"/>
    </row>
    <row r="74" spans="1:32" ht="15.75" hidden="1" outlineLevel="1" thickTop="1" x14ac:dyDescent="0.25">
      <c r="A74" s="67"/>
      <c r="B74" s="1286">
        <f t="shared" ref="B74:B101" si="27">MIN(IF(D74="Default Value",H74,D74/(NetLinkLatency/1000)*8),H74)/1000000</f>
        <v>9.9999999999999995E-7</v>
      </c>
      <c r="C74" s="1287"/>
      <c r="D74" s="225" t="str">
        <f t="shared" ref="D74:D101" si="28">VLOOKUP(E74,tblTCPWindowSize,2,TRUE)</f>
        <v>Default Value</v>
      </c>
      <c r="E74" s="1244">
        <f t="shared" ref="E74:E101" si="29">H74*(NetLinkLatency/1000)</f>
        <v>0.05</v>
      </c>
      <c r="F74" s="1245"/>
      <c r="G74" s="1246"/>
      <c r="H74" s="1247">
        <v>1</v>
      </c>
      <c r="I74" s="1247">
        <v>1</v>
      </c>
      <c r="J74" s="1247">
        <v>1</v>
      </c>
      <c r="K74" s="1247">
        <v>1</v>
      </c>
      <c r="L74" s="1248">
        <v>1</v>
      </c>
      <c r="M74" s="1241" t="s">
        <v>147</v>
      </c>
      <c r="N74" s="1241" t="s">
        <v>147</v>
      </c>
      <c r="O74" s="1241" t="s">
        <v>147</v>
      </c>
      <c r="P74" s="1241" t="s">
        <v>147</v>
      </c>
      <c r="Q74" s="74"/>
      <c r="R74" s="74"/>
      <c r="S74" s="74"/>
      <c r="T74" s="74"/>
      <c r="U74" s="74"/>
      <c r="V74" s="74"/>
      <c r="W74" s="74"/>
      <c r="X74" s="74"/>
      <c r="Y74" s="74"/>
      <c r="Z74" s="74"/>
      <c r="AA74" s="74"/>
      <c r="AB74" s="75"/>
    </row>
    <row r="75" spans="1:32" hidden="1" outlineLevel="1" x14ac:dyDescent="0.25">
      <c r="A75" s="67"/>
      <c r="B75" s="1237">
        <f t="shared" si="27"/>
        <v>6.4000000000000001E-2</v>
      </c>
      <c r="C75" s="1225"/>
      <c r="D75" s="237" t="str">
        <f t="shared" si="28"/>
        <v>Default Value</v>
      </c>
      <c r="E75" s="1216">
        <f t="shared" si="29"/>
        <v>3200</v>
      </c>
      <c r="F75" s="1217"/>
      <c r="G75" s="1218"/>
      <c r="H75" s="1212">
        <v>64000</v>
      </c>
      <c r="I75" s="1212">
        <v>64000</v>
      </c>
      <c r="J75" s="1212">
        <v>64000</v>
      </c>
      <c r="K75" s="1212">
        <v>64000</v>
      </c>
      <c r="L75" s="1212">
        <v>64000</v>
      </c>
      <c r="M75" s="1213" t="s">
        <v>147</v>
      </c>
      <c r="N75" s="1214" t="s">
        <v>147</v>
      </c>
      <c r="O75" s="1214" t="s">
        <v>147</v>
      </c>
      <c r="P75" s="1215" t="s">
        <v>147</v>
      </c>
      <c r="Q75" s="74"/>
      <c r="R75" s="74"/>
      <c r="S75" s="74"/>
      <c r="T75" s="74"/>
      <c r="U75" s="74"/>
      <c r="V75" s="74"/>
      <c r="W75" s="74"/>
      <c r="X75" s="74"/>
      <c r="Y75" s="74"/>
      <c r="Z75" s="74"/>
      <c r="AA75" s="74"/>
      <c r="AB75" s="75"/>
    </row>
    <row r="76" spans="1:32" hidden="1" outlineLevel="1" x14ac:dyDescent="0.25">
      <c r="A76" s="67"/>
      <c r="B76" s="1238">
        <f t="shared" si="27"/>
        <v>6.4001000000000002E-2</v>
      </c>
      <c r="C76" s="1223"/>
      <c r="D76" s="225" t="str">
        <f t="shared" si="28"/>
        <v>Default Value</v>
      </c>
      <c r="E76" s="1219">
        <f t="shared" si="29"/>
        <v>3200.05</v>
      </c>
      <c r="F76" s="1220"/>
      <c r="G76" s="1221"/>
      <c r="H76" s="1209">
        <v>64001</v>
      </c>
      <c r="I76" s="1210"/>
      <c r="J76" s="1210"/>
      <c r="K76" s="1210"/>
      <c r="L76" s="1211"/>
      <c r="M76" s="1209" t="s">
        <v>148</v>
      </c>
      <c r="N76" s="1210"/>
      <c r="O76" s="1210"/>
      <c r="P76" s="1210"/>
      <c r="Q76" s="74"/>
      <c r="R76" s="74"/>
      <c r="S76" s="74"/>
      <c r="T76" s="74"/>
      <c r="U76" s="74"/>
      <c r="V76" s="74"/>
      <c r="W76" s="74"/>
      <c r="X76" s="74"/>
      <c r="Y76" s="74"/>
      <c r="Z76" s="74"/>
      <c r="AA76" s="74"/>
      <c r="AB76" s="75"/>
    </row>
    <row r="77" spans="1:32" hidden="1" outlineLevel="1" x14ac:dyDescent="0.25">
      <c r="A77" s="67"/>
      <c r="B77" s="1237">
        <f t="shared" si="27"/>
        <v>0.128</v>
      </c>
      <c r="C77" s="1225"/>
      <c r="D77" s="237" t="str">
        <f t="shared" si="28"/>
        <v>Default Value</v>
      </c>
      <c r="E77" s="1216">
        <f t="shared" si="29"/>
        <v>6400</v>
      </c>
      <c r="F77" s="1217"/>
      <c r="G77" s="1218"/>
      <c r="H77" s="1212">
        <v>128000</v>
      </c>
      <c r="I77" s="1212"/>
      <c r="J77" s="1212"/>
      <c r="K77" s="1212"/>
      <c r="L77" s="1212"/>
      <c r="M77" s="1213" t="s">
        <v>148</v>
      </c>
      <c r="N77" s="1214"/>
      <c r="O77" s="1214"/>
      <c r="P77" s="1215"/>
      <c r="Q77" s="74"/>
      <c r="R77" s="74"/>
      <c r="S77" s="74"/>
      <c r="T77" s="74"/>
      <c r="U77" s="74"/>
      <c r="V77" s="74"/>
      <c r="W77" s="74"/>
      <c r="X77" s="74"/>
      <c r="Y77" s="74"/>
      <c r="Z77" s="74"/>
      <c r="AA77" s="74"/>
      <c r="AB77" s="75"/>
    </row>
    <row r="78" spans="1:32" hidden="1" outlineLevel="1" x14ac:dyDescent="0.25">
      <c r="A78" s="67"/>
      <c r="B78" s="1238">
        <f t="shared" si="27"/>
        <v>0.128001</v>
      </c>
      <c r="C78" s="1223"/>
      <c r="D78" s="225" t="str">
        <f t="shared" si="28"/>
        <v>Default Value</v>
      </c>
      <c r="E78" s="1219">
        <f t="shared" si="29"/>
        <v>6400.05</v>
      </c>
      <c r="F78" s="1220"/>
      <c r="G78" s="1221"/>
      <c r="H78" s="1209">
        <v>128001</v>
      </c>
      <c r="I78" s="1210">
        <v>128001</v>
      </c>
      <c r="J78" s="1210">
        <v>128001</v>
      </c>
      <c r="K78" s="1210">
        <v>128001</v>
      </c>
      <c r="L78" s="1211">
        <v>128001</v>
      </c>
      <c r="M78" s="1209" t="s">
        <v>149</v>
      </c>
      <c r="N78" s="1210" t="s">
        <v>149</v>
      </c>
      <c r="O78" s="1210" t="s">
        <v>149</v>
      </c>
      <c r="P78" s="1210" t="s">
        <v>149</v>
      </c>
      <c r="Q78" s="74"/>
      <c r="R78" s="74"/>
      <c r="S78" s="74"/>
      <c r="T78" s="74"/>
      <c r="U78" s="74"/>
      <c r="V78" s="74"/>
      <c r="W78" s="74"/>
      <c r="X78" s="74"/>
      <c r="Y78" s="74"/>
      <c r="Z78" s="74"/>
      <c r="AA78" s="74"/>
      <c r="AB78" s="75"/>
    </row>
    <row r="79" spans="1:32" hidden="1" outlineLevel="1" x14ac:dyDescent="0.25">
      <c r="A79" s="67"/>
      <c r="B79" s="1237">
        <f t="shared" si="27"/>
        <v>0.192</v>
      </c>
      <c r="C79" s="1225"/>
      <c r="D79" s="237" t="str">
        <f t="shared" si="28"/>
        <v>Default Value</v>
      </c>
      <c r="E79" s="1216">
        <f t="shared" si="29"/>
        <v>9600</v>
      </c>
      <c r="F79" s="1217"/>
      <c r="G79" s="1218"/>
      <c r="H79" s="1212">
        <v>192000</v>
      </c>
      <c r="I79" s="1212">
        <v>192000</v>
      </c>
      <c r="J79" s="1212">
        <v>192000</v>
      </c>
      <c r="K79" s="1212">
        <v>192000</v>
      </c>
      <c r="L79" s="1212">
        <v>192000</v>
      </c>
      <c r="M79" s="1213" t="s">
        <v>149</v>
      </c>
      <c r="N79" s="1214" t="s">
        <v>149</v>
      </c>
      <c r="O79" s="1214" t="s">
        <v>149</v>
      </c>
      <c r="P79" s="1215" t="s">
        <v>149</v>
      </c>
      <c r="Q79" s="74"/>
      <c r="R79" s="74"/>
      <c r="S79" s="74"/>
      <c r="T79" s="74"/>
      <c r="U79" s="74"/>
      <c r="V79" s="74"/>
      <c r="W79" s="74"/>
      <c r="X79" s="74"/>
      <c r="Y79" s="74"/>
      <c r="Z79" s="74"/>
      <c r="AA79" s="74"/>
      <c r="AB79" s="75"/>
      <c r="AF79" s="390"/>
    </row>
    <row r="80" spans="1:32" hidden="1" outlineLevel="1" x14ac:dyDescent="0.25">
      <c r="A80" s="67"/>
      <c r="B80" s="1238">
        <f t="shared" si="27"/>
        <v>0.192001</v>
      </c>
      <c r="C80" s="1223"/>
      <c r="D80" s="225" t="str">
        <f t="shared" si="28"/>
        <v>Default Value</v>
      </c>
      <c r="E80" s="1219">
        <f t="shared" si="29"/>
        <v>9600.0500000000011</v>
      </c>
      <c r="F80" s="1220"/>
      <c r="G80" s="1221"/>
      <c r="H80" s="1209">
        <v>192001</v>
      </c>
      <c r="I80" s="1210">
        <v>192001</v>
      </c>
      <c r="J80" s="1210">
        <v>192001</v>
      </c>
      <c r="K80" s="1210">
        <v>192001</v>
      </c>
      <c r="L80" s="1211">
        <v>192001</v>
      </c>
      <c r="M80" s="1209" t="s">
        <v>150</v>
      </c>
      <c r="N80" s="1210" t="s">
        <v>150</v>
      </c>
      <c r="O80" s="1210" t="s">
        <v>150</v>
      </c>
      <c r="P80" s="1210" t="s">
        <v>150</v>
      </c>
      <c r="Q80" s="74"/>
      <c r="R80" s="74"/>
      <c r="S80" s="74"/>
      <c r="T80" s="53"/>
      <c r="U80" s="74"/>
      <c r="V80" s="74"/>
      <c r="W80" s="74"/>
      <c r="X80" s="74"/>
      <c r="Y80" s="74"/>
      <c r="Z80" s="74"/>
      <c r="AA80" s="74"/>
      <c r="AB80" s="75"/>
    </row>
    <row r="81" spans="1:32" hidden="1" outlineLevel="1" x14ac:dyDescent="0.25">
      <c r="A81" s="67"/>
      <c r="B81" s="1237">
        <f t="shared" si="27"/>
        <v>0.25600000000000001</v>
      </c>
      <c r="C81" s="1225"/>
      <c r="D81" s="237" t="str">
        <f t="shared" si="28"/>
        <v>Default Value</v>
      </c>
      <c r="E81" s="1216">
        <f t="shared" si="29"/>
        <v>12800</v>
      </c>
      <c r="F81" s="1217"/>
      <c r="G81" s="1218"/>
      <c r="H81" s="1212">
        <v>256000</v>
      </c>
      <c r="I81" s="1212">
        <v>256000</v>
      </c>
      <c r="J81" s="1212">
        <v>256000</v>
      </c>
      <c r="K81" s="1212">
        <v>256000</v>
      </c>
      <c r="L81" s="1212">
        <v>256000</v>
      </c>
      <c r="M81" s="1213" t="s">
        <v>150</v>
      </c>
      <c r="N81" s="1214" t="s">
        <v>150</v>
      </c>
      <c r="O81" s="1214" t="s">
        <v>150</v>
      </c>
      <c r="P81" s="1215" t="s">
        <v>150</v>
      </c>
      <c r="Q81" s="74"/>
      <c r="R81" s="74"/>
      <c r="S81" s="74"/>
      <c r="T81" s="53"/>
      <c r="U81" s="74"/>
      <c r="V81" s="74"/>
      <c r="W81" s="74"/>
      <c r="X81" s="74"/>
      <c r="Y81" s="74"/>
      <c r="Z81" s="74"/>
      <c r="AA81" s="74"/>
      <c r="AB81" s="75"/>
      <c r="AF81" s="390"/>
    </row>
    <row r="82" spans="1:32" hidden="1" outlineLevel="1" x14ac:dyDescent="0.25">
      <c r="A82" s="67"/>
      <c r="B82" s="1238">
        <f t="shared" si="27"/>
        <v>0.25600099999999998</v>
      </c>
      <c r="C82" s="1223"/>
      <c r="D82" s="225" t="str">
        <f t="shared" si="28"/>
        <v>Default Value</v>
      </c>
      <c r="E82" s="1219">
        <f t="shared" si="29"/>
        <v>12800.050000000001</v>
      </c>
      <c r="F82" s="1220"/>
      <c r="G82" s="1221"/>
      <c r="H82" s="1209">
        <v>256001</v>
      </c>
      <c r="I82" s="1210">
        <v>256001</v>
      </c>
      <c r="J82" s="1210">
        <v>256001</v>
      </c>
      <c r="K82" s="1210">
        <v>256001</v>
      </c>
      <c r="L82" s="1211">
        <v>256001</v>
      </c>
      <c r="M82" s="1209" t="s">
        <v>151</v>
      </c>
      <c r="N82" s="1210" t="s">
        <v>151</v>
      </c>
      <c r="O82" s="1210" t="s">
        <v>151</v>
      </c>
      <c r="P82" s="1210" t="s">
        <v>151</v>
      </c>
      <c r="Q82" s="74"/>
      <c r="R82" s="74"/>
      <c r="S82" s="74"/>
      <c r="T82" s="53"/>
      <c r="U82" s="74"/>
      <c r="V82" s="74"/>
      <c r="W82" s="74"/>
      <c r="X82" s="74"/>
      <c r="Y82" s="74"/>
      <c r="Z82" s="74"/>
      <c r="AA82" s="74"/>
      <c r="AB82" s="75"/>
    </row>
    <row r="83" spans="1:32" hidden="1" outlineLevel="1" x14ac:dyDescent="0.25">
      <c r="A83" s="67"/>
      <c r="B83" s="1237">
        <f t="shared" si="27"/>
        <v>0.38400000000000001</v>
      </c>
      <c r="C83" s="1225"/>
      <c r="D83" s="237" t="str">
        <f t="shared" si="28"/>
        <v>Default Value</v>
      </c>
      <c r="E83" s="1216">
        <f t="shared" si="29"/>
        <v>19200</v>
      </c>
      <c r="F83" s="1217"/>
      <c r="G83" s="1218"/>
      <c r="H83" s="1212">
        <v>384000</v>
      </c>
      <c r="I83" s="1212">
        <v>384000</v>
      </c>
      <c r="J83" s="1212">
        <v>384000</v>
      </c>
      <c r="K83" s="1212">
        <v>384000</v>
      </c>
      <c r="L83" s="1212">
        <v>384000</v>
      </c>
      <c r="M83" s="1213" t="s">
        <v>151</v>
      </c>
      <c r="N83" s="1214" t="s">
        <v>151</v>
      </c>
      <c r="O83" s="1214" t="s">
        <v>151</v>
      </c>
      <c r="P83" s="1215" t="s">
        <v>151</v>
      </c>
      <c r="Q83" s="74"/>
      <c r="R83" s="74"/>
      <c r="S83" s="74"/>
      <c r="T83" s="53"/>
      <c r="U83" s="74"/>
      <c r="V83" s="74"/>
      <c r="W83" s="74"/>
      <c r="X83" s="74"/>
      <c r="Y83" s="74"/>
      <c r="Z83" s="74"/>
      <c r="AA83" s="74"/>
      <c r="AB83" s="75"/>
    </row>
    <row r="84" spans="1:32" hidden="1" outlineLevel="1" x14ac:dyDescent="0.25">
      <c r="A84" s="67"/>
      <c r="B84" s="1238">
        <f t="shared" si="27"/>
        <v>0.38400099999999998</v>
      </c>
      <c r="C84" s="1223"/>
      <c r="D84" s="225" t="str">
        <f t="shared" si="28"/>
        <v>Default Value</v>
      </c>
      <c r="E84" s="1219">
        <f t="shared" si="29"/>
        <v>19200.05</v>
      </c>
      <c r="F84" s="1220"/>
      <c r="G84" s="1221"/>
      <c r="H84" s="1209">
        <v>384001</v>
      </c>
      <c r="I84" s="1210">
        <v>384001</v>
      </c>
      <c r="J84" s="1210">
        <v>384001</v>
      </c>
      <c r="K84" s="1210">
        <v>384001</v>
      </c>
      <c r="L84" s="1211">
        <v>384001</v>
      </c>
      <c r="M84" s="1209" t="s">
        <v>174</v>
      </c>
      <c r="N84" s="1210" t="s">
        <v>174</v>
      </c>
      <c r="O84" s="1210" t="s">
        <v>174</v>
      </c>
      <c r="P84" s="1210" t="s">
        <v>174</v>
      </c>
      <c r="Q84" s="74"/>
      <c r="R84" s="74"/>
      <c r="S84" s="74"/>
      <c r="T84" s="53"/>
      <c r="U84" s="74"/>
      <c r="V84" s="74"/>
      <c r="W84" s="74"/>
      <c r="X84" s="74"/>
      <c r="Y84" s="74"/>
      <c r="Z84" s="74"/>
      <c r="AA84" s="74"/>
      <c r="AB84" s="75"/>
    </row>
    <row r="85" spans="1:32" hidden="1" outlineLevel="1" x14ac:dyDescent="0.25">
      <c r="A85" s="67"/>
      <c r="B85" s="1237">
        <f t="shared" si="27"/>
        <v>0.76800000000000002</v>
      </c>
      <c r="C85" s="1225"/>
      <c r="D85" s="237" t="str">
        <f t="shared" si="28"/>
        <v>Default Value</v>
      </c>
      <c r="E85" s="1216">
        <f t="shared" si="29"/>
        <v>38400</v>
      </c>
      <c r="F85" s="1217"/>
      <c r="G85" s="1218"/>
      <c r="H85" s="1212">
        <v>768000</v>
      </c>
      <c r="I85" s="1212">
        <v>768000</v>
      </c>
      <c r="J85" s="1212">
        <v>768000</v>
      </c>
      <c r="K85" s="1212">
        <v>768000</v>
      </c>
      <c r="L85" s="1212">
        <v>768000</v>
      </c>
      <c r="M85" s="1213" t="s">
        <v>174</v>
      </c>
      <c r="N85" s="1214" t="s">
        <v>174</v>
      </c>
      <c r="O85" s="1214" t="s">
        <v>174</v>
      </c>
      <c r="P85" s="1215" t="s">
        <v>174</v>
      </c>
      <c r="Q85" s="74"/>
      <c r="R85" s="74"/>
      <c r="S85" s="74"/>
      <c r="T85" s="53"/>
      <c r="U85" s="74"/>
      <c r="V85" s="74"/>
      <c r="W85" s="74"/>
      <c r="X85" s="74"/>
      <c r="Y85" s="74"/>
      <c r="Z85" s="74"/>
      <c r="AA85" s="74"/>
      <c r="AB85" s="75"/>
    </row>
    <row r="86" spans="1:32" hidden="1" outlineLevel="1" x14ac:dyDescent="0.25">
      <c r="A86" s="67"/>
      <c r="B86" s="1238">
        <f t="shared" si="27"/>
        <v>0.76800100000000004</v>
      </c>
      <c r="C86" s="1223"/>
      <c r="D86" s="225" t="str">
        <f t="shared" si="28"/>
        <v>Default Value</v>
      </c>
      <c r="E86" s="1219">
        <f t="shared" si="29"/>
        <v>38400.050000000003</v>
      </c>
      <c r="F86" s="1220"/>
      <c r="G86" s="1221"/>
      <c r="H86" s="1209">
        <v>768001</v>
      </c>
      <c r="I86" s="1210">
        <v>768001</v>
      </c>
      <c r="J86" s="1210">
        <v>768001</v>
      </c>
      <c r="K86" s="1210">
        <v>768001</v>
      </c>
      <c r="L86" s="1211">
        <v>768001</v>
      </c>
      <c r="M86" s="1209" t="s">
        <v>182</v>
      </c>
      <c r="N86" s="1210"/>
      <c r="O86" s="1210"/>
      <c r="P86" s="1210"/>
      <c r="Q86" s="74"/>
      <c r="R86" s="74"/>
      <c r="S86" s="74"/>
      <c r="T86" s="53"/>
      <c r="U86" s="74"/>
      <c r="V86" s="74"/>
      <c r="W86" s="74"/>
      <c r="X86" s="74"/>
      <c r="Y86" s="74"/>
      <c r="Z86" s="74"/>
      <c r="AA86" s="74"/>
      <c r="AB86" s="75"/>
    </row>
    <row r="87" spans="1:32" hidden="1" outlineLevel="1" x14ac:dyDescent="0.25">
      <c r="A87" s="67"/>
      <c r="B87" s="1237">
        <f t="shared" si="27"/>
        <v>1.544</v>
      </c>
      <c r="C87" s="1225"/>
      <c r="D87" s="237">
        <f t="shared" si="28"/>
        <v>131070</v>
      </c>
      <c r="E87" s="1216">
        <f t="shared" si="29"/>
        <v>77200</v>
      </c>
      <c r="F87" s="1217"/>
      <c r="G87" s="1218"/>
      <c r="H87" s="1212">
        <v>1544000</v>
      </c>
      <c r="I87" s="1212">
        <v>1544000</v>
      </c>
      <c r="J87" s="1212">
        <v>1544000</v>
      </c>
      <c r="K87" s="1212">
        <v>1544000</v>
      </c>
      <c r="L87" s="1212">
        <v>1544000</v>
      </c>
      <c r="M87" s="1213" t="s">
        <v>182</v>
      </c>
      <c r="N87" s="1214"/>
      <c r="O87" s="1214"/>
      <c r="P87" s="1215"/>
      <c r="Q87" s="74"/>
      <c r="R87" s="74"/>
      <c r="S87" s="74"/>
      <c r="T87" s="53"/>
      <c r="U87" s="74"/>
      <c r="V87" s="74"/>
      <c r="W87" s="74"/>
      <c r="X87" s="74"/>
      <c r="Y87" s="74"/>
      <c r="Z87" s="74"/>
      <c r="AA87" s="74"/>
      <c r="AB87" s="75"/>
    </row>
    <row r="88" spans="1:32" hidden="1" outlineLevel="1" x14ac:dyDescent="0.25">
      <c r="A88" s="67"/>
      <c r="B88" s="1238">
        <f t="shared" si="27"/>
        <v>1.544001</v>
      </c>
      <c r="C88" s="1223"/>
      <c r="D88" s="225">
        <f t="shared" si="28"/>
        <v>131070</v>
      </c>
      <c r="E88" s="1219">
        <f t="shared" si="29"/>
        <v>77200.05</v>
      </c>
      <c r="F88" s="1220"/>
      <c r="G88" s="1221"/>
      <c r="H88" s="1209">
        <v>1544001</v>
      </c>
      <c r="I88" s="1210">
        <v>1544001</v>
      </c>
      <c r="J88" s="1210">
        <v>1544001</v>
      </c>
      <c r="K88" s="1210">
        <v>1544001</v>
      </c>
      <c r="L88" s="1211">
        <v>1544001</v>
      </c>
      <c r="M88" s="1209" t="s">
        <v>194</v>
      </c>
      <c r="N88" s="1210" t="s">
        <v>171</v>
      </c>
      <c r="O88" s="1210" t="s">
        <v>171</v>
      </c>
      <c r="P88" s="1210" t="s">
        <v>171</v>
      </c>
      <c r="Q88" s="74"/>
      <c r="R88" s="74"/>
      <c r="S88" s="74"/>
      <c r="T88" s="53"/>
      <c r="U88" s="74"/>
      <c r="V88" s="74"/>
      <c r="W88" s="74"/>
      <c r="X88" s="74"/>
      <c r="Y88" s="74"/>
      <c r="Z88" s="74"/>
      <c r="AA88" s="74"/>
      <c r="AB88" s="75"/>
    </row>
    <row r="89" spans="1:32" hidden="1" outlineLevel="1" x14ac:dyDescent="0.25">
      <c r="A89" s="67"/>
      <c r="B89" s="1237">
        <f t="shared" si="27"/>
        <v>2.048</v>
      </c>
      <c r="C89" s="1225"/>
      <c r="D89" s="237">
        <f t="shared" si="28"/>
        <v>131070</v>
      </c>
      <c r="E89" s="1216">
        <f t="shared" si="29"/>
        <v>102400</v>
      </c>
      <c r="F89" s="1217"/>
      <c r="G89" s="1218"/>
      <c r="H89" s="1212">
        <v>2048000</v>
      </c>
      <c r="I89" s="1212">
        <v>2048000</v>
      </c>
      <c r="J89" s="1212">
        <v>2048000</v>
      </c>
      <c r="K89" s="1212">
        <v>2048000</v>
      </c>
      <c r="L89" s="1212">
        <v>2048000</v>
      </c>
      <c r="M89" s="1213" t="s">
        <v>194</v>
      </c>
      <c r="N89" s="1214" t="s">
        <v>171</v>
      </c>
      <c r="O89" s="1214" t="s">
        <v>171</v>
      </c>
      <c r="P89" s="1215" t="s">
        <v>171</v>
      </c>
      <c r="Q89" s="74"/>
      <c r="R89" s="74"/>
      <c r="S89" s="74"/>
      <c r="T89" s="53"/>
      <c r="U89" s="74"/>
      <c r="V89" s="74"/>
      <c r="W89" s="74"/>
      <c r="X89" s="74"/>
      <c r="Y89" s="74"/>
      <c r="Z89" s="74"/>
      <c r="AA89" s="74"/>
      <c r="AB89" s="75"/>
    </row>
    <row r="90" spans="1:32" hidden="1" outlineLevel="1" x14ac:dyDescent="0.25">
      <c r="A90" s="67"/>
      <c r="B90" s="1238">
        <f t="shared" si="27"/>
        <v>2.0480010000000002</v>
      </c>
      <c r="C90" s="1223"/>
      <c r="D90" s="225">
        <f t="shared" si="28"/>
        <v>131070</v>
      </c>
      <c r="E90" s="1219">
        <f t="shared" si="29"/>
        <v>102400.05</v>
      </c>
      <c r="F90" s="1220"/>
      <c r="G90" s="1221"/>
      <c r="H90" s="1209">
        <v>2048001</v>
      </c>
      <c r="I90" s="1210">
        <v>2048001</v>
      </c>
      <c r="J90" s="1210">
        <v>2048001</v>
      </c>
      <c r="K90" s="1210">
        <v>2048001</v>
      </c>
      <c r="L90" s="1211">
        <v>2048001</v>
      </c>
      <c r="M90" s="1209" t="s">
        <v>184</v>
      </c>
      <c r="N90" s="1210" t="s">
        <v>173</v>
      </c>
      <c r="O90" s="1210" t="s">
        <v>173</v>
      </c>
      <c r="P90" s="1210" t="s">
        <v>173</v>
      </c>
      <c r="Q90" s="74"/>
      <c r="R90" s="74"/>
      <c r="S90" s="74"/>
      <c r="T90" s="53"/>
      <c r="U90" s="74"/>
      <c r="V90" s="74"/>
      <c r="W90" s="74"/>
      <c r="X90" s="74"/>
      <c r="Y90" s="74"/>
      <c r="Z90" s="74"/>
      <c r="AA90" s="74"/>
      <c r="AB90" s="75"/>
    </row>
    <row r="91" spans="1:32" hidden="1" outlineLevel="1" x14ac:dyDescent="0.25">
      <c r="A91" s="67"/>
      <c r="B91" s="1237">
        <f t="shared" si="27"/>
        <v>6.3120000000000003</v>
      </c>
      <c r="C91" s="1225"/>
      <c r="D91" s="237">
        <f t="shared" si="28"/>
        <v>524280</v>
      </c>
      <c r="E91" s="1216">
        <f t="shared" si="29"/>
        <v>315600</v>
      </c>
      <c r="F91" s="1217"/>
      <c r="G91" s="1218"/>
      <c r="H91" s="1212">
        <v>6312000</v>
      </c>
      <c r="I91" s="1212">
        <v>6312000</v>
      </c>
      <c r="J91" s="1212">
        <v>6312000</v>
      </c>
      <c r="K91" s="1212">
        <v>6312000</v>
      </c>
      <c r="L91" s="1212">
        <v>6312000</v>
      </c>
      <c r="M91" s="1213" t="s">
        <v>184</v>
      </c>
      <c r="N91" s="1214" t="s">
        <v>173</v>
      </c>
      <c r="O91" s="1214" t="s">
        <v>173</v>
      </c>
      <c r="P91" s="1215" t="s">
        <v>173</v>
      </c>
      <c r="Q91" s="74"/>
      <c r="R91" s="74"/>
      <c r="S91" s="74"/>
      <c r="T91" s="53"/>
      <c r="U91" s="74"/>
      <c r="V91" s="74"/>
      <c r="W91" s="74"/>
      <c r="X91" s="74"/>
      <c r="Y91" s="74"/>
      <c r="Z91" s="74"/>
      <c r="AA91" s="74"/>
      <c r="AB91" s="75"/>
    </row>
    <row r="92" spans="1:32" hidden="1" outlineLevel="1" x14ac:dyDescent="0.25">
      <c r="A92" s="67"/>
      <c r="B92" s="1238">
        <f t="shared" si="27"/>
        <v>6.3120010000000004</v>
      </c>
      <c r="C92" s="1223"/>
      <c r="D92" s="225">
        <f t="shared" si="28"/>
        <v>524280</v>
      </c>
      <c r="E92" s="1219">
        <f t="shared" si="29"/>
        <v>315600.05000000005</v>
      </c>
      <c r="F92" s="1220"/>
      <c r="G92" s="1221"/>
      <c r="H92" s="1209">
        <v>6312001</v>
      </c>
      <c r="I92" s="1210">
        <v>6312001</v>
      </c>
      <c r="J92" s="1210">
        <v>6312001</v>
      </c>
      <c r="K92" s="1210">
        <v>6312001</v>
      </c>
      <c r="L92" s="1211">
        <v>6312001</v>
      </c>
      <c r="M92" s="1209" t="s">
        <v>185</v>
      </c>
      <c r="N92" s="1210" t="s">
        <v>172</v>
      </c>
      <c r="O92" s="1210" t="s">
        <v>172</v>
      </c>
      <c r="P92" s="1210" t="s">
        <v>172</v>
      </c>
      <c r="Q92" s="74"/>
      <c r="R92" s="74"/>
      <c r="S92" s="74"/>
      <c r="T92" s="53"/>
      <c r="U92" s="74"/>
      <c r="V92" s="74"/>
      <c r="W92" s="74"/>
      <c r="X92" s="74"/>
      <c r="Y92" s="74"/>
      <c r="Z92" s="74"/>
      <c r="AA92" s="74"/>
      <c r="AB92" s="75"/>
    </row>
    <row r="93" spans="1:32" hidden="1" outlineLevel="1" x14ac:dyDescent="0.25">
      <c r="A93" s="67"/>
      <c r="B93" s="1237">
        <f t="shared" si="27"/>
        <v>8.4480000000000004</v>
      </c>
      <c r="C93" s="1225"/>
      <c r="D93" s="237">
        <f t="shared" si="28"/>
        <v>524280</v>
      </c>
      <c r="E93" s="1216">
        <f t="shared" si="29"/>
        <v>422400</v>
      </c>
      <c r="F93" s="1217"/>
      <c r="G93" s="1218"/>
      <c r="H93" s="1212">
        <v>8448000</v>
      </c>
      <c r="I93" s="1212">
        <v>8448000</v>
      </c>
      <c r="J93" s="1212">
        <v>8448000</v>
      </c>
      <c r="K93" s="1212">
        <v>8448000</v>
      </c>
      <c r="L93" s="1212">
        <v>8448000</v>
      </c>
      <c r="M93" s="1213" t="s">
        <v>185</v>
      </c>
      <c r="N93" s="1214" t="s">
        <v>172</v>
      </c>
      <c r="O93" s="1214" t="s">
        <v>172</v>
      </c>
      <c r="P93" s="1215" t="s">
        <v>172</v>
      </c>
      <c r="Q93" s="74"/>
      <c r="R93" s="74"/>
      <c r="S93" s="74"/>
      <c r="T93" s="53"/>
      <c r="U93" s="74"/>
      <c r="V93" s="74"/>
      <c r="W93" s="74"/>
      <c r="X93" s="74"/>
      <c r="Y93" s="74"/>
      <c r="Z93" s="74"/>
      <c r="AA93" s="74"/>
      <c r="AB93" s="75"/>
    </row>
    <row r="94" spans="1:32" hidden="1" outlineLevel="1" x14ac:dyDescent="0.25">
      <c r="A94" s="67"/>
      <c r="B94" s="1238">
        <f t="shared" si="27"/>
        <v>8.4480009999999996</v>
      </c>
      <c r="C94" s="1223"/>
      <c r="D94" s="225">
        <f t="shared" si="28"/>
        <v>524280</v>
      </c>
      <c r="E94" s="1219">
        <f t="shared" si="29"/>
        <v>422400.05000000005</v>
      </c>
      <c r="F94" s="1220"/>
      <c r="G94" s="1221"/>
      <c r="H94" s="1209">
        <v>8448001</v>
      </c>
      <c r="I94" s="1210">
        <v>8448001</v>
      </c>
      <c r="J94" s="1210">
        <v>8448001</v>
      </c>
      <c r="K94" s="1210">
        <v>8448001</v>
      </c>
      <c r="L94" s="1211">
        <v>8448001</v>
      </c>
      <c r="M94" s="1209" t="s">
        <v>152</v>
      </c>
      <c r="N94" s="1210" t="s">
        <v>152</v>
      </c>
      <c r="O94" s="1210" t="s">
        <v>152</v>
      </c>
      <c r="P94" s="1210" t="s">
        <v>152</v>
      </c>
      <c r="Q94" s="74"/>
      <c r="R94" s="74"/>
      <c r="S94" s="74"/>
      <c r="T94" s="59"/>
      <c r="U94" s="74"/>
      <c r="V94" s="74"/>
      <c r="W94" s="74"/>
      <c r="X94" s="74"/>
      <c r="Y94" s="74"/>
      <c r="Z94" s="74"/>
      <c r="AA94" s="74"/>
      <c r="AB94" s="75"/>
    </row>
    <row r="95" spans="1:32" hidden="1" outlineLevel="1" x14ac:dyDescent="0.25">
      <c r="A95" s="67"/>
      <c r="B95" s="1237">
        <f t="shared" si="27"/>
        <v>10</v>
      </c>
      <c r="C95" s="1225"/>
      <c r="D95" s="237">
        <f t="shared" si="28"/>
        <v>524280</v>
      </c>
      <c r="E95" s="1216">
        <f t="shared" si="29"/>
        <v>500000</v>
      </c>
      <c r="F95" s="1217"/>
      <c r="G95" s="1218"/>
      <c r="H95" s="1212">
        <v>10000000</v>
      </c>
      <c r="I95" s="1212">
        <v>10000000</v>
      </c>
      <c r="J95" s="1212">
        <v>10000000</v>
      </c>
      <c r="K95" s="1212">
        <v>10000000</v>
      </c>
      <c r="L95" s="1212">
        <v>10000000</v>
      </c>
      <c r="M95" s="1213" t="s">
        <v>152</v>
      </c>
      <c r="N95" s="1214" t="s">
        <v>152</v>
      </c>
      <c r="O95" s="1214" t="s">
        <v>152</v>
      </c>
      <c r="P95" s="1215" t="s">
        <v>152</v>
      </c>
      <c r="Q95" s="74"/>
      <c r="R95" s="74"/>
      <c r="S95" s="74"/>
      <c r="T95" s="53"/>
      <c r="U95" s="74"/>
      <c r="V95" s="74"/>
      <c r="W95" s="74"/>
      <c r="X95" s="74"/>
      <c r="Y95" s="74"/>
      <c r="Z95" s="74"/>
      <c r="AA95" s="74"/>
      <c r="AB95" s="75"/>
    </row>
    <row r="96" spans="1:32" hidden="1" outlineLevel="1" x14ac:dyDescent="0.25">
      <c r="A96" s="67"/>
      <c r="B96" s="1238">
        <f t="shared" si="27"/>
        <v>10.000000999999999</v>
      </c>
      <c r="C96" s="1223"/>
      <c r="D96" s="225">
        <f t="shared" si="28"/>
        <v>524280</v>
      </c>
      <c r="E96" s="1219">
        <f t="shared" si="29"/>
        <v>500000.05000000005</v>
      </c>
      <c r="F96" s="1220"/>
      <c r="G96" s="1221"/>
      <c r="H96" s="1209">
        <v>10000001</v>
      </c>
      <c r="I96" s="1210">
        <v>10000001</v>
      </c>
      <c r="J96" s="1210">
        <v>10000001</v>
      </c>
      <c r="K96" s="1210">
        <v>10000001</v>
      </c>
      <c r="L96" s="1211">
        <v>10000001</v>
      </c>
      <c r="M96" s="1209" t="s">
        <v>162</v>
      </c>
      <c r="N96" s="1210" t="s">
        <v>162</v>
      </c>
      <c r="O96" s="1210" t="s">
        <v>162</v>
      </c>
      <c r="P96" s="1210" t="s">
        <v>162</v>
      </c>
      <c r="Q96" s="74"/>
      <c r="R96" s="74"/>
      <c r="S96" s="74"/>
      <c r="T96" s="53"/>
      <c r="U96" s="74"/>
      <c r="V96" s="74"/>
      <c r="W96" s="74"/>
      <c r="X96" s="74"/>
      <c r="Y96" s="74"/>
      <c r="Z96" s="74"/>
      <c r="AA96" s="74"/>
      <c r="AB96" s="75"/>
    </row>
    <row r="97" spans="1:28" hidden="1" outlineLevel="1" x14ac:dyDescent="0.25">
      <c r="A97" s="67"/>
      <c r="B97" s="1237">
        <f t="shared" si="27"/>
        <v>16</v>
      </c>
      <c r="C97" s="1225"/>
      <c r="D97" s="237">
        <f t="shared" si="28"/>
        <v>1048560</v>
      </c>
      <c r="E97" s="1216">
        <f t="shared" si="29"/>
        <v>800000</v>
      </c>
      <c r="F97" s="1217"/>
      <c r="G97" s="1218"/>
      <c r="H97" s="1212">
        <v>16000000</v>
      </c>
      <c r="I97" s="1212">
        <v>16000000</v>
      </c>
      <c r="J97" s="1212">
        <v>16000000</v>
      </c>
      <c r="K97" s="1212">
        <v>16000000</v>
      </c>
      <c r="L97" s="1212">
        <v>16000000</v>
      </c>
      <c r="M97" s="1213" t="s">
        <v>162</v>
      </c>
      <c r="N97" s="1214" t="s">
        <v>162</v>
      </c>
      <c r="O97" s="1214" t="s">
        <v>162</v>
      </c>
      <c r="P97" s="1215" t="s">
        <v>162</v>
      </c>
      <c r="Q97" s="74"/>
      <c r="R97" s="74"/>
      <c r="S97" s="74"/>
      <c r="T97" s="53"/>
      <c r="U97" s="74"/>
      <c r="V97" s="74"/>
      <c r="W97" s="74"/>
      <c r="X97" s="74"/>
      <c r="Y97" s="74"/>
      <c r="Z97" s="74"/>
      <c r="AA97" s="74"/>
      <c r="AB97" s="75"/>
    </row>
    <row r="98" spans="1:28" hidden="1" outlineLevel="1" x14ac:dyDescent="0.25">
      <c r="A98" s="67"/>
      <c r="B98" s="1238">
        <f t="shared" si="27"/>
        <v>16.000001000000001</v>
      </c>
      <c r="C98" s="1223"/>
      <c r="D98" s="225">
        <f t="shared" si="28"/>
        <v>1048560</v>
      </c>
      <c r="E98" s="1219">
        <f t="shared" si="29"/>
        <v>800000.05</v>
      </c>
      <c r="F98" s="1220"/>
      <c r="G98" s="1221"/>
      <c r="H98" s="1209">
        <v>16000001</v>
      </c>
      <c r="I98" s="1210">
        <v>16000001</v>
      </c>
      <c r="J98" s="1210">
        <v>16000001</v>
      </c>
      <c r="K98" s="1210">
        <v>16000001</v>
      </c>
      <c r="L98" s="1211">
        <v>16000001</v>
      </c>
      <c r="M98" s="1209" t="s">
        <v>186</v>
      </c>
      <c r="N98" s="1210" t="s">
        <v>153</v>
      </c>
      <c r="O98" s="1210" t="s">
        <v>153</v>
      </c>
      <c r="P98" s="1210" t="s">
        <v>153</v>
      </c>
      <c r="Q98" s="74"/>
      <c r="R98" s="74"/>
      <c r="S98" s="74"/>
      <c r="T98" s="53"/>
      <c r="U98" s="74"/>
      <c r="V98" s="74"/>
      <c r="W98" s="74"/>
      <c r="X98" s="74"/>
      <c r="Y98" s="74"/>
      <c r="Z98" s="74"/>
      <c r="AA98" s="74"/>
      <c r="AB98" s="75"/>
    </row>
    <row r="99" spans="1:28" hidden="1" outlineLevel="1" x14ac:dyDescent="0.25">
      <c r="A99" s="67"/>
      <c r="B99" s="1237">
        <f t="shared" si="27"/>
        <v>34.368000000000002</v>
      </c>
      <c r="C99" s="1225"/>
      <c r="D99" s="237">
        <f t="shared" si="28"/>
        <v>2097120</v>
      </c>
      <c r="E99" s="1216">
        <f t="shared" si="29"/>
        <v>1718400</v>
      </c>
      <c r="F99" s="1217"/>
      <c r="G99" s="1218"/>
      <c r="H99" s="1212">
        <v>34368000</v>
      </c>
      <c r="I99" s="1212">
        <v>34368000</v>
      </c>
      <c r="J99" s="1212">
        <v>34368000</v>
      </c>
      <c r="K99" s="1212">
        <v>34368000</v>
      </c>
      <c r="L99" s="1212">
        <v>34368000</v>
      </c>
      <c r="M99" s="1213" t="s">
        <v>186</v>
      </c>
      <c r="N99" s="1214" t="s">
        <v>153</v>
      </c>
      <c r="O99" s="1214" t="s">
        <v>153</v>
      </c>
      <c r="P99" s="1215" t="s">
        <v>153</v>
      </c>
      <c r="Q99" s="74"/>
      <c r="R99" s="74"/>
      <c r="S99" s="74"/>
      <c r="T99" s="53"/>
      <c r="U99" s="74"/>
      <c r="V99" s="74"/>
      <c r="W99" s="74"/>
      <c r="X99" s="74"/>
      <c r="Y99" s="74"/>
      <c r="Z99" s="74"/>
      <c r="AA99" s="74"/>
      <c r="AB99" s="75"/>
    </row>
    <row r="100" spans="1:28" hidden="1" outlineLevel="1" x14ac:dyDescent="0.25">
      <c r="A100" s="67"/>
      <c r="B100" s="1238">
        <f t="shared" si="27"/>
        <v>34.368001</v>
      </c>
      <c r="C100" s="1223"/>
      <c r="D100" s="225">
        <f t="shared" si="28"/>
        <v>2097120</v>
      </c>
      <c r="E100" s="1219">
        <f t="shared" si="29"/>
        <v>1718400.05</v>
      </c>
      <c r="F100" s="1220"/>
      <c r="G100" s="1221"/>
      <c r="H100" s="1209">
        <v>34368001</v>
      </c>
      <c r="I100" s="1210">
        <v>34368001</v>
      </c>
      <c r="J100" s="1210">
        <v>34368001</v>
      </c>
      <c r="K100" s="1210">
        <v>34368001</v>
      </c>
      <c r="L100" s="1211">
        <v>34368001</v>
      </c>
      <c r="M100" s="1209" t="s">
        <v>187</v>
      </c>
      <c r="N100" s="1210" t="s">
        <v>170</v>
      </c>
      <c r="O100" s="1210" t="s">
        <v>170</v>
      </c>
      <c r="P100" s="1210" t="s">
        <v>170</v>
      </c>
      <c r="Q100" s="74"/>
      <c r="R100" s="74"/>
      <c r="S100" s="74"/>
      <c r="T100" s="59"/>
      <c r="U100" s="74"/>
      <c r="V100" s="74"/>
      <c r="W100" s="74"/>
      <c r="X100" s="74"/>
      <c r="Y100" s="74"/>
      <c r="Z100" s="74"/>
      <c r="AA100" s="74"/>
      <c r="AB100" s="75"/>
    </row>
    <row r="101" spans="1:28" hidden="1" outlineLevel="1" x14ac:dyDescent="0.25">
      <c r="A101" s="67"/>
      <c r="B101" s="1237">
        <f t="shared" si="27"/>
        <v>44.735999999999997</v>
      </c>
      <c r="C101" s="1225"/>
      <c r="D101" s="237">
        <f t="shared" si="28"/>
        <v>4194240</v>
      </c>
      <c r="E101" s="1216">
        <f t="shared" si="29"/>
        <v>2236800</v>
      </c>
      <c r="F101" s="1217"/>
      <c r="G101" s="1218"/>
      <c r="H101" s="1212">
        <v>44736000</v>
      </c>
      <c r="I101" s="1212">
        <v>44736000</v>
      </c>
      <c r="J101" s="1212">
        <v>44736000</v>
      </c>
      <c r="K101" s="1212">
        <v>44736000</v>
      </c>
      <c r="L101" s="1212">
        <v>44736000</v>
      </c>
      <c r="M101" s="1213" t="s">
        <v>187</v>
      </c>
      <c r="N101" s="1214" t="s">
        <v>170</v>
      </c>
      <c r="O101" s="1214" t="s">
        <v>170</v>
      </c>
      <c r="P101" s="1215" t="s">
        <v>170</v>
      </c>
      <c r="Q101" s="74"/>
      <c r="R101" s="74"/>
      <c r="S101" s="74"/>
      <c r="T101" s="59"/>
      <c r="U101" s="74"/>
      <c r="V101" s="74"/>
      <c r="W101" s="74"/>
      <c r="X101" s="74"/>
      <c r="Y101" s="74"/>
      <c r="Z101" s="74"/>
      <c r="AA101" s="74"/>
      <c r="AB101" s="75"/>
    </row>
    <row r="102" spans="1:28" hidden="1" outlineLevel="1" x14ac:dyDescent="0.25">
      <c r="A102" s="67"/>
      <c r="B102" s="1238">
        <f>MIN(IF(D102="Default Value",H102,D102/(NetLinkLatency/1000)*8),H102)/1000000</f>
        <v>44.736001000000002</v>
      </c>
      <c r="C102" s="1223"/>
      <c r="D102" s="225">
        <f>VLOOKUP(E102,tblTCPWindowSize,2,TRUE)</f>
        <v>4194240</v>
      </c>
      <c r="E102" s="1219">
        <f>H102*(NetLinkLatency/1000)</f>
        <v>2236800.0500000003</v>
      </c>
      <c r="F102" s="1220"/>
      <c r="G102" s="1221"/>
      <c r="H102" s="1209">
        <v>44736001</v>
      </c>
      <c r="I102" s="1210">
        <v>44736001</v>
      </c>
      <c r="J102" s="1210">
        <v>44736001</v>
      </c>
      <c r="K102" s="1210">
        <v>44736001</v>
      </c>
      <c r="L102" s="1211">
        <v>44736001</v>
      </c>
      <c r="M102" s="1209" t="s">
        <v>465</v>
      </c>
      <c r="N102" s="1210"/>
      <c r="O102" s="1210"/>
      <c r="P102" s="1210"/>
      <c r="Q102" s="74"/>
      <c r="R102" s="74"/>
      <c r="S102" s="74"/>
      <c r="T102" s="59"/>
      <c r="U102" s="74"/>
      <c r="V102" s="74"/>
      <c r="W102" s="74"/>
      <c r="X102" s="74"/>
      <c r="Y102" s="74"/>
      <c r="Z102" s="74"/>
      <c r="AA102" s="74"/>
      <c r="AB102" s="75"/>
    </row>
    <row r="103" spans="1:28" hidden="1" outlineLevel="1" x14ac:dyDescent="0.25">
      <c r="A103" s="67"/>
      <c r="B103" s="1237">
        <f>MIN(IF(D103="Default Value",H103,D103/(NetLinkLatency/1000)*8),H103)/1000000</f>
        <v>50</v>
      </c>
      <c r="C103" s="1225"/>
      <c r="D103" s="237">
        <f>VLOOKUP(E103,tblTCPWindowSize,2,TRUE)</f>
        <v>4194240</v>
      </c>
      <c r="E103" s="1216">
        <f>H103*(NetLinkLatency/1000)</f>
        <v>2500000</v>
      </c>
      <c r="F103" s="1217"/>
      <c r="G103" s="1218"/>
      <c r="H103" s="1212">
        <v>50000000</v>
      </c>
      <c r="I103" s="1212"/>
      <c r="J103" s="1212"/>
      <c r="K103" s="1212"/>
      <c r="L103" s="1212"/>
      <c r="M103" s="1213" t="s">
        <v>465</v>
      </c>
      <c r="N103" s="1214"/>
      <c r="O103" s="1214"/>
      <c r="P103" s="1215"/>
      <c r="Q103" s="74"/>
      <c r="R103" s="74"/>
      <c r="S103" s="74"/>
      <c r="T103" s="59"/>
      <c r="U103" s="74"/>
      <c r="V103" s="74"/>
      <c r="W103" s="74"/>
      <c r="X103" s="74"/>
      <c r="Y103" s="74"/>
      <c r="Z103" s="74"/>
      <c r="AA103" s="74"/>
      <c r="AB103" s="75"/>
    </row>
    <row r="104" spans="1:28" hidden="1" outlineLevel="1" x14ac:dyDescent="0.25">
      <c r="A104" s="67"/>
      <c r="B104" s="1222">
        <f t="shared" ref="B104:B129" si="30">MIN(IF(D104="Default Value",H104,D104/(NetLinkLatency/1000)*8),H104)/1000000</f>
        <v>50.000000999999997</v>
      </c>
      <c r="C104" s="1223"/>
      <c r="D104" s="225">
        <f t="shared" ref="D104:D129" si="31">VLOOKUP(E104,tblTCPWindowSize,2,TRUE)</f>
        <v>4194240</v>
      </c>
      <c r="E104" s="1219">
        <f t="shared" ref="E104:E129" si="32">H104*(NetLinkLatency/1000)</f>
        <v>2500000.0500000003</v>
      </c>
      <c r="F104" s="1220"/>
      <c r="G104" s="1221"/>
      <c r="H104" s="1209">
        <v>50000001</v>
      </c>
      <c r="I104" s="1210"/>
      <c r="J104" s="1210"/>
      <c r="K104" s="1210"/>
      <c r="L104" s="1211"/>
      <c r="M104" s="1209" t="s">
        <v>188</v>
      </c>
      <c r="N104" s="1210"/>
      <c r="O104" s="1210"/>
      <c r="P104" s="1210"/>
      <c r="Q104" s="74"/>
      <c r="R104" s="74"/>
      <c r="S104" s="74"/>
      <c r="T104" s="58"/>
      <c r="U104" s="74"/>
      <c r="V104" s="74"/>
      <c r="W104" s="74"/>
      <c r="X104" s="74"/>
      <c r="Y104" s="74"/>
      <c r="Z104" s="74"/>
      <c r="AA104" s="74"/>
      <c r="AB104" s="75"/>
    </row>
    <row r="105" spans="1:28" hidden="1" outlineLevel="1" x14ac:dyDescent="0.25">
      <c r="A105" s="67"/>
      <c r="B105" s="1224">
        <f t="shared" si="30"/>
        <v>51.84</v>
      </c>
      <c r="C105" s="1225"/>
      <c r="D105" s="237">
        <f t="shared" si="31"/>
        <v>4194240</v>
      </c>
      <c r="E105" s="1216">
        <f t="shared" si="32"/>
        <v>2592000</v>
      </c>
      <c r="F105" s="1217"/>
      <c r="G105" s="1218"/>
      <c r="H105" s="1212">
        <v>51840000</v>
      </c>
      <c r="I105" s="1212">
        <v>51840000</v>
      </c>
      <c r="J105" s="1212">
        <v>51840000</v>
      </c>
      <c r="K105" s="1212">
        <v>51840000</v>
      </c>
      <c r="L105" s="1212">
        <v>51840000</v>
      </c>
      <c r="M105" s="1213" t="s">
        <v>188</v>
      </c>
      <c r="N105" s="1214" t="s">
        <v>163</v>
      </c>
      <c r="O105" s="1214" t="s">
        <v>163</v>
      </c>
      <c r="P105" s="1215" t="s">
        <v>163</v>
      </c>
      <c r="Q105" s="74"/>
      <c r="R105" s="74"/>
      <c r="S105" s="74"/>
      <c r="T105" s="74"/>
      <c r="U105" s="74"/>
      <c r="V105" s="74"/>
      <c r="W105" s="74"/>
      <c r="X105" s="74"/>
      <c r="Y105" s="74"/>
      <c r="Z105" s="74"/>
      <c r="AA105" s="74"/>
      <c r="AB105" s="75"/>
    </row>
    <row r="106" spans="1:28" hidden="1" outlineLevel="1" x14ac:dyDescent="0.25">
      <c r="A106" s="67"/>
      <c r="B106" s="1222">
        <f t="shared" si="30"/>
        <v>51.840001000000001</v>
      </c>
      <c r="C106" s="1223"/>
      <c r="D106" s="225">
        <f t="shared" si="31"/>
        <v>4194240</v>
      </c>
      <c r="E106" s="1219">
        <f t="shared" si="32"/>
        <v>2592000.0500000003</v>
      </c>
      <c r="F106" s="1220"/>
      <c r="G106" s="1221"/>
      <c r="H106" s="1209">
        <v>51840001</v>
      </c>
      <c r="I106" s="1210">
        <v>51840001</v>
      </c>
      <c r="J106" s="1210">
        <v>51840001</v>
      </c>
      <c r="K106" s="1210">
        <v>51840001</v>
      </c>
      <c r="L106" s="1211">
        <v>51840001</v>
      </c>
      <c r="M106" s="1209" t="s">
        <v>154</v>
      </c>
      <c r="N106" s="1210" t="s">
        <v>154</v>
      </c>
      <c r="O106" s="1210" t="s">
        <v>154</v>
      </c>
      <c r="P106" s="1210" t="s">
        <v>154</v>
      </c>
      <c r="Q106" s="74"/>
      <c r="R106" s="74"/>
      <c r="S106" s="74"/>
      <c r="T106" s="74"/>
      <c r="U106" s="74"/>
      <c r="V106" s="74"/>
      <c r="W106" s="74"/>
      <c r="X106" s="74"/>
      <c r="Y106" s="74"/>
      <c r="Z106" s="74"/>
      <c r="AA106" s="74"/>
      <c r="AB106" s="75"/>
    </row>
    <row r="107" spans="1:28" hidden="1" outlineLevel="1" x14ac:dyDescent="0.25">
      <c r="A107" s="67"/>
      <c r="B107" s="1224">
        <f t="shared" si="30"/>
        <v>100</v>
      </c>
      <c r="C107" s="1225"/>
      <c r="D107" s="237">
        <f t="shared" si="31"/>
        <v>8388480</v>
      </c>
      <c r="E107" s="1216">
        <f t="shared" si="32"/>
        <v>5000000</v>
      </c>
      <c r="F107" s="1217"/>
      <c r="G107" s="1218"/>
      <c r="H107" s="1212">
        <v>100000000</v>
      </c>
      <c r="I107" s="1212">
        <v>100000000</v>
      </c>
      <c r="J107" s="1212">
        <v>100000000</v>
      </c>
      <c r="K107" s="1212">
        <v>100000000</v>
      </c>
      <c r="L107" s="1212">
        <v>100000000</v>
      </c>
      <c r="M107" s="1213" t="s">
        <v>154</v>
      </c>
      <c r="N107" s="1214" t="s">
        <v>154</v>
      </c>
      <c r="O107" s="1214" t="s">
        <v>154</v>
      </c>
      <c r="P107" s="1215" t="s">
        <v>154</v>
      </c>
      <c r="Q107" s="74"/>
      <c r="R107" s="74"/>
      <c r="S107" s="74"/>
      <c r="T107" s="74"/>
      <c r="U107" s="74"/>
      <c r="V107" s="74"/>
      <c r="W107" s="74"/>
      <c r="X107" s="74"/>
      <c r="Y107" s="74"/>
      <c r="Z107" s="74"/>
      <c r="AA107" s="74"/>
      <c r="AB107" s="75"/>
    </row>
    <row r="108" spans="1:28" hidden="1" outlineLevel="1" x14ac:dyDescent="0.25">
      <c r="A108" s="67"/>
      <c r="B108" s="1222">
        <f t="shared" si="30"/>
        <v>100.000001</v>
      </c>
      <c r="C108" s="1223"/>
      <c r="D108" s="225">
        <f t="shared" si="31"/>
        <v>8388480</v>
      </c>
      <c r="E108" s="1219">
        <f t="shared" si="32"/>
        <v>5000000.05</v>
      </c>
      <c r="F108" s="1220"/>
      <c r="G108" s="1221"/>
      <c r="H108" s="1209">
        <v>100000001</v>
      </c>
      <c r="I108" s="1210">
        <v>100000001</v>
      </c>
      <c r="J108" s="1210">
        <v>100000001</v>
      </c>
      <c r="K108" s="1210">
        <v>100000001</v>
      </c>
      <c r="L108" s="1211">
        <v>100000001</v>
      </c>
      <c r="M108" s="1209" t="s">
        <v>466</v>
      </c>
      <c r="N108" s="1210"/>
      <c r="O108" s="1210"/>
      <c r="P108" s="1210"/>
      <c r="Q108" s="74"/>
      <c r="R108" s="74"/>
      <c r="S108" s="74"/>
      <c r="T108" s="74"/>
      <c r="U108" s="74"/>
      <c r="V108" s="74"/>
      <c r="W108" s="74"/>
      <c r="X108" s="74"/>
      <c r="Y108" s="74"/>
      <c r="Z108" s="74"/>
      <c r="AA108" s="74"/>
      <c r="AB108" s="75"/>
    </row>
    <row r="109" spans="1:28" hidden="1" outlineLevel="1" x14ac:dyDescent="0.25">
      <c r="A109" s="67"/>
      <c r="B109" s="1224">
        <f t="shared" si="30"/>
        <v>150</v>
      </c>
      <c r="C109" s="1225"/>
      <c r="D109" s="237">
        <f t="shared" si="31"/>
        <v>8388480</v>
      </c>
      <c r="E109" s="1216">
        <f t="shared" si="32"/>
        <v>7500000</v>
      </c>
      <c r="F109" s="1217"/>
      <c r="G109" s="1218"/>
      <c r="H109" s="1212">
        <v>150000000</v>
      </c>
      <c r="I109" s="1212">
        <v>100000000</v>
      </c>
      <c r="J109" s="1212">
        <v>100000000</v>
      </c>
      <c r="K109" s="1212">
        <v>100000000</v>
      </c>
      <c r="L109" s="1212">
        <v>100000000</v>
      </c>
      <c r="M109" s="1213" t="s">
        <v>466</v>
      </c>
      <c r="N109" s="1214"/>
      <c r="O109" s="1214"/>
      <c r="P109" s="1215"/>
      <c r="Q109" s="74"/>
      <c r="R109" s="74"/>
      <c r="S109" s="74"/>
      <c r="T109" s="74"/>
      <c r="U109" s="74"/>
      <c r="V109" s="74"/>
      <c r="W109" s="74"/>
      <c r="X109" s="74"/>
      <c r="Y109" s="74"/>
      <c r="Z109" s="74"/>
      <c r="AA109" s="74"/>
      <c r="AB109" s="75"/>
    </row>
    <row r="110" spans="1:28" hidden="1" outlineLevel="1" x14ac:dyDescent="0.25">
      <c r="A110" s="67"/>
      <c r="B110" s="1222">
        <f t="shared" si="30"/>
        <v>150.000001</v>
      </c>
      <c r="C110" s="1223"/>
      <c r="D110" s="225">
        <f t="shared" si="31"/>
        <v>8388480</v>
      </c>
      <c r="E110" s="1219">
        <f t="shared" si="32"/>
        <v>7500000.0500000007</v>
      </c>
      <c r="F110" s="1220"/>
      <c r="G110" s="1221"/>
      <c r="H110" s="1209">
        <v>150000001</v>
      </c>
      <c r="I110" s="1210">
        <v>100000001</v>
      </c>
      <c r="J110" s="1210">
        <v>100000001</v>
      </c>
      <c r="K110" s="1210">
        <v>100000001</v>
      </c>
      <c r="L110" s="1211">
        <v>100000001</v>
      </c>
      <c r="M110" s="1209" t="s">
        <v>189</v>
      </c>
      <c r="N110" s="1210" t="s">
        <v>164</v>
      </c>
      <c r="O110" s="1210" t="s">
        <v>164</v>
      </c>
      <c r="P110" s="1210" t="s">
        <v>164</v>
      </c>
      <c r="Q110" s="74"/>
      <c r="R110" s="74"/>
      <c r="S110" s="74"/>
      <c r="T110" s="74"/>
      <c r="U110" s="74"/>
      <c r="V110" s="74"/>
      <c r="W110" s="74"/>
      <c r="X110" s="74"/>
      <c r="Y110" s="74"/>
      <c r="Z110" s="74"/>
      <c r="AA110" s="74"/>
      <c r="AB110" s="75"/>
    </row>
    <row r="111" spans="1:28" hidden="1" outlineLevel="1" x14ac:dyDescent="0.25">
      <c r="A111" s="67"/>
      <c r="B111" s="1224">
        <f t="shared" si="30"/>
        <v>155.52000000000001</v>
      </c>
      <c r="C111" s="1225"/>
      <c r="D111" s="237">
        <f t="shared" si="31"/>
        <v>8388480</v>
      </c>
      <c r="E111" s="1216">
        <f t="shared" si="32"/>
        <v>7776000</v>
      </c>
      <c r="F111" s="1217"/>
      <c r="G111" s="1218"/>
      <c r="H111" s="1212">
        <v>155520000</v>
      </c>
      <c r="I111" s="1212">
        <v>155520000</v>
      </c>
      <c r="J111" s="1212">
        <v>155520000</v>
      </c>
      <c r="K111" s="1212">
        <v>155520000</v>
      </c>
      <c r="L111" s="1212">
        <v>155520000</v>
      </c>
      <c r="M111" s="1213" t="s">
        <v>189</v>
      </c>
      <c r="N111" s="1214" t="s">
        <v>164</v>
      </c>
      <c r="O111" s="1214" t="s">
        <v>164</v>
      </c>
      <c r="P111" s="1215" t="s">
        <v>164</v>
      </c>
      <c r="Q111" s="74"/>
      <c r="R111" s="74"/>
      <c r="S111" s="74"/>
      <c r="T111" s="74"/>
      <c r="U111" s="74"/>
      <c r="V111" s="74"/>
      <c r="W111" s="74"/>
      <c r="X111" s="74"/>
      <c r="Y111" s="74"/>
      <c r="Z111" s="74"/>
      <c r="AA111" s="74"/>
      <c r="AB111" s="75"/>
    </row>
    <row r="112" spans="1:28" hidden="1" outlineLevel="1" x14ac:dyDescent="0.25">
      <c r="A112" s="67"/>
      <c r="B112" s="1222">
        <f t="shared" si="30"/>
        <v>155.52000100000001</v>
      </c>
      <c r="C112" s="1223"/>
      <c r="D112" s="225">
        <f t="shared" si="31"/>
        <v>8388480</v>
      </c>
      <c r="E112" s="1219">
        <f t="shared" si="32"/>
        <v>7776000.0500000007</v>
      </c>
      <c r="F112" s="1220"/>
      <c r="G112" s="1221"/>
      <c r="H112" s="1209">
        <v>155520001</v>
      </c>
      <c r="I112" s="1210">
        <v>155520001</v>
      </c>
      <c r="J112" s="1210">
        <v>155520001</v>
      </c>
      <c r="K112" s="1210">
        <v>155520001</v>
      </c>
      <c r="L112" s="1211">
        <v>155520001</v>
      </c>
      <c r="M112" s="1209" t="s">
        <v>467</v>
      </c>
      <c r="N112" s="1210"/>
      <c r="O112" s="1210"/>
      <c r="P112" s="1210"/>
      <c r="Q112" s="74"/>
      <c r="R112" s="74"/>
      <c r="S112" s="74"/>
      <c r="T112" s="74"/>
      <c r="U112" s="74"/>
      <c r="V112" s="74"/>
      <c r="W112" s="74"/>
      <c r="X112" s="74"/>
      <c r="Y112" s="74"/>
      <c r="Z112" s="74"/>
      <c r="AA112" s="74"/>
      <c r="AB112" s="75"/>
    </row>
    <row r="113" spans="1:28" hidden="1" outlineLevel="1" x14ac:dyDescent="0.25">
      <c r="A113" s="67"/>
      <c r="B113" s="1224">
        <f t="shared" si="30"/>
        <v>300</v>
      </c>
      <c r="C113" s="1225"/>
      <c r="D113" s="237">
        <f t="shared" si="31"/>
        <v>16776960</v>
      </c>
      <c r="E113" s="1216">
        <f t="shared" si="32"/>
        <v>15000000</v>
      </c>
      <c r="F113" s="1217"/>
      <c r="G113" s="1218"/>
      <c r="H113" s="1212">
        <v>300000000</v>
      </c>
      <c r="I113" s="1212">
        <v>100000000</v>
      </c>
      <c r="J113" s="1212">
        <v>100000000</v>
      </c>
      <c r="K113" s="1212">
        <v>100000000</v>
      </c>
      <c r="L113" s="1212">
        <v>100000000</v>
      </c>
      <c r="M113" s="1213" t="s">
        <v>467</v>
      </c>
      <c r="N113" s="1214"/>
      <c r="O113" s="1214"/>
      <c r="P113" s="1215"/>
      <c r="Q113" s="74"/>
      <c r="R113" s="74"/>
      <c r="S113" s="74"/>
      <c r="T113" s="74"/>
      <c r="U113" s="74"/>
      <c r="V113" s="74"/>
      <c r="W113" s="74"/>
      <c r="X113" s="74"/>
      <c r="Y113" s="74"/>
      <c r="Z113" s="74"/>
      <c r="AA113" s="74"/>
      <c r="AB113" s="75"/>
    </row>
    <row r="114" spans="1:28" hidden="1" outlineLevel="1" x14ac:dyDescent="0.25">
      <c r="A114" s="67"/>
      <c r="B114" s="1222">
        <f t="shared" si="30"/>
        <v>300.000001</v>
      </c>
      <c r="C114" s="1223"/>
      <c r="D114" s="225">
        <f t="shared" si="31"/>
        <v>16776960</v>
      </c>
      <c r="E114" s="1219">
        <f t="shared" si="32"/>
        <v>15000000.050000001</v>
      </c>
      <c r="F114" s="1220"/>
      <c r="G114" s="1221"/>
      <c r="H114" s="1209">
        <v>300000001</v>
      </c>
      <c r="I114" s="1210">
        <v>100000000</v>
      </c>
      <c r="J114" s="1210">
        <v>100000000</v>
      </c>
      <c r="K114" s="1210">
        <v>100000000</v>
      </c>
      <c r="L114" s="1211">
        <v>100000000</v>
      </c>
      <c r="M114" s="1209" t="s">
        <v>468</v>
      </c>
      <c r="N114" s="1210"/>
      <c r="O114" s="1210"/>
      <c r="P114" s="1210"/>
      <c r="Q114" s="74"/>
      <c r="R114" s="74"/>
      <c r="S114" s="74"/>
      <c r="T114" s="74"/>
      <c r="U114" s="74"/>
      <c r="V114" s="74"/>
      <c r="W114" s="74"/>
      <c r="X114" s="74"/>
      <c r="Y114" s="74"/>
      <c r="Z114" s="74"/>
      <c r="AA114" s="74"/>
      <c r="AB114" s="75"/>
    </row>
    <row r="115" spans="1:28" hidden="1" outlineLevel="1" x14ac:dyDescent="0.25">
      <c r="A115" s="67"/>
      <c r="B115" s="1224">
        <f t="shared" si="30"/>
        <v>450</v>
      </c>
      <c r="C115" s="1225"/>
      <c r="D115" s="237">
        <f t="shared" si="31"/>
        <v>33553920</v>
      </c>
      <c r="E115" s="1216">
        <f t="shared" si="32"/>
        <v>22500000</v>
      </c>
      <c r="F115" s="1217"/>
      <c r="G115" s="1218"/>
      <c r="H115" s="1212">
        <v>450000000</v>
      </c>
      <c r="I115" s="1212">
        <v>100000000</v>
      </c>
      <c r="J115" s="1212">
        <v>100000000</v>
      </c>
      <c r="K115" s="1212">
        <v>100000000</v>
      </c>
      <c r="L115" s="1212">
        <v>100000000</v>
      </c>
      <c r="M115" s="1213" t="s">
        <v>468</v>
      </c>
      <c r="N115" s="1214"/>
      <c r="O115" s="1214"/>
      <c r="P115" s="1215"/>
      <c r="Q115" s="74"/>
      <c r="R115" s="74"/>
      <c r="S115" s="74"/>
      <c r="T115" s="74"/>
      <c r="U115" s="74"/>
      <c r="V115" s="74"/>
      <c r="W115" s="74"/>
      <c r="X115" s="74"/>
      <c r="Y115" s="74"/>
      <c r="Z115" s="74"/>
      <c r="AA115" s="74"/>
      <c r="AB115" s="75"/>
    </row>
    <row r="116" spans="1:28" hidden="1" outlineLevel="1" x14ac:dyDescent="0.25">
      <c r="A116" s="67"/>
      <c r="B116" s="1222">
        <f t="shared" si="30"/>
        <v>450.000001</v>
      </c>
      <c r="C116" s="1223"/>
      <c r="D116" s="225">
        <f t="shared" si="31"/>
        <v>33553920</v>
      </c>
      <c r="E116" s="1219">
        <f t="shared" si="32"/>
        <v>22500000.050000001</v>
      </c>
      <c r="F116" s="1220"/>
      <c r="G116" s="1221"/>
      <c r="H116" s="1209">
        <v>450000001</v>
      </c>
      <c r="I116" s="1210">
        <v>100000000</v>
      </c>
      <c r="J116" s="1210">
        <v>100000000</v>
      </c>
      <c r="K116" s="1210">
        <v>100000000</v>
      </c>
      <c r="L116" s="1211">
        <v>100000000</v>
      </c>
      <c r="M116" s="1209" t="s">
        <v>469</v>
      </c>
      <c r="N116" s="1210"/>
      <c r="O116" s="1210"/>
      <c r="P116" s="1210"/>
      <c r="Q116" s="74"/>
      <c r="R116" s="74"/>
      <c r="S116" s="74"/>
      <c r="T116" s="74"/>
      <c r="U116" s="74"/>
      <c r="V116" s="74"/>
      <c r="W116" s="74"/>
      <c r="X116" s="74"/>
      <c r="Y116" s="74"/>
      <c r="Z116" s="74"/>
      <c r="AA116" s="74"/>
      <c r="AB116" s="75"/>
    </row>
    <row r="117" spans="1:28" hidden="1" outlineLevel="1" x14ac:dyDescent="0.25">
      <c r="A117" s="67"/>
      <c r="B117" s="1224">
        <f t="shared" si="30"/>
        <v>600</v>
      </c>
      <c r="C117" s="1225"/>
      <c r="D117" s="237">
        <f t="shared" si="31"/>
        <v>33553920</v>
      </c>
      <c r="E117" s="1216">
        <f t="shared" si="32"/>
        <v>30000000</v>
      </c>
      <c r="F117" s="1217"/>
      <c r="G117" s="1218"/>
      <c r="H117" s="1212">
        <v>600000000</v>
      </c>
      <c r="I117" s="1212">
        <v>100000000</v>
      </c>
      <c r="J117" s="1212">
        <v>100000000</v>
      </c>
      <c r="K117" s="1212">
        <v>100000000</v>
      </c>
      <c r="L117" s="1212">
        <v>100000000</v>
      </c>
      <c r="M117" s="1213" t="s">
        <v>469</v>
      </c>
      <c r="N117" s="1214"/>
      <c r="O117" s="1214"/>
      <c r="P117" s="1215"/>
      <c r="Q117" s="74"/>
      <c r="R117" s="74"/>
      <c r="S117" s="74"/>
      <c r="T117" s="74"/>
      <c r="U117" s="74"/>
      <c r="V117" s="74"/>
      <c r="W117" s="74"/>
      <c r="X117" s="74"/>
      <c r="Y117" s="74"/>
      <c r="Z117" s="74"/>
      <c r="AA117" s="74"/>
      <c r="AB117" s="75"/>
    </row>
    <row r="118" spans="1:28" hidden="1" outlineLevel="1" x14ac:dyDescent="0.25">
      <c r="A118" s="67"/>
      <c r="B118" s="1222">
        <f t="shared" si="30"/>
        <v>600.000001</v>
      </c>
      <c r="C118" s="1223"/>
      <c r="D118" s="225">
        <f t="shared" si="31"/>
        <v>33553920</v>
      </c>
      <c r="E118" s="1219">
        <f t="shared" si="32"/>
        <v>30000000.050000001</v>
      </c>
      <c r="F118" s="1220"/>
      <c r="G118" s="1221"/>
      <c r="H118" s="1209">
        <v>600000001</v>
      </c>
      <c r="I118" s="1210">
        <v>100000000</v>
      </c>
      <c r="J118" s="1210">
        <v>100000000</v>
      </c>
      <c r="K118" s="1210">
        <v>100000000</v>
      </c>
      <c r="L118" s="1211">
        <v>100000000</v>
      </c>
      <c r="M118" s="1209" t="s">
        <v>190</v>
      </c>
      <c r="N118" s="1210" t="s">
        <v>165</v>
      </c>
      <c r="O118" s="1210" t="s">
        <v>165</v>
      </c>
      <c r="P118" s="1210" t="s">
        <v>165</v>
      </c>
      <c r="Q118" s="74"/>
      <c r="R118" s="74"/>
      <c r="S118" s="74"/>
      <c r="T118" s="74"/>
      <c r="U118" s="74"/>
      <c r="V118" s="74"/>
      <c r="W118" s="74"/>
      <c r="X118" s="74"/>
      <c r="Y118" s="74"/>
      <c r="Z118" s="74"/>
      <c r="AA118" s="74"/>
      <c r="AB118" s="75"/>
    </row>
    <row r="119" spans="1:28" hidden="1" outlineLevel="1" x14ac:dyDescent="0.25">
      <c r="A119" s="67"/>
      <c r="B119" s="1224">
        <f t="shared" si="30"/>
        <v>622.08000000000004</v>
      </c>
      <c r="C119" s="1225"/>
      <c r="D119" s="237">
        <f t="shared" si="31"/>
        <v>33553920</v>
      </c>
      <c r="E119" s="1216">
        <f t="shared" si="32"/>
        <v>31104000</v>
      </c>
      <c r="F119" s="1217"/>
      <c r="G119" s="1218"/>
      <c r="H119" s="1212">
        <v>622080000</v>
      </c>
      <c r="I119" s="1212">
        <v>622080000</v>
      </c>
      <c r="J119" s="1212">
        <v>622080000</v>
      </c>
      <c r="K119" s="1212">
        <v>622080000</v>
      </c>
      <c r="L119" s="1212">
        <v>622080000</v>
      </c>
      <c r="M119" s="1213" t="s">
        <v>190</v>
      </c>
      <c r="N119" s="1214" t="s">
        <v>165</v>
      </c>
      <c r="O119" s="1214" t="s">
        <v>165</v>
      </c>
      <c r="P119" s="1215" t="s">
        <v>165</v>
      </c>
      <c r="Q119" s="74"/>
      <c r="R119" s="74"/>
      <c r="S119" s="74"/>
      <c r="T119" s="74"/>
      <c r="U119" s="74"/>
      <c r="V119" s="74"/>
      <c r="W119" s="74"/>
      <c r="X119" s="74"/>
      <c r="Y119" s="74"/>
      <c r="Z119" s="74"/>
      <c r="AA119" s="74"/>
      <c r="AB119" s="75"/>
    </row>
    <row r="120" spans="1:28" hidden="1" outlineLevel="1" x14ac:dyDescent="0.25">
      <c r="A120" s="67"/>
      <c r="B120" s="1222">
        <f t="shared" si="30"/>
        <v>622.08000100000004</v>
      </c>
      <c r="C120" s="1223"/>
      <c r="D120" s="225">
        <f t="shared" si="31"/>
        <v>33553920</v>
      </c>
      <c r="E120" s="1219">
        <f t="shared" si="32"/>
        <v>31104000.050000001</v>
      </c>
      <c r="F120" s="1220"/>
      <c r="G120" s="1221"/>
      <c r="H120" s="1209">
        <v>622080001</v>
      </c>
      <c r="I120" s="1210">
        <v>622080001</v>
      </c>
      <c r="J120" s="1210">
        <v>622080001</v>
      </c>
      <c r="K120" s="1210">
        <v>622080001</v>
      </c>
      <c r="L120" s="1211">
        <v>622080001</v>
      </c>
      <c r="M120" s="1209" t="s">
        <v>155</v>
      </c>
      <c r="N120" s="1210" t="s">
        <v>155</v>
      </c>
      <c r="O120" s="1210" t="s">
        <v>155</v>
      </c>
      <c r="P120" s="1210" t="s">
        <v>155</v>
      </c>
      <c r="Q120" s="74"/>
      <c r="R120" s="74"/>
      <c r="S120" s="74"/>
      <c r="T120" s="74"/>
      <c r="U120" s="74"/>
      <c r="V120" s="74"/>
      <c r="W120" s="74"/>
      <c r="X120" s="74"/>
      <c r="Y120" s="74"/>
      <c r="Z120" s="74"/>
      <c r="AA120" s="74"/>
      <c r="AB120" s="75"/>
    </row>
    <row r="121" spans="1:28" hidden="1" outlineLevel="1" x14ac:dyDescent="0.25">
      <c r="A121" s="67"/>
      <c r="B121" s="1224">
        <f t="shared" si="30"/>
        <v>1000</v>
      </c>
      <c r="C121" s="1225"/>
      <c r="D121" s="237">
        <f t="shared" si="31"/>
        <v>67107840</v>
      </c>
      <c r="E121" s="1216">
        <f t="shared" si="32"/>
        <v>50000000</v>
      </c>
      <c r="F121" s="1217"/>
      <c r="G121" s="1218"/>
      <c r="H121" s="1212">
        <v>1000000000</v>
      </c>
      <c r="I121" s="1212">
        <v>1000000000</v>
      </c>
      <c r="J121" s="1212">
        <v>1000000000</v>
      </c>
      <c r="K121" s="1212">
        <v>1000000000</v>
      </c>
      <c r="L121" s="1212">
        <v>1000000000</v>
      </c>
      <c r="M121" s="1213" t="s">
        <v>155</v>
      </c>
      <c r="N121" s="1214" t="s">
        <v>155</v>
      </c>
      <c r="O121" s="1214" t="s">
        <v>155</v>
      </c>
      <c r="P121" s="1215" t="s">
        <v>155</v>
      </c>
      <c r="Q121" s="74"/>
      <c r="R121" s="74"/>
      <c r="S121" s="74"/>
      <c r="T121" s="74"/>
      <c r="U121" s="74"/>
      <c r="V121" s="74"/>
      <c r="W121" s="74"/>
      <c r="X121" s="74"/>
      <c r="Y121" s="74"/>
      <c r="Z121" s="74"/>
      <c r="AA121" s="74"/>
      <c r="AB121" s="75"/>
    </row>
    <row r="122" spans="1:28" hidden="1" outlineLevel="1" x14ac:dyDescent="0.25">
      <c r="A122" s="67"/>
      <c r="B122" s="1222">
        <f t="shared" si="30"/>
        <v>1000.000001</v>
      </c>
      <c r="C122" s="1223"/>
      <c r="D122" s="225">
        <f t="shared" si="31"/>
        <v>67107840</v>
      </c>
      <c r="E122" s="1219">
        <f t="shared" si="32"/>
        <v>50000000.050000004</v>
      </c>
      <c r="F122" s="1220"/>
      <c r="G122" s="1221"/>
      <c r="H122" s="1209">
        <v>1000000001</v>
      </c>
      <c r="I122" s="1210">
        <v>1000000001</v>
      </c>
      <c r="J122" s="1210">
        <v>1000000001</v>
      </c>
      <c r="K122" s="1210">
        <v>1000000001</v>
      </c>
      <c r="L122" s="1211">
        <v>1000000001</v>
      </c>
      <c r="M122" s="1209" t="s">
        <v>192</v>
      </c>
      <c r="N122" s="1210" t="s">
        <v>166</v>
      </c>
      <c r="O122" s="1210" t="s">
        <v>166</v>
      </c>
      <c r="P122" s="1210" t="s">
        <v>166</v>
      </c>
      <c r="Q122" s="74"/>
      <c r="R122" s="74"/>
      <c r="S122" s="74"/>
      <c r="T122" s="74"/>
      <c r="U122" s="74"/>
      <c r="V122" s="74"/>
      <c r="W122" s="74"/>
      <c r="X122" s="74"/>
      <c r="Y122" s="74"/>
      <c r="Z122" s="74"/>
      <c r="AA122" s="74"/>
      <c r="AB122" s="75"/>
    </row>
    <row r="123" spans="1:28" hidden="1" outlineLevel="1" x14ac:dyDescent="0.25">
      <c r="A123" s="67"/>
      <c r="B123" s="1224">
        <f t="shared" si="30"/>
        <v>1243.68</v>
      </c>
      <c r="C123" s="1225"/>
      <c r="D123" s="237">
        <f t="shared" si="31"/>
        <v>67107840</v>
      </c>
      <c r="E123" s="1216">
        <f t="shared" si="32"/>
        <v>62184000</v>
      </c>
      <c r="F123" s="1217"/>
      <c r="G123" s="1218"/>
      <c r="H123" s="1212">
        <v>1243680000</v>
      </c>
      <c r="I123" s="1212">
        <v>1243680000</v>
      </c>
      <c r="J123" s="1212">
        <v>1243680000</v>
      </c>
      <c r="K123" s="1212">
        <v>1243680000</v>
      </c>
      <c r="L123" s="1212">
        <v>1243680000</v>
      </c>
      <c r="M123" s="1213" t="s">
        <v>192</v>
      </c>
      <c r="N123" s="1214" t="s">
        <v>166</v>
      </c>
      <c r="O123" s="1214" t="s">
        <v>166</v>
      </c>
      <c r="P123" s="1215" t="s">
        <v>166</v>
      </c>
      <c r="Q123" s="74"/>
      <c r="R123" s="74"/>
      <c r="S123" s="74"/>
      <c r="T123" s="74"/>
      <c r="U123" s="74"/>
      <c r="V123" s="74"/>
      <c r="W123" s="74"/>
      <c r="X123" s="74"/>
      <c r="Y123" s="74"/>
      <c r="Z123" s="74"/>
      <c r="AA123" s="74"/>
      <c r="AB123" s="75"/>
    </row>
    <row r="124" spans="1:28" hidden="1" outlineLevel="1" x14ac:dyDescent="0.25">
      <c r="A124" s="67"/>
      <c r="B124" s="1222">
        <f t="shared" si="30"/>
        <v>1243.6800009999999</v>
      </c>
      <c r="C124" s="1223"/>
      <c r="D124" s="225">
        <f t="shared" si="31"/>
        <v>67107840</v>
      </c>
      <c r="E124" s="1219">
        <f t="shared" si="32"/>
        <v>62184000.050000004</v>
      </c>
      <c r="F124" s="1220"/>
      <c r="G124" s="1221"/>
      <c r="H124" s="1209">
        <v>1243680001</v>
      </c>
      <c r="I124" s="1210">
        <v>1243680001</v>
      </c>
      <c r="J124" s="1210">
        <v>1243680001</v>
      </c>
      <c r="K124" s="1210">
        <v>1243680001</v>
      </c>
      <c r="L124" s="1211">
        <v>1243680001</v>
      </c>
      <c r="M124" s="1209" t="s">
        <v>191</v>
      </c>
      <c r="N124" s="1210" t="s">
        <v>167</v>
      </c>
      <c r="O124" s="1210" t="s">
        <v>167</v>
      </c>
      <c r="P124" s="1210" t="s">
        <v>167</v>
      </c>
      <c r="Q124" s="74"/>
      <c r="R124" s="74"/>
      <c r="S124" s="74"/>
      <c r="T124" s="74"/>
      <c r="U124" s="74"/>
      <c r="V124" s="74"/>
      <c r="W124" s="74"/>
      <c r="X124" s="74"/>
      <c r="Y124" s="74"/>
      <c r="Z124" s="74"/>
      <c r="AA124" s="74"/>
      <c r="AB124" s="75"/>
    </row>
    <row r="125" spans="1:28" hidden="1" outlineLevel="1" x14ac:dyDescent="0.25">
      <c r="A125" s="67"/>
      <c r="B125" s="1224">
        <f t="shared" si="30"/>
        <v>2488.3200000000002</v>
      </c>
      <c r="C125" s="1225"/>
      <c r="D125" s="237">
        <f t="shared" si="31"/>
        <v>134215680</v>
      </c>
      <c r="E125" s="1216">
        <f t="shared" si="32"/>
        <v>124416000</v>
      </c>
      <c r="F125" s="1217"/>
      <c r="G125" s="1218"/>
      <c r="H125" s="1212">
        <v>2488320000</v>
      </c>
      <c r="I125" s="1212">
        <v>2488320000</v>
      </c>
      <c r="J125" s="1212">
        <v>2488320000</v>
      </c>
      <c r="K125" s="1212">
        <v>2488320000</v>
      </c>
      <c r="L125" s="1212">
        <v>2488320000</v>
      </c>
      <c r="M125" s="1213" t="s">
        <v>191</v>
      </c>
      <c r="N125" s="1214" t="s">
        <v>167</v>
      </c>
      <c r="O125" s="1214" t="s">
        <v>167</v>
      </c>
      <c r="P125" s="1215" t="s">
        <v>167</v>
      </c>
      <c r="Q125" s="74"/>
      <c r="R125" s="74"/>
      <c r="S125" s="74"/>
      <c r="T125" s="74"/>
      <c r="U125" s="74"/>
      <c r="V125" s="74"/>
      <c r="W125" s="74"/>
      <c r="X125" s="74"/>
      <c r="Y125" s="74"/>
      <c r="Z125" s="74"/>
      <c r="AA125" s="74"/>
      <c r="AB125" s="75"/>
    </row>
    <row r="126" spans="1:28" hidden="1" outlineLevel="1" x14ac:dyDescent="0.25">
      <c r="A126" s="67"/>
      <c r="B126" s="1222">
        <f t="shared" si="30"/>
        <v>2488.320001</v>
      </c>
      <c r="C126" s="1223"/>
      <c r="D126" s="225">
        <f t="shared" si="31"/>
        <v>134215680</v>
      </c>
      <c r="E126" s="1219">
        <f t="shared" si="32"/>
        <v>124416000.05000001</v>
      </c>
      <c r="F126" s="1220"/>
      <c r="G126" s="1221"/>
      <c r="H126" s="1209">
        <v>2488320001</v>
      </c>
      <c r="I126" s="1210">
        <v>2488320001</v>
      </c>
      <c r="J126" s="1210">
        <v>2488320001</v>
      </c>
      <c r="K126" s="1210">
        <v>2488320001</v>
      </c>
      <c r="L126" s="1211">
        <v>2488320001</v>
      </c>
      <c r="M126" s="1209" t="s">
        <v>193</v>
      </c>
      <c r="N126" s="1210" t="s">
        <v>169</v>
      </c>
      <c r="O126" s="1210" t="s">
        <v>169</v>
      </c>
      <c r="P126" s="1210" t="s">
        <v>169</v>
      </c>
      <c r="Q126" s="74"/>
      <c r="R126" s="74"/>
      <c r="S126" s="74"/>
      <c r="T126" s="74"/>
      <c r="U126" s="74"/>
      <c r="V126" s="74"/>
      <c r="W126" s="74"/>
      <c r="X126" s="74"/>
      <c r="Y126" s="74"/>
      <c r="Z126" s="74"/>
      <c r="AA126" s="74"/>
      <c r="AB126" s="75"/>
    </row>
    <row r="127" spans="1:28" hidden="1" outlineLevel="1" x14ac:dyDescent="0.25">
      <c r="A127" s="67"/>
      <c r="B127" s="1224">
        <f t="shared" si="30"/>
        <v>4976.6400000000003</v>
      </c>
      <c r="C127" s="1225"/>
      <c r="D127" s="237">
        <f t="shared" si="31"/>
        <v>268431360</v>
      </c>
      <c r="E127" s="1216">
        <f t="shared" si="32"/>
        <v>248832000</v>
      </c>
      <c r="F127" s="1217"/>
      <c r="G127" s="1218"/>
      <c r="H127" s="1212">
        <v>4976640000</v>
      </c>
      <c r="I127" s="1212">
        <v>4976640000</v>
      </c>
      <c r="J127" s="1212">
        <v>4976640000</v>
      </c>
      <c r="K127" s="1212">
        <v>4976640000</v>
      </c>
      <c r="L127" s="1212">
        <v>4976640000</v>
      </c>
      <c r="M127" s="1213" t="s">
        <v>193</v>
      </c>
      <c r="N127" s="1214" t="s">
        <v>169</v>
      </c>
      <c r="O127" s="1214" t="s">
        <v>169</v>
      </c>
      <c r="P127" s="1215" t="s">
        <v>169</v>
      </c>
      <c r="Q127" s="74"/>
      <c r="R127" s="74"/>
      <c r="S127" s="74"/>
      <c r="T127" s="74"/>
      <c r="U127" s="74"/>
      <c r="V127" s="74"/>
      <c r="W127" s="74"/>
      <c r="X127" s="74"/>
      <c r="Y127" s="74"/>
      <c r="Z127" s="74"/>
      <c r="AA127" s="74"/>
      <c r="AB127" s="75"/>
    </row>
    <row r="128" spans="1:28" hidden="1" outlineLevel="1" x14ac:dyDescent="0.25">
      <c r="A128" s="67"/>
      <c r="B128" s="1222">
        <f t="shared" si="30"/>
        <v>4976.6400009999998</v>
      </c>
      <c r="C128" s="1223"/>
      <c r="D128" s="225">
        <f t="shared" si="31"/>
        <v>268431360</v>
      </c>
      <c r="E128" s="1219">
        <f t="shared" si="32"/>
        <v>248832000.05000001</v>
      </c>
      <c r="F128" s="1220"/>
      <c r="G128" s="1221"/>
      <c r="H128" s="1209">
        <v>4976640001</v>
      </c>
      <c r="I128" s="1210">
        <v>4976640001</v>
      </c>
      <c r="J128" s="1210">
        <v>4976640001</v>
      </c>
      <c r="K128" s="1210">
        <v>4976640001</v>
      </c>
      <c r="L128" s="1211">
        <v>4976640001</v>
      </c>
      <c r="M128" s="1209" t="s">
        <v>168</v>
      </c>
      <c r="N128" s="1210" t="s">
        <v>168</v>
      </c>
      <c r="O128" s="1210" t="s">
        <v>168</v>
      </c>
      <c r="P128" s="1210" t="s">
        <v>168</v>
      </c>
      <c r="Q128" s="74"/>
      <c r="R128" s="74"/>
      <c r="S128" s="74"/>
      <c r="T128" s="74"/>
      <c r="U128" s="74"/>
      <c r="V128" s="74"/>
      <c r="W128" s="74"/>
      <c r="X128" s="74"/>
      <c r="Y128" s="74"/>
      <c r="Z128" s="74"/>
      <c r="AA128" s="74"/>
      <c r="AB128" s="75"/>
    </row>
    <row r="129" spans="1:29" hidden="1" outlineLevel="1" x14ac:dyDescent="0.25">
      <c r="A129" s="67"/>
      <c r="B129" s="1224">
        <f t="shared" si="30"/>
        <v>10000</v>
      </c>
      <c r="C129" s="1225"/>
      <c r="D129" s="237">
        <f t="shared" si="31"/>
        <v>536862720</v>
      </c>
      <c r="E129" s="1216">
        <f t="shared" si="32"/>
        <v>500000000</v>
      </c>
      <c r="F129" s="1217"/>
      <c r="G129" s="1218"/>
      <c r="H129" s="1212">
        <v>10000000000</v>
      </c>
      <c r="I129" s="1212">
        <v>10000000000</v>
      </c>
      <c r="J129" s="1212">
        <v>10000000000</v>
      </c>
      <c r="K129" s="1212">
        <v>10000000000</v>
      </c>
      <c r="L129" s="1212">
        <v>10000000000</v>
      </c>
      <c r="M129" s="1213" t="s">
        <v>168</v>
      </c>
      <c r="N129" s="1214"/>
      <c r="O129" s="1214"/>
      <c r="P129" s="1215"/>
      <c r="Q129" s="74"/>
      <c r="R129" s="74"/>
      <c r="S129" s="74"/>
      <c r="T129" s="74"/>
      <c r="U129" s="74"/>
      <c r="V129" s="74"/>
      <c r="W129" s="74"/>
      <c r="X129" s="74"/>
      <c r="Y129" s="74"/>
      <c r="Z129" s="74"/>
      <c r="AA129" s="74"/>
      <c r="AB129" s="75"/>
    </row>
    <row r="130" spans="1:29" hidden="1" outlineLevel="1" x14ac:dyDescent="0.25">
      <c r="A130" s="67"/>
      <c r="B130" s="77"/>
      <c r="C130" s="77"/>
      <c r="D130" s="77"/>
      <c r="E130" s="58"/>
      <c r="F130" s="58"/>
      <c r="G130" s="58"/>
      <c r="H130" s="59"/>
      <c r="I130" s="59"/>
      <c r="J130" s="53"/>
      <c r="K130" s="53"/>
      <c r="L130" s="53"/>
      <c r="M130" s="77"/>
      <c r="N130" s="77"/>
      <c r="O130" s="77"/>
      <c r="P130" s="77"/>
      <c r="Q130" s="74"/>
      <c r="R130" s="74"/>
      <c r="S130" s="74"/>
      <c r="T130" s="74"/>
      <c r="U130" s="74"/>
      <c r="V130" s="74"/>
      <c r="W130" s="74"/>
      <c r="X130" s="74"/>
      <c r="Y130" s="74"/>
      <c r="Z130" s="74"/>
      <c r="AA130" s="74"/>
      <c r="AB130" s="75"/>
    </row>
    <row r="131" spans="1:29" ht="15.75" hidden="1" outlineLevel="1" thickBot="1" x14ac:dyDescent="0.3">
      <c r="A131" s="67"/>
      <c r="B131" s="1234" t="s">
        <v>321</v>
      </c>
      <c r="C131" s="1235"/>
      <c r="D131" s="1235"/>
      <c r="E131" s="1235"/>
      <c r="F131" s="1235"/>
      <c r="G131" s="1235"/>
      <c r="H131" s="1236"/>
      <c r="I131" s="78"/>
      <c r="J131" s="53"/>
      <c r="K131" s="53"/>
      <c r="L131" s="53"/>
      <c r="M131" s="77"/>
      <c r="N131" s="77"/>
      <c r="O131" s="77"/>
      <c r="P131" s="77"/>
      <c r="Q131" s="74"/>
      <c r="R131" s="74"/>
      <c r="S131" s="74"/>
      <c r="T131" s="74"/>
      <c r="U131" s="74"/>
      <c r="V131" s="74"/>
      <c r="W131" s="74"/>
      <c r="X131" s="74"/>
      <c r="Y131" s="74"/>
      <c r="Z131" s="74"/>
      <c r="AA131" s="74"/>
      <c r="AB131" s="75"/>
    </row>
    <row r="132" spans="1:29" ht="15.75" hidden="1" outlineLevel="1" thickTop="1" x14ac:dyDescent="0.25">
      <c r="A132" s="67"/>
      <c r="B132" s="1231" t="s">
        <v>322</v>
      </c>
      <c r="C132" s="1232"/>
      <c r="D132" s="1232"/>
      <c r="E132" s="1232"/>
      <c r="F132" s="1232"/>
      <c r="G132" s="1233"/>
      <c r="H132" s="408" t="str">
        <f>VLOOKUP(AvailNetCapacity,tblTCPWindowSize,2,TRUE)</f>
        <v>Default Value</v>
      </c>
      <c r="I132" s="79"/>
      <c r="K132" s="53"/>
      <c r="L132" s="53"/>
      <c r="M132" s="77"/>
      <c r="N132" s="77"/>
      <c r="O132" s="77"/>
      <c r="P132" s="77"/>
      <c r="Q132" s="74"/>
      <c r="R132" s="74"/>
      <c r="S132" s="74"/>
      <c r="T132" s="74"/>
      <c r="U132" s="74"/>
      <c r="V132" s="74"/>
      <c r="W132" s="74"/>
      <c r="X132" s="74"/>
      <c r="Y132" s="74"/>
      <c r="Z132" s="74"/>
      <c r="AA132" s="74"/>
      <c r="AB132" s="75"/>
    </row>
    <row r="133" spans="1:29" collapsed="1" x14ac:dyDescent="0.25">
      <c r="A133" s="67"/>
      <c r="B133" s="82"/>
      <c r="C133" s="33"/>
      <c r="D133" s="33"/>
      <c r="E133" s="33"/>
      <c r="F133" s="33"/>
      <c r="G133" s="61"/>
      <c r="H133" s="61"/>
      <c r="I133" s="61"/>
      <c r="J133" s="61"/>
      <c r="K133" s="61"/>
      <c r="L133" s="61"/>
      <c r="M133" s="61"/>
      <c r="N133" s="61"/>
      <c r="O133" s="61"/>
      <c r="P133" s="61"/>
      <c r="Q133" s="61"/>
      <c r="R133" s="61"/>
      <c r="S133" s="61"/>
      <c r="T133" s="61"/>
      <c r="U133" s="61"/>
      <c r="V133" s="61"/>
      <c r="W133" s="80"/>
      <c r="X133" s="61"/>
      <c r="Y133" s="61"/>
      <c r="Z133" s="61"/>
      <c r="AA133" s="61"/>
      <c r="AB133" s="81"/>
    </row>
    <row r="134" spans="1:29" x14ac:dyDescent="0.25">
      <c r="A134" s="67"/>
      <c r="B134" s="1255" t="s">
        <v>453</v>
      </c>
      <c r="C134" s="1255"/>
      <c r="D134" s="1255"/>
      <c r="E134" s="1255"/>
      <c r="F134" s="1255"/>
      <c r="G134" s="1255"/>
      <c r="H134" s="1255"/>
      <c r="I134" s="1255"/>
      <c r="J134" s="1255"/>
      <c r="K134" s="1255"/>
      <c r="L134" s="1255"/>
      <c r="M134" s="1255"/>
      <c r="N134" s="1255"/>
      <c r="O134" s="1255"/>
      <c r="P134" s="1255"/>
      <c r="Q134" s="1255"/>
      <c r="R134" s="1255"/>
      <c r="S134" s="1255"/>
      <c r="T134" s="1255"/>
      <c r="U134" s="1255"/>
      <c r="V134" s="1255"/>
      <c r="W134" s="1255"/>
      <c r="X134" s="1255"/>
      <c r="Y134" s="1255"/>
      <c r="Z134" s="1255"/>
      <c r="AA134" s="1255"/>
      <c r="AB134" s="1255"/>
      <c r="AC134" s="87"/>
    </row>
    <row r="135" spans="1:29" x14ac:dyDescent="0.25">
      <c r="A135" s="67"/>
      <c r="I135" s="35"/>
      <c r="J135" s="35"/>
      <c r="K135" s="35"/>
      <c r="L135" s="365"/>
      <c r="M135" s="365"/>
      <c r="N135" s="365"/>
      <c r="O135" s="365"/>
      <c r="P135" s="365"/>
      <c r="Q135" s="365"/>
      <c r="R135" s="365"/>
      <c r="S135" s="365"/>
      <c r="T135" s="365"/>
      <c r="U135" s="365"/>
      <c r="V135" s="365"/>
      <c r="W135" s="366"/>
      <c r="X135" s="366"/>
      <c r="Y135" s="366"/>
      <c r="Z135" s="366"/>
      <c r="AA135" s="84"/>
      <c r="AB135" s="85"/>
    </row>
    <row r="136" spans="1:29" ht="15.75" thickBot="1" x14ac:dyDescent="0.3">
      <c r="A136" s="67"/>
      <c r="B136" s="1285" t="s">
        <v>544</v>
      </c>
      <c r="C136" s="1230"/>
      <c r="D136" s="1230"/>
      <c r="E136" s="1230"/>
      <c r="F136" s="1230"/>
      <c r="G136" s="1230"/>
      <c r="H136" s="1230"/>
      <c r="I136" s="82"/>
      <c r="J136" s="82"/>
      <c r="K136" s="82"/>
      <c r="L136" s="1230" t="s">
        <v>545</v>
      </c>
      <c r="M136" s="1230"/>
      <c r="N136" s="1230"/>
      <c r="O136" s="1230"/>
      <c r="P136" s="1230"/>
      <c r="Q136" s="1230"/>
      <c r="R136" s="1230"/>
      <c r="S136" s="1230"/>
      <c r="T136" s="1230"/>
      <c r="U136" s="1230"/>
      <c r="V136" s="1230"/>
      <c r="W136" s="1230"/>
      <c r="X136" s="1230"/>
      <c r="Y136" s="1230"/>
      <c r="Z136" s="1230"/>
      <c r="AA136" s="84"/>
      <c r="AB136" s="85"/>
    </row>
    <row r="137" spans="1:29" ht="15.75" thickTop="1" x14ac:dyDescent="0.25">
      <c r="A137" s="67"/>
      <c r="B137" s="1280" t="s">
        <v>422</v>
      </c>
      <c r="C137" s="1271"/>
      <c r="D137" s="1271"/>
      <c r="E137" s="1272"/>
      <c r="F137" s="1281" t="str">
        <f>IF(AND(SiteResilienceEnabled="Yes",HAOption="Yes",ValidationCheck=FALSE,SUM(LogH1:LogH24)&lt;&gt;0),DBLogBandwidth+PeakCIBandwidth,"--")</f>
        <v>--</v>
      </c>
      <c r="G137" s="1282"/>
      <c r="H137" s="1282"/>
      <c r="I137" s="83"/>
      <c r="J137" s="83"/>
      <c r="K137" s="33"/>
      <c r="L137" s="1271" t="s">
        <v>425</v>
      </c>
      <c r="M137" s="1271"/>
      <c r="N137" s="1271"/>
      <c r="O137" s="1271"/>
      <c r="P137" s="1271"/>
      <c r="Q137" s="1271"/>
      <c r="R137" s="1271"/>
      <c r="S137" s="1271"/>
      <c r="T137" s="1271"/>
      <c r="U137" s="1271"/>
      <c r="V137" s="1272"/>
      <c r="W137" s="1273">
        <f>IF(AND(HAOption="Yes",SiteResilienceEnabled="Yes"),IF(RPO=0,"Near 0 Hours",RPO),"--")</f>
        <v>24</v>
      </c>
      <c r="X137" s="1274"/>
      <c r="Y137" s="1274"/>
      <c r="Z137" s="1274"/>
      <c r="AA137" s="84"/>
      <c r="AB137" s="85"/>
    </row>
    <row r="138" spans="1:29" x14ac:dyDescent="0.25">
      <c r="A138" s="67"/>
      <c r="B138" s="1277" t="s">
        <v>429</v>
      </c>
      <c r="C138" s="1278"/>
      <c r="D138" s="1278"/>
      <c r="E138" s="1279"/>
      <c r="F138" s="1226" t="str">
        <f>IF(AND(SiteResilienceEnabled="Yes",HAOption="Yes",ValidationCheck=FALSE,SUM(LogH1:LogH24)&lt;&gt;0),DAGLogBandwidth+PeakCIDAGBandwidth,"--")</f>
        <v>--</v>
      </c>
      <c r="G138" s="1227"/>
      <c r="H138" s="1227"/>
      <c r="I138" s="83"/>
      <c r="J138" s="83"/>
      <c r="K138" s="33"/>
      <c r="L138" s="1262" t="s">
        <v>427</v>
      </c>
      <c r="M138" s="1262"/>
      <c r="N138" s="1262"/>
      <c r="O138" s="1262"/>
      <c r="P138" s="1262"/>
      <c r="Q138" s="1262"/>
      <c r="R138" s="1262"/>
      <c r="S138" s="1262"/>
      <c r="T138" s="1262"/>
      <c r="U138" s="1262"/>
      <c r="V138" s="1263"/>
      <c r="W138" s="1226" t="str">
        <f>IF(AND(HAOption="Yes",SiteResilienceEnabled="Yes",ValidationCheck=FALSE,SUM(LogH1:LogH24)&lt;&gt;0),(HLOOKUP(calcRPO,tblSCRBndwdth,2,FALSE)*IF(NetworkCompression="Enabled",1-varLogCompressionFactor,1))+HLOOKUP(calcRPO,tblSCRBndwdth,2,FALSE),"--")</f>
        <v>--</v>
      </c>
      <c r="X138" s="1227"/>
      <c r="Y138" s="1227"/>
      <c r="Z138" s="1227"/>
      <c r="AA138" s="84"/>
      <c r="AB138" s="85"/>
    </row>
    <row r="139" spans="1:29" x14ac:dyDescent="0.25">
      <c r="A139" s="67"/>
      <c r="B139" s="1296" t="s">
        <v>426</v>
      </c>
      <c r="C139" s="1297"/>
      <c r="D139" s="1297"/>
      <c r="E139" s="1298"/>
      <c r="F139" s="1299" t="str">
        <f>IF(AND(SiteResilienceEnabled="Yes",HAOption="Yes",ValidationCheck=FALSE,SUM(LogH1:LogH24)&lt;&gt;0),TotPeakLogCIBandwidth*calcNumDAGs,"--")</f>
        <v>--</v>
      </c>
      <c r="G139" s="1300"/>
      <c r="H139" s="1300"/>
      <c r="I139" s="68"/>
      <c r="J139" s="68"/>
      <c r="K139" s="68"/>
      <c r="L139" s="1257" t="s">
        <v>430</v>
      </c>
      <c r="M139" s="1257"/>
      <c r="N139" s="1257"/>
      <c r="O139" s="1257"/>
      <c r="P139" s="1257"/>
      <c r="Q139" s="1257"/>
      <c r="R139" s="1257"/>
      <c r="S139" s="1257"/>
      <c r="T139" s="1257"/>
      <c r="U139" s="1257"/>
      <c r="V139" s="1258"/>
      <c r="W139" s="1228" t="str">
        <f>IF(AND(HAOption="Yes",SiteResilienceEnabled="Yes",ValidationCheck=FALSE,SUM(LogH1:LogH24)&lt;&gt;0),(HLOOKUP(calcRPO,tblSCRBndwdth,2,FALSE)*calcLogStreamsBtwnDCs*IF(NetworkCompression="Enabled",1-varLogCompressionFactor,1))+(HLOOKUP(calcRPO,tblSCRBndwdth,2,FALSE)*calcLogStreamsBtwnDCs),"--")</f>
        <v>--</v>
      </c>
      <c r="X139" s="1229"/>
      <c r="Y139" s="1229"/>
      <c r="Z139" s="1229"/>
      <c r="AA139" s="84"/>
      <c r="AB139" s="85"/>
    </row>
    <row r="140" spans="1:29" x14ac:dyDescent="0.25">
      <c r="A140" s="67"/>
      <c r="I140" s="45"/>
      <c r="J140" s="45"/>
      <c r="K140" s="59"/>
      <c r="L140" s="1262" t="s">
        <v>428</v>
      </c>
      <c r="M140" s="1262"/>
      <c r="N140" s="1262"/>
      <c r="O140" s="1262"/>
      <c r="P140" s="1262"/>
      <c r="Q140" s="1262"/>
      <c r="R140" s="1262"/>
      <c r="S140" s="1262"/>
      <c r="T140" s="1262"/>
      <c r="U140" s="1262"/>
      <c r="V140" s="1263"/>
      <c r="W140" s="1275" t="str">
        <f>IF(AND(SiteResilienceEnabled="Yes",HAOption="Yes",ValidationCheck=FALSE,SUM(LogH1:LogH24)&lt;&gt;0),TotRPOLogCIBandwidth*calcNumDAGs,"--")</f>
        <v>--</v>
      </c>
      <c r="X140" s="1276"/>
      <c r="Y140" s="1276"/>
      <c r="Z140" s="1276"/>
      <c r="AA140" s="84"/>
      <c r="AB140" s="85"/>
    </row>
    <row r="141" spans="1:29" x14ac:dyDescent="0.25">
      <c r="A141" s="67"/>
      <c r="B141" s="55"/>
      <c r="C141" s="55"/>
      <c r="D141" s="55"/>
      <c r="E141" s="55"/>
      <c r="F141" s="86"/>
      <c r="G141" s="86"/>
      <c r="H141" s="86"/>
      <c r="I141" s="35"/>
      <c r="J141" s="35"/>
      <c r="K141" s="35"/>
      <c r="L141" s="90"/>
      <c r="M141" s="90"/>
      <c r="N141" s="90"/>
      <c r="O141" s="90"/>
      <c r="P141" s="90"/>
      <c r="Q141" s="90"/>
      <c r="R141" s="90"/>
      <c r="S141" s="90"/>
      <c r="T141" s="90"/>
      <c r="U141" s="90"/>
      <c r="V141" s="90"/>
      <c r="W141" s="90"/>
      <c r="X141" s="90"/>
      <c r="Y141" s="214"/>
      <c r="Z141" s="214"/>
      <c r="AA141" s="84"/>
      <c r="AB141" s="85"/>
    </row>
    <row r="142" spans="1:29" ht="15.75" thickBot="1" x14ac:dyDescent="0.3">
      <c r="A142" s="67"/>
      <c r="B142" s="1184" t="s">
        <v>210</v>
      </c>
      <c r="C142" s="1184"/>
      <c r="D142" s="1184"/>
      <c r="E142" s="1184"/>
      <c r="F142" s="1184"/>
      <c r="G142" s="1184"/>
      <c r="H142" s="1184"/>
      <c r="I142" s="35"/>
      <c r="J142" s="35"/>
      <c r="K142" s="35"/>
      <c r="L142" s="1230" t="s">
        <v>211</v>
      </c>
      <c r="M142" s="1230"/>
      <c r="N142" s="1230"/>
      <c r="O142" s="1230"/>
      <c r="P142" s="1230"/>
      <c r="Q142" s="1230"/>
      <c r="R142" s="1230"/>
      <c r="S142" s="1230"/>
      <c r="T142" s="1230"/>
      <c r="U142" s="1230"/>
      <c r="V142" s="1230"/>
      <c r="W142" s="1230"/>
      <c r="X142" s="1230"/>
      <c r="Y142" s="1230"/>
      <c r="Z142" s="1230"/>
      <c r="AA142" s="84"/>
      <c r="AB142" s="85"/>
    </row>
    <row r="143" spans="1:29" ht="15.75" thickTop="1" x14ac:dyDescent="0.25">
      <c r="A143" s="67"/>
      <c r="B143" s="1259" t="s">
        <v>156</v>
      </c>
      <c r="C143" s="1260"/>
      <c r="D143" s="1260"/>
      <c r="E143" s="1260"/>
      <c r="F143" s="1261"/>
      <c r="G143" s="1301" t="str">
        <f>NetLinkType</f>
        <v>Gigabit Ethernet</v>
      </c>
      <c r="H143" s="1302"/>
      <c r="I143" s="35"/>
      <c r="J143" s="35"/>
      <c r="K143" s="35"/>
      <c r="L143" s="1265" t="s">
        <v>431</v>
      </c>
      <c r="M143" s="1265"/>
      <c r="N143" s="1265"/>
      <c r="O143" s="1265"/>
      <c r="P143" s="1265"/>
      <c r="Q143" s="1265"/>
      <c r="R143" s="1265"/>
      <c r="S143" s="1265"/>
      <c r="T143" s="1265"/>
      <c r="U143" s="1265"/>
      <c r="V143" s="1266"/>
      <c r="W143" s="1264" t="str">
        <f>IF(AccNetLinkCCR="--","--",IF(AccNetLinkCCR="Yes","Use Chosen Link",VLOOKUP(TotPeakLogCIBandwidth*calcNumDAGs,tblRecNetworkLink,12,TRUE)))</f>
        <v>--</v>
      </c>
      <c r="X143" s="1264"/>
      <c r="Y143" s="1264"/>
      <c r="Z143" s="1264"/>
      <c r="AA143" s="84"/>
      <c r="AB143" s="85"/>
    </row>
    <row r="144" spans="1:29" x14ac:dyDescent="0.25">
      <c r="A144" s="67"/>
      <c r="B144" s="1262" t="s">
        <v>181</v>
      </c>
      <c r="C144" s="1262"/>
      <c r="D144" s="1262"/>
      <c r="E144" s="1262"/>
      <c r="F144" s="1263"/>
      <c r="G144" s="1269">
        <f>NetLinkLatency</f>
        <v>50</v>
      </c>
      <c r="H144" s="1270"/>
      <c r="I144" s="35"/>
      <c r="J144" s="35"/>
      <c r="K144" s="35"/>
      <c r="L144" s="1262" t="s">
        <v>432</v>
      </c>
      <c r="M144" s="1262"/>
      <c r="N144" s="1262"/>
      <c r="O144" s="1262"/>
      <c r="P144" s="1262"/>
      <c r="Q144" s="1262"/>
      <c r="R144" s="1262"/>
      <c r="S144" s="1262"/>
      <c r="T144" s="1262"/>
      <c r="U144" s="1262"/>
      <c r="V144" s="1263"/>
      <c r="W144" s="1267" t="str">
        <f>IF(AccNetLinkSCR="--","--",IF(AccNetLinkSCR="Yes","Use Chosen Link",VLOOKUP(TotRPOLogCIBandwidth*calcNumDAGs,tblRecNetworkLink,12,TRUE)))</f>
        <v>--</v>
      </c>
      <c r="X144" s="1268"/>
      <c r="Y144" s="1268"/>
      <c r="Z144" s="1268"/>
      <c r="AA144" s="84"/>
      <c r="AB144" s="85"/>
    </row>
    <row r="145" spans="1:30" x14ac:dyDescent="0.25">
      <c r="A145" s="67"/>
      <c r="B145" s="1257" t="s">
        <v>424</v>
      </c>
      <c r="C145" s="1257"/>
      <c r="D145" s="1257"/>
      <c r="E145" s="1257"/>
      <c r="F145" s="1258"/>
      <c r="G145" s="1264" t="str">
        <f>IF(AND(HAOption="Yes",SiteResilienceEnabled="Yes",DAGLogBandwidth&lt;&gt;"--"),IF(IF(TCPWindowSize="Default Value",VLOOKUP(NetLinkType,tblNetworkLink,2,FALSE),MIN(TCPWindowSize/(NetLinkLatency/1000)*8,VLOOKUP(NetLinkType,tblNetworkLink,2,FALSE)))&gt;TotPeakLogCIBandwidth*calcNumDAGs*1000000,"Yes","No"),"--")</f>
        <v>--</v>
      </c>
      <c r="H145" s="1264"/>
      <c r="I145" s="35"/>
      <c r="J145" s="35"/>
      <c r="K145" s="35"/>
      <c r="AA145" s="84"/>
      <c r="AB145" s="85"/>
    </row>
    <row r="146" spans="1:30" x14ac:dyDescent="0.25">
      <c r="A146" s="67"/>
      <c r="B146" s="1262" t="s">
        <v>423</v>
      </c>
      <c r="C146" s="1262"/>
      <c r="D146" s="1262"/>
      <c r="E146" s="1262"/>
      <c r="F146" s="1263"/>
      <c r="G146" s="1267" t="str">
        <f>IF(TotRPOLogCIBandwidth="--","--",IF(IF(TCPWindowSize="Default Value",VLOOKUP(NetLinkType,tblNetworkLink,2,FALSE),MIN(TCPWindowSize/(NetLinkLatency/1000)*8,VLOOKUP(NetLinkType,tblNetworkLink,2,FALSE)))&gt;TotRPOLogCIBandwidth*calcNumDAGs*1000000,"Yes","No"))</f>
        <v>--</v>
      </c>
      <c r="H146" s="1268"/>
      <c r="I146" s="35"/>
      <c r="J146" s="35"/>
      <c r="K146" s="35"/>
      <c r="R146" s="79"/>
      <c r="AA146" s="84"/>
      <c r="AB146" s="85"/>
    </row>
    <row r="147" spans="1:30" x14ac:dyDescent="0.25">
      <c r="A147" s="67"/>
      <c r="B147" s="58"/>
      <c r="I147" s="35"/>
      <c r="J147" s="35"/>
      <c r="K147" s="35"/>
      <c r="L147" s="35"/>
      <c r="M147" s="35"/>
      <c r="N147" s="35"/>
      <c r="O147" s="35"/>
      <c r="P147" s="35"/>
      <c r="Q147" s="35"/>
      <c r="R147" s="35"/>
      <c r="S147" s="35"/>
      <c r="T147" s="35"/>
      <c r="U147" s="35"/>
      <c r="V147" s="35"/>
      <c r="W147" s="35"/>
      <c r="X147" s="35"/>
      <c r="Y147" s="84"/>
      <c r="Z147" s="84"/>
      <c r="AA147" s="84"/>
      <c r="AB147" s="85"/>
    </row>
    <row r="148" spans="1:30" ht="15.75" thickBot="1" x14ac:dyDescent="0.3">
      <c r="A148" s="67"/>
      <c r="B148" s="1255" t="s">
        <v>119</v>
      </c>
      <c r="C148" s="1255"/>
      <c r="D148" s="1255"/>
      <c r="E148" s="1255"/>
      <c r="F148" s="1255"/>
      <c r="G148" s="1255"/>
      <c r="H148" s="1255"/>
      <c r="I148" s="1255"/>
      <c r="J148" s="1255"/>
      <c r="K148" s="1255"/>
      <c r="L148" s="1255"/>
      <c r="M148" s="1255"/>
      <c r="N148" s="1255"/>
      <c r="O148" s="1255"/>
      <c r="P148" s="1255"/>
      <c r="Q148" s="1255"/>
      <c r="R148" s="1255"/>
      <c r="S148" s="1255"/>
      <c r="T148" s="1255"/>
      <c r="U148" s="1255"/>
      <c r="V148" s="1255"/>
      <c r="W148" s="1255"/>
      <c r="X148" s="1255"/>
      <c r="Y148" s="1255"/>
      <c r="Z148" s="1255"/>
      <c r="AA148" s="1255"/>
      <c r="AB148" s="1256"/>
    </row>
    <row r="149" spans="1:30" x14ac:dyDescent="0.25">
      <c r="A149" s="67"/>
      <c r="B149" s="1249" t="str">
        <f>IF(OR(HAOption="CCR",numLagDBCopies&lt;&gt;0),varLogReplResponse,"N/A")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49" s="1250"/>
      <c r="D149" s="1250"/>
      <c r="E149" s="1250"/>
      <c r="F149" s="1250"/>
      <c r="G149" s="1250"/>
      <c r="H149" s="1250"/>
      <c r="I149" s="1250"/>
      <c r="J149" s="1250"/>
      <c r="K149" s="1250"/>
      <c r="L149" s="1250"/>
      <c r="M149" s="1250"/>
      <c r="N149" s="1250"/>
      <c r="O149" s="1250"/>
      <c r="P149" s="1250"/>
      <c r="Q149" s="1250"/>
      <c r="R149" s="1250"/>
      <c r="S149" s="1250"/>
      <c r="T149" s="1250"/>
      <c r="U149" s="1250"/>
      <c r="V149" s="1250"/>
      <c r="W149" s="1250"/>
      <c r="X149" s="1250"/>
      <c r="Y149" s="1250"/>
      <c r="Z149" s="1250"/>
      <c r="AA149" s="1250"/>
      <c r="AB149" s="1251"/>
    </row>
    <row r="150" spans="1:30" x14ac:dyDescent="0.25">
      <c r="A150" s="67"/>
      <c r="B150" s="1252"/>
      <c r="C150" s="1253"/>
      <c r="D150" s="1253"/>
      <c r="E150" s="1253"/>
      <c r="F150" s="1253"/>
      <c r="G150" s="1253"/>
      <c r="H150" s="1253"/>
      <c r="I150" s="1253"/>
      <c r="J150" s="1253"/>
      <c r="K150" s="1253"/>
      <c r="L150" s="1253"/>
      <c r="M150" s="1253"/>
      <c r="N150" s="1253"/>
      <c r="O150" s="1253"/>
      <c r="P150" s="1253"/>
      <c r="Q150" s="1253"/>
      <c r="R150" s="1253"/>
      <c r="S150" s="1253"/>
      <c r="T150" s="1253"/>
      <c r="U150" s="1253"/>
      <c r="V150" s="1253"/>
      <c r="W150" s="1253"/>
      <c r="X150" s="1253"/>
      <c r="Y150" s="1253"/>
      <c r="Z150" s="1253"/>
      <c r="AA150" s="1253"/>
      <c r="AB150" s="1254"/>
    </row>
    <row r="151" spans="1:30" ht="15.75" thickBot="1" x14ac:dyDescent="0.3">
      <c r="A151" s="67"/>
      <c r="B151" s="60"/>
      <c r="C151" s="62"/>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9"/>
    </row>
    <row r="152" spans="1:30" x14ac:dyDescent="0.25">
      <c r="B152" s="59"/>
      <c r="C152" s="63"/>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79"/>
    </row>
    <row r="156" spans="1:30" x14ac:dyDescent="0.25">
      <c r="F156" s="58"/>
    </row>
  </sheetData>
  <dataConsolidate/>
  <mergeCells count="288">
    <mergeCell ref="B3:I3"/>
    <mergeCell ref="B9:D9"/>
    <mergeCell ref="B139:E139"/>
    <mergeCell ref="F139:H139"/>
    <mergeCell ref="B142:H142"/>
    <mergeCell ref="G143:H143"/>
    <mergeCell ref="B1:AB1"/>
    <mergeCell ref="E69:AB69"/>
    <mergeCell ref="E17:AB17"/>
    <mergeCell ref="B17:B18"/>
    <mergeCell ref="C17:C18"/>
    <mergeCell ref="D17:D18"/>
    <mergeCell ref="E68:AB68"/>
    <mergeCell ref="B11:G11"/>
    <mergeCell ref="B12:D12"/>
    <mergeCell ref="B7:G7"/>
    <mergeCell ref="E12:G12"/>
    <mergeCell ref="B2:I2"/>
    <mergeCell ref="E14:G14"/>
    <mergeCell ref="B14:D14"/>
    <mergeCell ref="B13:D13"/>
    <mergeCell ref="E13:G13"/>
    <mergeCell ref="B15:D15"/>
    <mergeCell ref="B5:AB5"/>
    <mergeCell ref="B71:D71"/>
    <mergeCell ref="B8:D8"/>
    <mergeCell ref="E8:G8"/>
    <mergeCell ref="B136:H136"/>
    <mergeCell ref="B73:C73"/>
    <mergeCell ref="B74:C74"/>
    <mergeCell ref="B128:C128"/>
    <mergeCell ref="B129:C129"/>
    <mergeCell ref="B80:C80"/>
    <mergeCell ref="B119:C119"/>
    <mergeCell ref="B106:C106"/>
    <mergeCell ref="E15:G15"/>
    <mergeCell ref="B75:C75"/>
    <mergeCell ref="B76:C76"/>
    <mergeCell ref="B77:C77"/>
    <mergeCell ref="B78:C78"/>
    <mergeCell ref="B79:C79"/>
    <mergeCell ref="B81:C81"/>
    <mergeCell ref="B83:C83"/>
    <mergeCell ref="B85:C85"/>
    <mergeCell ref="B87:C87"/>
    <mergeCell ref="B89:C89"/>
    <mergeCell ref="B91:C91"/>
    <mergeCell ref="E9:G9"/>
    <mergeCell ref="H127:L127"/>
    <mergeCell ref="L140:V140"/>
    <mergeCell ref="W140:Z140"/>
    <mergeCell ref="B138:E138"/>
    <mergeCell ref="F138:H138"/>
    <mergeCell ref="B137:E137"/>
    <mergeCell ref="F137:H137"/>
    <mergeCell ref="E95:G95"/>
    <mergeCell ref="B110:C110"/>
    <mergeCell ref="B134:AB134"/>
    <mergeCell ref="B118:C118"/>
    <mergeCell ref="B100:C100"/>
    <mergeCell ref="H128:L128"/>
    <mergeCell ref="H129:L129"/>
    <mergeCell ref="M110:P110"/>
    <mergeCell ref="M111:P111"/>
    <mergeCell ref="M119:P119"/>
    <mergeCell ref="M124:P124"/>
    <mergeCell ref="M125:P125"/>
    <mergeCell ref="M126:P126"/>
    <mergeCell ref="M127:P127"/>
    <mergeCell ref="M120:P120"/>
    <mergeCell ref="M121:P121"/>
    <mergeCell ref="M122:P122"/>
    <mergeCell ref="M123:P123"/>
    <mergeCell ref="B149:AB150"/>
    <mergeCell ref="B148:AB148"/>
    <mergeCell ref="B145:F145"/>
    <mergeCell ref="B143:F143"/>
    <mergeCell ref="B144:F144"/>
    <mergeCell ref="B146:F146"/>
    <mergeCell ref="W143:Z143"/>
    <mergeCell ref="L142:Z142"/>
    <mergeCell ref="L144:V144"/>
    <mergeCell ref="L143:V143"/>
    <mergeCell ref="W144:Z144"/>
    <mergeCell ref="G144:H144"/>
    <mergeCell ref="G145:H145"/>
    <mergeCell ref="G146:H146"/>
    <mergeCell ref="M128:P128"/>
    <mergeCell ref="M129:P129"/>
    <mergeCell ref="H124:L124"/>
    <mergeCell ref="H125:L125"/>
    <mergeCell ref="H126:L126"/>
    <mergeCell ref="L137:V137"/>
    <mergeCell ref="L138:V138"/>
    <mergeCell ref="L139:V139"/>
    <mergeCell ref="W137:Z137"/>
    <mergeCell ref="E126:G126"/>
    <mergeCell ref="E127:G127"/>
    <mergeCell ref="E128:G128"/>
    <mergeCell ref="E129:G129"/>
    <mergeCell ref="B84:C84"/>
    <mergeCell ref="B99:C99"/>
    <mergeCell ref="B95:C95"/>
    <mergeCell ref="B92:C92"/>
    <mergeCell ref="B94:C94"/>
    <mergeCell ref="B86:C86"/>
    <mergeCell ref="B90:C90"/>
    <mergeCell ref="B88:C88"/>
    <mergeCell ref="B105:C105"/>
    <mergeCell ref="B93:C93"/>
    <mergeCell ref="E124:G124"/>
    <mergeCell ref="M107:P107"/>
    <mergeCell ref="M105:P105"/>
    <mergeCell ref="M99:P99"/>
    <mergeCell ref="M106:P106"/>
    <mergeCell ref="E118:G118"/>
    <mergeCell ref="B82:C82"/>
    <mergeCell ref="B96:C96"/>
    <mergeCell ref="B107:C107"/>
    <mergeCell ref="B97:C97"/>
    <mergeCell ref="H107:L107"/>
    <mergeCell ref="H96:L96"/>
    <mergeCell ref="H91:L91"/>
    <mergeCell ref="H89:L89"/>
    <mergeCell ref="H90:L90"/>
    <mergeCell ref="H87:L87"/>
    <mergeCell ref="H88:L88"/>
    <mergeCell ref="H97:L97"/>
    <mergeCell ref="H99:L99"/>
    <mergeCell ref="H110:L110"/>
    <mergeCell ref="M96:P96"/>
    <mergeCell ref="M98:P98"/>
    <mergeCell ref="M113:P113"/>
    <mergeCell ref="M114:P114"/>
    <mergeCell ref="E111:G111"/>
    <mergeCell ref="H119:L119"/>
    <mergeCell ref="E93:G93"/>
    <mergeCell ref="E94:G94"/>
    <mergeCell ref="B120:C120"/>
    <mergeCell ref="B121:C121"/>
    <mergeCell ref="B122:C122"/>
    <mergeCell ref="H111:L111"/>
    <mergeCell ref="H122:L122"/>
    <mergeCell ref="H123:L123"/>
    <mergeCell ref="E120:G120"/>
    <mergeCell ref="E121:G121"/>
    <mergeCell ref="E122:G122"/>
    <mergeCell ref="E123:G123"/>
    <mergeCell ref="E105:G105"/>
    <mergeCell ref="H105:L105"/>
    <mergeCell ref="E100:G100"/>
    <mergeCell ref="H100:L100"/>
    <mergeCell ref="B98:C98"/>
    <mergeCell ref="B117:C117"/>
    <mergeCell ref="E119:G119"/>
    <mergeCell ref="E81:G81"/>
    <mergeCell ref="E86:G86"/>
    <mergeCell ref="E91:G91"/>
    <mergeCell ref="E89:G89"/>
    <mergeCell ref="E90:G90"/>
    <mergeCell ref="E87:G87"/>
    <mergeCell ref="E88:G88"/>
    <mergeCell ref="E92:G92"/>
    <mergeCell ref="M88:P88"/>
    <mergeCell ref="M81:P81"/>
    <mergeCell ref="H81:L81"/>
    <mergeCell ref="H86:L86"/>
    <mergeCell ref="M91:P91"/>
    <mergeCell ref="M89:P89"/>
    <mergeCell ref="M90:P90"/>
    <mergeCell ref="M87:P87"/>
    <mergeCell ref="E82:G82"/>
    <mergeCell ref="H82:L82"/>
    <mergeCell ref="E85:G85"/>
    <mergeCell ref="H85:L85"/>
    <mergeCell ref="E84:G84"/>
    <mergeCell ref="H84:L84"/>
    <mergeCell ref="E83:G83"/>
    <mergeCell ref="H83:L83"/>
    <mergeCell ref="E73:G73"/>
    <mergeCell ref="E74:G74"/>
    <mergeCell ref="E75:G75"/>
    <mergeCell ref="E76:G76"/>
    <mergeCell ref="E77:G77"/>
    <mergeCell ref="E78:G78"/>
    <mergeCell ref="E79:G79"/>
    <mergeCell ref="E80:G80"/>
    <mergeCell ref="H74:L74"/>
    <mergeCell ref="H75:L75"/>
    <mergeCell ref="H76:L76"/>
    <mergeCell ref="H77:L77"/>
    <mergeCell ref="H79:L79"/>
    <mergeCell ref="H80:L80"/>
    <mergeCell ref="H73:L73"/>
    <mergeCell ref="H78:L78"/>
    <mergeCell ref="M73:P73"/>
    <mergeCell ref="M74:P74"/>
    <mergeCell ref="M75:P75"/>
    <mergeCell ref="M76:P76"/>
    <mergeCell ref="M77:P77"/>
    <mergeCell ref="M78:P78"/>
    <mergeCell ref="M79:P79"/>
    <mergeCell ref="M80:P80"/>
    <mergeCell ref="M86:P86"/>
    <mergeCell ref="M82:P82"/>
    <mergeCell ref="M85:P85"/>
    <mergeCell ref="M84:P84"/>
    <mergeCell ref="M83:P83"/>
    <mergeCell ref="M115:P115"/>
    <mergeCell ref="M116:P116"/>
    <mergeCell ref="M117:P117"/>
    <mergeCell ref="H117:L117"/>
    <mergeCell ref="H118:L118"/>
    <mergeCell ref="H114:L114"/>
    <mergeCell ref="H113:L113"/>
    <mergeCell ref="E113:G113"/>
    <mergeCell ref="E114:G114"/>
    <mergeCell ref="E115:G115"/>
    <mergeCell ref="E116:G116"/>
    <mergeCell ref="E117:G117"/>
    <mergeCell ref="H115:L115"/>
    <mergeCell ref="H116:L116"/>
    <mergeCell ref="M118:P118"/>
    <mergeCell ref="H92:L92"/>
    <mergeCell ref="M92:P92"/>
    <mergeCell ref="H95:L95"/>
    <mergeCell ref="M95:P95"/>
    <mergeCell ref="H93:L93"/>
    <mergeCell ref="M93:P93"/>
    <mergeCell ref="H94:L94"/>
    <mergeCell ref="E96:G96"/>
    <mergeCell ref="E98:G98"/>
    <mergeCell ref="H98:L98"/>
    <mergeCell ref="M94:P94"/>
    <mergeCell ref="M100:P100"/>
    <mergeCell ref="M101:P101"/>
    <mergeCell ref="M104:P104"/>
    <mergeCell ref="M97:P97"/>
    <mergeCell ref="B101:C101"/>
    <mergeCell ref="B104:C104"/>
    <mergeCell ref="E99:G99"/>
    <mergeCell ref="M102:P102"/>
    <mergeCell ref="M103:P103"/>
    <mergeCell ref="H103:L103"/>
    <mergeCell ref="E102:G102"/>
    <mergeCell ref="E103:G103"/>
    <mergeCell ref="B103:C103"/>
    <mergeCell ref="B102:C102"/>
    <mergeCell ref="H104:L104"/>
    <mergeCell ref="E97:G97"/>
    <mergeCell ref="W138:Z138"/>
    <mergeCell ref="W139:Z139"/>
    <mergeCell ref="L136:Z136"/>
    <mergeCell ref="E107:G107"/>
    <mergeCell ref="E101:G101"/>
    <mergeCell ref="H101:L101"/>
    <mergeCell ref="E104:G104"/>
    <mergeCell ref="H102:L102"/>
    <mergeCell ref="E106:G106"/>
    <mergeCell ref="H106:L106"/>
    <mergeCell ref="B132:G132"/>
    <mergeCell ref="B131:H131"/>
    <mergeCell ref="B123:C123"/>
    <mergeCell ref="B124:C124"/>
    <mergeCell ref="B125:C125"/>
    <mergeCell ref="B126:C126"/>
    <mergeCell ref="B127:C127"/>
    <mergeCell ref="H120:L120"/>
    <mergeCell ref="H121:L121"/>
    <mergeCell ref="E125:G125"/>
    <mergeCell ref="B113:C113"/>
    <mergeCell ref="B114:C114"/>
    <mergeCell ref="B115:C115"/>
    <mergeCell ref="B116:C116"/>
    <mergeCell ref="M108:P108"/>
    <mergeCell ref="H108:L108"/>
    <mergeCell ref="H109:L109"/>
    <mergeCell ref="M109:P109"/>
    <mergeCell ref="E109:G109"/>
    <mergeCell ref="E108:G108"/>
    <mergeCell ref="B108:C108"/>
    <mergeCell ref="B109:C109"/>
    <mergeCell ref="M112:P112"/>
    <mergeCell ref="H112:L112"/>
    <mergeCell ref="E112:G112"/>
    <mergeCell ref="E110:G110"/>
    <mergeCell ref="B112:C112"/>
    <mergeCell ref="B111:C111"/>
  </mergeCells>
  <conditionalFormatting sqref="Q123:AB126 E71:P72 Q71:AB78 Q120:AB121 Q128:AB131 Q80:AA94 AB80:AB92 AB94 Q96:AB102 R75:R102 S74:S102 Q105:AB108 R119:S129 Q111:AB113 Q115:AB115">
    <cfRule type="expression" dxfId="155" priority="93" stopIfTrue="1">
      <formula>calcRPO=E70</formula>
    </cfRule>
  </conditionalFormatting>
  <conditionalFormatting sqref="B149">
    <cfRule type="expression" dxfId="154" priority="91" stopIfTrue="1">
      <formula>IF($B$149&lt;&gt;"N/A",TRUE)</formula>
    </cfRule>
  </conditionalFormatting>
  <conditionalFormatting sqref="Q95:AB95 R110:S113 R117:S117">
    <cfRule type="expression" dxfId="153" priority="108" stopIfTrue="1">
      <formula>calcRPO=Q80</formula>
    </cfRule>
  </conditionalFormatting>
  <conditionalFormatting sqref="Q103:AB103 Q127:AB127 Q118:AB118">
    <cfRule type="expression" dxfId="152" priority="88" stopIfTrue="1">
      <formula>calcRPO=Q49</formula>
    </cfRule>
  </conditionalFormatting>
  <conditionalFormatting sqref="Q128:AB129 Q90:AB90 R78:S78 R83:S83 R88:S88">
    <cfRule type="expression" dxfId="151" priority="87" stopIfTrue="1">
      <formula>calcRPO=#REF!</formula>
    </cfRule>
  </conditionalFormatting>
  <conditionalFormatting sqref="Q127:AB127">
    <cfRule type="expression" dxfId="150" priority="86" stopIfTrue="1">
      <formula>calcRPO=Q68</formula>
    </cfRule>
  </conditionalFormatting>
  <conditionalFormatting sqref="Q88:AA94 AB94 Q95:AB102">
    <cfRule type="expression" dxfId="149" priority="133" stopIfTrue="1">
      <formula>calcRPO=Q44</formula>
    </cfRule>
  </conditionalFormatting>
  <conditionalFormatting sqref="Q126:AB126">
    <cfRule type="expression" dxfId="148" priority="85" stopIfTrue="1">
      <formula>calcRPO=Q62</formula>
    </cfRule>
  </conditionalFormatting>
  <conditionalFormatting sqref="Q132:AB132 Q125:AB125">
    <cfRule type="expression" dxfId="147" priority="84" stopIfTrue="1">
      <formula>calcRPO=Q62</formula>
    </cfRule>
  </conditionalFormatting>
  <conditionalFormatting sqref="Q124:AB124 Q130:AB131">
    <cfRule type="expression" dxfId="146" priority="83" stopIfTrue="1">
      <formula>calcRPO=Q62</formula>
    </cfRule>
  </conditionalFormatting>
  <conditionalFormatting sqref="Q101:AB102 Q117:AB117">
    <cfRule type="expression" dxfId="145" priority="82" stopIfTrue="1">
      <formula>calcRPO=Q48</formula>
    </cfRule>
  </conditionalFormatting>
  <conditionalFormatting sqref="Q122:AB122">
    <cfRule type="expression" dxfId="144" priority="81" stopIfTrue="1">
      <formula>calcRPO=Q63</formula>
    </cfRule>
  </conditionalFormatting>
  <conditionalFormatting sqref="Q122:AB122">
    <cfRule type="expression" dxfId="143" priority="80" stopIfTrue="1">
      <formula>calcRPO=Q68</formula>
    </cfRule>
  </conditionalFormatting>
  <conditionalFormatting sqref="Q122:AB122">
    <cfRule type="expression" dxfId="142" priority="135" stopIfTrue="1">
      <formula>calcRPO=Q73</formula>
    </cfRule>
  </conditionalFormatting>
  <conditionalFormatting sqref="Q121:AB121">
    <cfRule type="expression" dxfId="141" priority="79" stopIfTrue="1">
      <formula>calcRPO=Q57</formula>
    </cfRule>
  </conditionalFormatting>
  <conditionalFormatting sqref="Q120:AB120">
    <cfRule type="expression" dxfId="140" priority="78" stopIfTrue="1">
      <formula>calcRPO=Q57</formula>
    </cfRule>
  </conditionalFormatting>
  <conditionalFormatting sqref="Q119:AB119">
    <cfRule type="expression" dxfId="139" priority="77" stopIfTrue="1">
      <formula>calcRPO=Q57</formula>
    </cfRule>
  </conditionalFormatting>
  <conditionalFormatting sqref="AB94 AB91:AB92 Q91:AA94 Q80:AB89 R104:S108">
    <cfRule type="expression" dxfId="138" priority="76" stopIfTrue="1">
      <formula>calcRPO=Q57</formula>
    </cfRule>
  </conditionalFormatting>
  <conditionalFormatting sqref="Q79:AB79 R75:S87 S74:S87 R89:S102 R118:S122">
    <cfRule type="expression" dxfId="137" priority="75" stopIfTrue="1">
      <formula>calcRPO=Q53</formula>
    </cfRule>
  </conditionalFormatting>
  <conditionalFormatting sqref="Q79:AB79 R75:S82 S74:S82 R84:S102">
    <cfRule type="expression" dxfId="136" priority="74" stopIfTrue="1">
      <formula>calcRPO=Q58</formula>
    </cfRule>
  </conditionalFormatting>
  <conditionalFormatting sqref="Q79:AB79 S74:S77 R75:S77 R79:S102 R129:S129">
    <cfRule type="expression" dxfId="135" priority="73" stopIfTrue="1">
      <formula>calcRPO=Q63</formula>
    </cfRule>
  </conditionalFormatting>
  <conditionalFormatting sqref="Q79:AB79 S74:S102 R75:S102 R124:S129">
    <cfRule type="expression" dxfId="134" priority="137" stopIfTrue="1">
      <formula>calcRPO=Q68</formula>
    </cfRule>
  </conditionalFormatting>
  <conditionalFormatting sqref="Q78:AB78 R118:S127">
    <cfRule type="expression" dxfId="133" priority="72" stopIfTrue="1">
      <formula>calcRPO=Q52</formula>
    </cfRule>
  </conditionalFormatting>
  <conditionalFormatting sqref="Q77:AB77 R117:S117 R110:S113">
    <cfRule type="expression" dxfId="132" priority="71" stopIfTrue="1">
      <formula>calcRPO=Q52</formula>
    </cfRule>
  </conditionalFormatting>
  <conditionalFormatting sqref="Q76:AB76 R109:S109 R116:S116">
    <cfRule type="expression" dxfId="131" priority="70" stopIfTrue="1">
      <formula>calcRPO=Q52</formula>
    </cfRule>
  </conditionalFormatting>
  <conditionalFormatting sqref="Q75:AB75">
    <cfRule type="expression" dxfId="130" priority="69" stopIfTrue="1">
      <formula>calcRPO=Q52</formula>
    </cfRule>
  </conditionalFormatting>
  <conditionalFormatting sqref="Q74:AB74">
    <cfRule type="expression" dxfId="129" priority="68" stopIfTrue="1">
      <formula>calcRPO=Q53</formula>
    </cfRule>
  </conditionalFormatting>
  <conditionalFormatting sqref="Q74:AB74">
    <cfRule type="expression" dxfId="128" priority="67" stopIfTrue="1">
      <formula>calcRPO=Q58</formula>
    </cfRule>
  </conditionalFormatting>
  <conditionalFormatting sqref="Q74:AB74">
    <cfRule type="expression" dxfId="127" priority="66" stopIfTrue="1">
      <formula>calcRPO=Q63</formula>
    </cfRule>
  </conditionalFormatting>
  <conditionalFormatting sqref="Q74:AB74">
    <cfRule type="expression" dxfId="126" priority="65" stopIfTrue="1">
      <formula>calcRPO=Q68</formula>
    </cfRule>
  </conditionalFormatting>
  <conditionalFormatting sqref="Q119:AB119">
    <cfRule type="expression" dxfId="125" priority="141" stopIfTrue="1">
      <formula>calcRPO=Q80</formula>
    </cfRule>
  </conditionalFormatting>
  <conditionalFormatting sqref="Q118:AB118">
    <cfRule type="expression" dxfId="124" priority="64" stopIfTrue="1">
      <formula>calcRPO=Q55</formula>
    </cfRule>
  </conditionalFormatting>
  <conditionalFormatting sqref="Q123:AB123 Q117:AB117">
    <cfRule type="expression" dxfId="123" priority="63" stopIfTrue="1">
      <formula>calcRPO=Q56</formula>
    </cfRule>
  </conditionalFormatting>
  <conditionalFormatting sqref="Q110:AB110">
    <cfRule type="expression" dxfId="122" priority="62" stopIfTrue="1">
      <formula>calcRPO=Q55</formula>
    </cfRule>
  </conditionalFormatting>
  <conditionalFormatting sqref="Q107:AB108">
    <cfRule type="expression" dxfId="121" priority="61" stopIfTrue="1">
      <formula>calcRPO=Q56</formula>
    </cfRule>
  </conditionalFormatting>
  <conditionalFormatting sqref="Q104:AB108">
    <cfRule type="expression" dxfId="120" priority="60" stopIfTrue="1">
      <formula>calcRPO=Q58</formula>
    </cfRule>
  </conditionalFormatting>
  <conditionalFormatting sqref="Q107:AB108">
    <cfRule type="expression" dxfId="119" priority="59" stopIfTrue="1">
      <formula>calcRPO=Q66</formula>
    </cfRule>
  </conditionalFormatting>
  <conditionalFormatting sqref="Q106:AB106 Q111:AB113">
    <cfRule type="expression" dxfId="118" priority="58" stopIfTrue="1">
      <formula>calcRPO=Q50</formula>
    </cfRule>
  </conditionalFormatting>
  <conditionalFormatting sqref="Q105:AB105">
    <cfRule type="expression" dxfId="117" priority="57" stopIfTrue="1">
      <formula>calcRPO=Q50</formula>
    </cfRule>
  </conditionalFormatting>
  <conditionalFormatting sqref="Q104:AB104">
    <cfRule type="expression" dxfId="116" priority="56" stopIfTrue="1">
      <formula>calcRPO=Q50</formula>
    </cfRule>
  </conditionalFormatting>
  <conditionalFormatting sqref="Q104:AB104">
    <cfRule type="expression" dxfId="115" priority="55" stopIfTrue="1">
      <formula>calcRPO=Q73</formula>
    </cfRule>
  </conditionalFormatting>
  <conditionalFormatting sqref="Q104:AB104">
    <cfRule type="expression" dxfId="114" priority="143" stopIfTrue="1">
      <formula>calcRPO=Q80</formula>
    </cfRule>
  </conditionalFormatting>
  <conditionalFormatting sqref="Q100:AB100 Q109:AB109">
    <cfRule type="expression" dxfId="113" priority="52" stopIfTrue="1">
      <formula>calcRPO=Q48</formula>
    </cfRule>
  </conditionalFormatting>
  <conditionalFormatting sqref="Q99:AB99">
    <cfRule type="expression" dxfId="112" priority="51" stopIfTrue="1">
      <formula>calcRPO=Q48</formula>
    </cfRule>
  </conditionalFormatting>
  <conditionalFormatting sqref="Q98:AB98">
    <cfRule type="expression" dxfId="111" priority="50" stopIfTrue="1">
      <formula>calcRPO=Q49</formula>
    </cfRule>
  </conditionalFormatting>
  <conditionalFormatting sqref="Q98:AB98">
    <cfRule type="expression" dxfId="110" priority="49" stopIfTrue="1">
      <formula>calcRPO=Q54</formula>
    </cfRule>
  </conditionalFormatting>
  <conditionalFormatting sqref="Q98:AB98">
    <cfRule type="expression" dxfId="109" priority="48" stopIfTrue="1">
      <formula>calcRPO=Q59</formula>
    </cfRule>
  </conditionalFormatting>
  <conditionalFormatting sqref="Q97:AB97">
    <cfRule type="expression" dxfId="108" priority="47" stopIfTrue="1">
      <formula>calcRPO=Q43</formula>
    </cfRule>
  </conditionalFormatting>
  <conditionalFormatting sqref="Q96:AB96">
    <cfRule type="expression" dxfId="107" priority="46" stopIfTrue="1">
      <formula>calcRPO=Q43</formula>
    </cfRule>
  </conditionalFormatting>
  <conditionalFormatting sqref="Q95:AB95">
    <cfRule type="expression" dxfId="106" priority="45" stopIfTrue="1">
      <formula>calcRPO=Q43</formula>
    </cfRule>
  </conditionalFormatting>
  <conditionalFormatting sqref="Q95:AB95">
    <cfRule type="expression" dxfId="105" priority="44" stopIfTrue="1">
      <formula>calcRPO=Q66</formula>
    </cfRule>
  </conditionalFormatting>
  <conditionalFormatting sqref="Q95:AB95 R103:S103 R114:S115">
    <cfRule type="expression" dxfId="104" priority="43" stopIfTrue="1">
      <formula>calcRPO=Q73</formula>
    </cfRule>
  </conditionalFormatting>
  <conditionalFormatting sqref="Q95:AB102">
    <cfRule type="expression" dxfId="103" priority="149" stopIfTrue="1">
      <formula>calcRPO=Q58</formula>
    </cfRule>
  </conditionalFormatting>
  <conditionalFormatting sqref="AB88:AB92">
    <cfRule type="expression" dxfId="102" priority="41" stopIfTrue="1">
      <formula>calcRPO=AB44</formula>
    </cfRule>
  </conditionalFormatting>
  <conditionalFormatting sqref="Q94:AB94">
    <cfRule type="expression" dxfId="101" priority="40" stopIfTrue="1">
      <formula>calcRPO=Q41</formula>
    </cfRule>
  </conditionalFormatting>
  <conditionalFormatting sqref="Q93:AA93">
    <cfRule type="expression" dxfId="100" priority="39" stopIfTrue="1">
      <formula>calcRPO=Q41</formula>
    </cfRule>
  </conditionalFormatting>
  <conditionalFormatting sqref="Q92:AB92">
    <cfRule type="expression" dxfId="99" priority="38" stopIfTrue="1">
      <formula>calcRPO=Q41</formula>
    </cfRule>
  </conditionalFormatting>
  <conditionalFormatting sqref="Q91:AB91">
    <cfRule type="expression" dxfId="98" priority="37" stopIfTrue="1">
      <formula>calcRPO=Q42</formula>
    </cfRule>
  </conditionalFormatting>
  <conditionalFormatting sqref="Q91:AB91">
    <cfRule type="expression" dxfId="97" priority="36" stopIfTrue="1">
      <formula>calcRPO=Q47</formula>
    </cfRule>
  </conditionalFormatting>
  <conditionalFormatting sqref="Q91:AB91">
    <cfRule type="expression" dxfId="96" priority="35" stopIfTrue="1">
      <formula>calcRPO=Q52</formula>
    </cfRule>
  </conditionalFormatting>
  <conditionalFormatting sqref="Q90:AB90">
    <cfRule type="expression" dxfId="95" priority="34" stopIfTrue="1">
      <formula>calcRPO=Q36</formula>
    </cfRule>
  </conditionalFormatting>
  <conditionalFormatting sqref="Q89:AB89">
    <cfRule type="expression" dxfId="94" priority="33" stopIfTrue="1">
      <formula>calcRPO=Q36</formula>
    </cfRule>
  </conditionalFormatting>
  <conditionalFormatting sqref="Q88:AB88">
    <cfRule type="expression" dxfId="93" priority="32" stopIfTrue="1">
      <formula>calcRPO=Q36</formula>
    </cfRule>
  </conditionalFormatting>
  <conditionalFormatting sqref="Q88:AB88">
    <cfRule type="expression" dxfId="92" priority="31" stopIfTrue="1">
      <formula>calcRPO=Q59</formula>
    </cfRule>
  </conditionalFormatting>
  <conditionalFormatting sqref="Q88:AB88">
    <cfRule type="expression" dxfId="91" priority="30" stopIfTrue="1">
      <formula>calcRPO=Q66</formula>
    </cfRule>
  </conditionalFormatting>
  <conditionalFormatting sqref="Q81:AB87">
    <cfRule type="expression" dxfId="90" priority="29" stopIfTrue="1">
      <formula>calcRPO=Q37</formula>
    </cfRule>
  </conditionalFormatting>
  <conditionalFormatting sqref="Q87:AB87">
    <cfRule type="expression" dxfId="89" priority="28" stopIfTrue="1">
      <formula>calcRPO=Q34</formula>
    </cfRule>
  </conditionalFormatting>
  <conditionalFormatting sqref="Q86:AB86">
    <cfRule type="expression" dxfId="88" priority="27" stopIfTrue="1">
      <formula>calcRPO=Q34</formula>
    </cfRule>
  </conditionalFormatting>
  <conditionalFormatting sqref="Q85:AB85">
    <cfRule type="expression" dxfId="87" priority="26" stopIfTrue="1">
      <formula>calcRPO=Q34</formula>
    </cfRule>
  </conditionalFormatting>
  <conditionalFormatting sqref="Q84:AB84">
    <cfRule type="expression" dxfId="86" priority="25" stopIfTrue="1">
      <formula>calcRPO=Q35</formula>
    </cfRule>
  </conditionalFormatting>
  <conditionalFormatting sqref="Q84:AB84">
    <cfRule type="expression" dxfId="85" priority="24" stopIfTrue="1">
      <formula>calcRPO=Q40</formula>
    </cfRule>
  </conditionalFormatting>
  <conditionalFormatting sqref="Q84:AB84">
    <cfRule type="expression" dxfId="84" priority="23" stopIfTrue="1">
      <formula>calcRPO=Q45</formula>
    </cfRule>
  </conditionalFormatting>
  <conditionalFormatting sqref="Q83:AB83">
    <cfRule type="expression" dxfId="83" priority="22" stopIfTrue="1">
      <formula>calcRPO=Q29</formula>
    </cfRule>
  </conditionalFormatting>
  <conditionalFormatting sqref="Q82:AB82">
    <cfRule type="expression" dxfId="82" priority="21" stopIfTrue="1">
      <formula>calcRPO=Q29</formula>
    </cfRule>
  </conditionalFormatting>
  <conditionalFormatting sqref="Q81:AB81">
    <cfRule type="expression" dxfId="81" priority="20" stopIfTrue="1">
      <formula>calcRPO=Q29</formula>
    </cfRule>
  </conditionalFormatting>
  <conditionalFormatting sqref="Q81:AB81">
    <cfRule type="expression" dxfId="80" priority="19" stopIfTrue="1">
      <formula>calcRPO=Q52</formula>
    </cfRule>
  </conditionalFormatting>
  <conditionalFormatting sqref="Q81:AB81">
    <cfRule type="expression" dxfId="79" priority="18" stopIfTrue="1">
      <formula>calcRPO=Q59</formula>
    </cfRule>
  </conditionalFormatting>
  <conditionalFormatting sqref="Q81:AB87">
    <cfRule type="expression" dxfId="78" priority="17" stopIfTrue="1">
      <formula>calcRPO=Q44</formula>
    </cfRule>
  </conditionalFormatting>
  <conditionalFormatting sqref="Q132:AB132 Q103:AB103 Q109:AB109">
    <cfRule type="expression" dxfId="77" priority="153" stopIfTrue="1">
      <formula>calcRPO=Q101</formula>
    </cfRule>
  </conditionalFormatting>
  <conditionalFormatting sqref="Q81:AB81">
    <cfRule type="expression" dxfId="76" priority="164" stopIfTrue="1">
      <formula>calcRPO=Q66</formula>
    </cfRule>
  </conditionalFormatting>
  <conditionalFormatting sqref="R104:S108">
    <cfRule type="expression" dxfId="75" priority="174" stopIfTrue="1">
      <formula>calcRPO=R91</formula>
    </cfRule>
  </conditionalFormatting>
  <conditionalFormatting sqref="R104:S108">
    <cfRule type="expression" dxfId="74" priority="177" stopIfTrue="1">
      <formula>calcRPO=R96</formula>
    </cfRule>
  </conditionalFormatting>
  <conditionalFormatting sqref="R104:S108">
    <cfRule type="expression" dxfId="73" priority="180" stopIfTrue="1">
      <formula>calcRPO=R86</formula>
    </cfRule>
  </conditionalFormatting>
  <conditionalFormatting sqref="R103:S103 R114:S115 R127:S128">
    <cfRule type="expression" dxfId="72" priority="192" stopIfTrue="1">
      <formula>calcRPO=R86</formula>
    </cfRule>
  </conditionalFormatting>
  <conditionalFormatting sqref="R103:S103 R114:S115">
    <cfRule type="expression" dxfId="71" priority="194" stopIfTrue="1">
      <formula>calcRPO=R91</formula>
    </cfRule>
  </conditionalFormatting>
  <conditionalFormatting sqref="R103:S103">
    <cfRule type="expression" dxfId="70" priority="196" stopIfTrue="1">
      <formula>calcRPO=R96</formula>
    </cfRule>
  </conditionalFormatting>
  <conditionalFormatting sqref="Q103:AB103">
    <cfRule type="expression" dxfId="69" priority="200" stopIfTrue="1">
      <formula>calcRPO=Q58</formula>
    </cfRule>
  </conditionalFormatting>
  <conditionalFormatting sqref="Q103:AB103">
    <cfRule type="expression" dxfId="68" priority="205" stopIfTrue="1">
      <formula>calcRPO=Q65</formula>
    </cfRule>
  </conditionalFormatting>
  <conditionalFormatting sqref="R104:S104 Q110:AB110 Q114:AB114">
    <cfRule type="expression" dxfId="67" priority="206" stopIfTrue="1">
      <formula>calcRPO=Q101</formula>
    </cfRule>
  </conditionalFormatting>
  <conditionalFormatting sqref="R118:S121 R116:S116">
    <cfRule type="expression" dxfId="66" priority="229" stopIfTrue="1">
      <formula>calcRPO=R102</formula>
    </cfRule>
  </conditionalFormatting>
  <conditionalFormatting sqref="R128:S129">
    <cfRule type="expression" dxfId="65" priority="231" stopIfTrue="1">
      <formula>calcRPO=R104</formula>
    </cfRule>
  </conditionalFormatting>
  <conditionalFormatting sqref="Q109:AB109">
    <cfRule type="expression" dxfId="64" priority="245" stopIfTrue="1">
      <formula>calcRPO=Q62</formula>
    </cfRule>
  </conditionalFormatting>
  <conditionalFormatting sqref="Q109:AB109">
    <cfRule type="expression" dxfId="63" priority="247" stopIfTrue="1">
      <formula>calcRPO=Q67</formula>
    </cfRule>
  </conditionalFormatting>
  <conditionalFormatting sqref="R109:S109">
    <cfRule type="expression" dxfId="62" priority="250" stopIfTrue="1">
      <formula>calcRPO=R95</formula>
    </cfRule>
  </conditionalFormatting>
  <conditionalFormatting sqref="R109:S109">
    <cfRule type="expression" dxfId="61" priority="252" stopIfTrue="1">
      <formula>calcRPO=R100</formula>
    </cfRule>
  </conditionalFormatting>
  <conditionalFormatting sqref="R109:S109 R123:S126 R116:S116">
    <cfRule type="expression" dxfId="60" priority="254" stopIfTrue="1">
      <formula>calcRPO=R90</formula>
    </cfRule>
  </conditionalFormatting>
  <conditionalFormatting sqref="Q110:AB113">
    <cfRule type="expression" dxfId="59" priority="263" stopIfTrue="1">
      <formula>calcRPO=Q62</formula>
    </cfRule>
  </conditionalFormatting>
  <conditionalFormatting sqref="R118:S129">
    <cfRule type="expression" dxfId="58" priority="274" stopIfTrue="1">
      <formula>calcRPO=R87</formula>
    </cfRule>
  </conditionalFormatting>
  <conditionalFormatting sqref="R117:S117">
    <cfRule type="expression" dxfId="57" priority="287" stopIfTrue="1">
      <formula>calcRPO=R87</formula>
    </cfRule>
  </conditionalFormatting>
  <conditionalFormatting sqref="R116:S116">
    <cfRule type="expression" dxfId="56" priority="289" stopIfTrue="1">
      <formula>calcRPO=R87</formula>
    </cfRule>
  </conditionalFormatting>
  <conditionalFormatting sqref="Q116:AB116">
    <cfRule type="expression" dxfId="55" priority="292" stopIfTrue="1">
      <formula>calcRPO=Q56</formula>
    </cfRule>
  </conditionalFormatting>
  <conditionalFormatting sqref="Q117:AB117">
    <cfRule type="expression" dxfId="54" priority="295" stopIfTrue="1">
      <formula>calcRPO=Q111</formula>
    </cfRule>
  </conditionalFormatting>
  <conditionalFormatting sqref="R122:S123">
    <cfRule type="expression" dxfId="53" priority="297" stopIfTrue="1">
      <formula>calcRPO=R110</formula>
    </cfRule>
  </conditionalFormatting>
  <conditionalFormatting sqref="Q118:AB118">
    <cfRule type="expression" dxfId="52" priority="299" stopIfTrue="1">
      <formula>calcRPO=Q111</formula>
    </cfRule>
  </conditionalFormatting>
  <conditionalFormatting sqref="R117:S117 R110:S113">
    <cfRule type="expression" dxfId="51" priority="302" stopIfTrue="1">
      <formula>calcRPO=R90</formula>
    </cfRule>
  </conditionalFormatting>
  <conditionalFormatting sqref="Q116:AB116">
    <cfRule type="expression" dxfId="50" priority="305" stopIfTrue="1">
      <formula>calcRPO=Q64</formula>
    </cfRule>
  </conditionalFormatting>
  <conditionalFormatting sqref="R114:S115">
    <cfRule type="expression" dxfId="49" priority="318" stopIfTrue="1">
      <formula>calcRPO=R87</formula>
    </cfRule>
  </conditionalFormatting>
  <conditionalFormatting sqref="Q114:AB115">
    <cfRule type="expression" dxfId="48" priority="323" stopIfTrue="1">
      <formula>calcRPO=Q56</formula>
    </cfRule>
  </conditionalFormatting>
  <conditionalFormatting sqref="Q116:AB116">
    <cfRule type="expression" dxfId="47" priority="330" stopIfTrue="1">
      <formula>calcRPO=Q111</formula>
    </cfRule>
  </conditionalFormatting>
  <conditionalFormatting sqref="Q114:AB115">
    <cfRule type="expression" dxfId="46" priority="333" stopIfTrue="1">
      <formula>calcRPO=Q64</formula>
    </cfRule>
  </conditionalFormatting>
  <conditionalFormatting sqref="R110:S113">
    <cfRule type="expression" dxfId="45" priority="334" stopIfTrue="1">
      <formula>calcRPO=R100</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207"/>
  <sheetViews>
    <sheetView showGridLines="0" showRowColHeaders="0" zoomScale="85" zoomScaleNormal="85" zoomScaleSheetLayoutView="100" workbookViewId="0">
      <selection activeCell="B1" sqref="B1:T1"/>
    </sheetView>
  </sheetViews>
  <sheetFormatPr defaultRowHeight="12.75" x14ac:dyDescent="0.2"/>
  <cols>
    <col min="1" max="1" width="3.42578125" customWidth="1"/>
    <col min="2" max="2" width="3.42578125" style="719" customWidth="1"/>
    <col min="3" max="3" width="47.5703125" bestFit="1" customWidth="1"/>
    <col min="4" max="4" width="22.140625" customWidth="1"/>
    <col min="5" max="10" width="4.7109375" bestFit="1" customWidth="1"/>
    <col min="11" max="20" width="5.7109375" bestFit="1" customWidth="1"/>
  </cols>
  <sheetData>
    <row r="1" spans="1:20" ht="15" x14ac:dyDescent="0.2">
      <c r="A1" s="1028"/>
      <c r="B1" s="1167" t="s">
        <v>272</v>
      </c>
      <c r="C1" s="1168"/>
      <c r="D1" s="1168"/>
      <c r="E1" s="1168"/>
      <c r="F1" s="1168"/>
      <c r="G1" s="1168"/>
      <c r="H1" s="1168"/>
      <c r="I1" s="1168"/>
      <c r="J1" s="1168"/>
      <c r="K1" s="1168"/>
      <c r="L1" s="1168"/>
      <c r="M1" s="1168"/>
      <c r="N1" s="1168"/>
      <c r="O1" s="1168"/>
      <c r="P1" s="1168"/>
      <c r="Q1" s="1168"/>
      <c r="R1" s="1168"/>
      <c r="S1" s="1168"/>
      <c r="T1" s="1169"/>
    </row>
    <row r="2" spans="1:20" ht="15" x14ac:dyDescent="0.25">
      <c r="A2" s="1028"/>
      <c r="B2" s="1032"/>
      <c r="C2" s="82"/>
      <c r="D2" s="33"/>
      <c r="E2" s="33"/>
      <c r="F2" s="33"/>
      <c r="G2" s="33"/>
      <c r="H2" s="61"/>
      <c r="I2" s="61"/>
      <c r="J2" s="61"/>
      <c r="K2" s="61"/>
      <c r="L2" s="82"/>
      <c r="M2" s="1027"/>
      <c r="T2" s="1028"/>
    </row>
    <row r="3" spans="1:20" ht="15" x14ac:dyDescent="0.2">
      <c r="A3" s="1028"/>
      <c r="B3" s="1172" t="s">
        <v>1811</v>
      </c>
      <c r="C3" s="1171"/>
      <c r="D3" s="1171"/>
      <c r="E3" s="1171"/>
      <c r="F3" s="1171"/>
      <c r="G3" s="1171"/>
      <c r="H3" s="1171"/>
      <c r="I3" s="1171"/>
      <c r="J3" s="1171"/>
      <c r="K3" s="1171"/>
      <c r="L3" s="1171"/>
      <c r="M3" s="1171"/>
      <c r="N3" s="1171"/>
      <c r="O3" s="1171"/>
      <c r="P3" s="1171"/>
      <c r="Q3" s="1171"/>
      <c r="R3" s="1171"/>
      <c r="S3" s="1171"/>
      <c r="T3" s="1173"/>
    </row>
    <row r="4" spans="1:20" ht="15" x14ac:dyDescent="0.25">
      <c r="A4" s="1028"/>
      <c r="B4" s="1032"/>
      <c r="C4" s="213"/>
      <c r="D4" s="366"/>
      <c r="E4" s="58"/>
      <c r="F4" s="58"/>
      <c r="G4" s="218"/>
      <c r="H4" s="1031"/>
      <c r="I4" s="1031"/>
      <c r="J4" s="1031"/>
      <c r="K4" s="53"/>
      <c r="L4" s="53"/>
      <c r="M4" s="1027"/>
      <c r="T4" s="1028"/>
    </row>
    <row r="5" spans="1:20" x14ac:dyDescent="0.2">
      <c r="A5" s="1028"/>
      <c r="B5" s="1032"/>
      <c r="C5" s="1027"/>
      <c r="D5" s="1027"/>
      <c r="E5" s="1027"/>
      <c r="F5" s="1027"/>
      <c r="G5" s="1027"/>
      <c r="H5" s="1027"/>
      <c r="I5" s="1027"/>
      <c r="J5" s="1027"/>
      <c r="K5" s="1027"/>
      <c r="L5" s="1027"/>
      <c r="M5" s="1027"/>
      <c r="T5" s="1028"/>
    </row>
    <row r="6" spans="1:20" x14ac:dyDescent="0.2">
      <c r="A6" s="1028"/>
      <c r="B6" s="1032"/>
      <c r="C6" s="1027"/>
      <c r="D6" s="1027"/>
      <c r="E6" s="1027"/>
      <c r="F6" s="1027"/>
      <c r="G6" s="1027"/>
      <c r="H6" s="1027"/>
      <c r="I6" s="1027"/>
      <c r="J6" s="1027"/>
      <c r="K6" s="1027"/>
      <c r="L6" s="1027"/>
      <c r="M6" s="1027"/>
      <c r="T6" s="1028"/>
    </row>
    <row r="7" spans="1:20" x14ac:dyDescent="0.2">
      <c r="A7" s="1028"/>
      <c r="B7" s="1032"/>
      <c r="C7" s="1027"/>
      <c r="D7" s="1027"/>
      <c r="E7" s="1027"/>
      <c r="F7" s="1027"/>
      <c r="G7" s="1027"/>
      <c r="H7" s="1027"/>
      <c r="I7" s="1027"/>
      <c r="J7" s="1027"/>
      <c r="K7" s="1027"/>
      <c r="L7" s="1027"/>
      <c r="M7" s="1027"/>
      <c r="T7" s="1028"/>
    </row>
    <row r="8" spans="1:20" x14ac:dyDescent="0.2">
      <c r="A8" s="1028"/>
      <c r="B8" s="1032"/>
      <c r="C8" s="1027"/>
      <c r="D8" s="1027"/>
      <c r="E8" s="1027"/>
      <c r="F8" s="1027"/>
      <c r="G8" s="1027"/>
      <c r="H8" s="1027"/>
      <c r="I8" s="1027"/>
      <c r="J8" s="1027"/>
      <c r="K8" s="1027"/>
      <c r="L8" s="1027"/>
      <c r="M8" s="1027"/>
      <c r="T8" s="1028"/>
    </row>
    <row r="9" spans="1:20" x14ac:dyDescent="0.2">
      <c r="A9" s="1028"/>
      <c r="B9" s="1032"/>
      <c r="C9" s="1027"/>
      <c r="D9" s="1027"/>
      <c r="E9" s="1027"/>
      <c r="F9" s="1027"/>
      <c r="G9" s="1027"/>
      <c r="H9" s="1027"/>
      <c r="I9" s="1027"/>
      <c r="J9" s="1027"/>
      <c r="K9" s="1027"/>
      <c r="L9" s="1027"/>
      <c r="M9" s="1027"/>
      <c r="T9" s="1028"/>
    </row>
    <row r="10" spans="1:20" x14ac:dyDescent="0.2">
      <c r="A10" s="1028"/>
      <c r="B10" s="1032"/>
      <c r="C10" s="1027"/>
      <c r="D10" s="1027"/>
      <c r="E10" s="1027"/>
      <c r="F10" s="1027"/>
      <c r="G10" s="1027"/>
      <c r="H10" s="1027"/>
      <c r="I10" s="1027"/>
      <c r="J10" s="1027"/>
      <c r="K10" s="1027"/>
      <c r="L10" s="1027"/>
      <c r="M10" s="1027"/>
      <c r="T10" s="1028"/>
    </row>
    <row r="11" spans="1:20" x14ac:dyDescent="0.2">
      <c r="A11" s="1028"/>
      <c r="B11" s="1032"/>
      <c r="C11" s="1027"/>
      <c r="D11" s="1027"/>
      <c r="E11" s="1027"/>
      <c r="F11" s="1027"/>
      <c r="G11" s="1027"/>
      <c r="H11" s="1027"/>
      <c r="I11" s="1027"/>
      <c r="J11" s="1027"/>
      <c r="K11" s="1027"/>
      <c r="L11" s="1027"/>
      <c r="M11" s="1027"/>
      <c r="T11" s="1028"/>
    </row>
    <row r="12" spans="1:20" x14ac:dyDescent="0.2">
      <c r="A12" s="1028"/>
      <c r="B12" s="1032"/>
      <c r="C12" s="1027"/>
      <c r="D12" s="1027"/>
      <c r="E12" s="1027"/>
      <c r="F12" s="1027"/>
      <c r="G12" s="1027"/>
      <c r="H12" s="1027"/>
      <c r="I12" s="1027"/>
      <c r="J12" s="1027"/>
      <c r="K12" s="1027"/>
      <c r="L12" s="1027"/>
      <c r="M12" s="1027"/>
      <c r="T12" s="1028"/>
    </row>
    <row r="13" spans="1:20" x14ac:dyDescent="0.2">
      <c r="A13" s="1028"/>
      <c r="B13" s="1032"/>
      <c r="C13" s="1027"/>
      <c r="D13" s="1027"/>
      <c r="E13" s="1027"/>
      <c r="F13" s="1027"/>
      <c r="G13" s="1027"/>
      <c r="H13" s="1027"/>
      <c r="I13" s="1027"/>
      <c r="J13" s="1027"/>
      <c r="K13" s="1027"/>
      <c r="L13" s="1027"/>
      <c r="M13" s="1027"/>
      <c r="T13" s="1028"/>
    </row>
    <row r="14" spans="1:20" x14ac:dyDescent="0.2">
      <c r="A14" s="1028"/>
      <c r="B14" s="1032"/>
      <c r="C14" s="1027"/>
      <c r="D14" s="1027"/>
      <c r="E14" s="1027"/>
      <c r="F14" s="1027"/>
      <c r="G14" s="1027"/>
      <c r="H14" s="1027"/>
      <c r="I14" s="1027"/>
      <c r="J14" s="1027"/>
      <c r="K14" s="1027"/>
      <c r="L14" s="1027"/>
      <c r="M14" s="1027"/>
      <c r="T14" s="1028"/>
    </row>
    <row r="15" spans="1:20" x14ac:dyDescent="0.2">
      <c r="A15" s="1028"/>
      <c r="B15" s="1032"/>
      <c r="C15" s="1027"/>
      <c r="D15" s="1027"/>
      <c r="E15" s="1027"/>
      <c r="F15" s="1027"/>
      <c r="G15" s="1027"/>
      <c r="H15" s="1027"/>
      <c r="I15" s="1027"/>
      <c r="J15" s="1027"/>
      <c r="K15" s="1027"/>
      <c r="L15" s="1027"/>
      <c r="M15" s="1027"/>
      <c r="T15" s="1028"/>
    </row>
    <row r="16" spans="1:20" x14ac:dyDescent="0.2">
      <c r="A16" s="1028"/>
      <c r="B16" s="1032"/>
      <c r="C16" s="1027"/>
      <c r="D16" s="1027"/>
      <c r="E16" s="1027"/>
      <c r="F16" s="1027"/>
      <c r="G16" s="1027"/>
      <c r="H16" s="1027"/>
      <c r="I16" s="1027"/>
      <c r="J16" s="1027"/>
      <c r="K16" s="1027"/>
      <c r="L16" s="1027"/>
      <c r="M16" s="1027"/>
      <c r="T16" s="1028"/>
    </row>
    <row r="17" spans="1:25" x14ac:dyDescent="0.2">
      <c r="A17" s="1028"/>
      <c r="B17" s="1032"/>
      <c r="C17" s="1027"/>
      <c r="D17" s="1027"/>
      <c r="E17" s="1027"/>
      <c r="F17" s="1027"/>
      <c r="G17" s="1027"/>
      <c r="H17" s="1027"/>
      <c r="I17" s="1027"/>
      <c r="J17" s="1027"/>
      <c r="K17" s="1027"/>
      <c r="L17" s="1027"/>
      <c r="M17" s="1027"/>
      <c r="T17" s="1028"/>
    </row>
    <row r="18" spans="1:25" x14ac:dyDescent="0.2">
      <c r="A18" s="1028"/>
      <c r="B18" s="1032"/>
      <c r="C18" s="1027"/>
      <c r="D18" s="1027"/>
      <c r="E18" s="1027"/>
      <c r="F18" s="1027"/>
      <c r="G18" s="1027"/>
      <c r="H18" s="1027"/>
      <c r="I18" s="1027"/>
      <c r="J18" s="1027"/>
      <c r="K18" s="1027"/>
      <c r="L18" s="1027"/>
      <c r="M18" s="1027"/>
      <c r="T18" s="1028"/>
    </row>
    <row r="19" spans="1:25" x14ac:dyDescent="0.2">
      <c r="A19" s="1028"/>
      <c r="B19" s="1032"/>
      <c r="C19" s="1027"/>
      <c r="D19" s="1027"/>
      <c r="E19" s="1027"/>
      <c r="F19" s="1027"/>
      <c r="G19" s="1027"/>
      <c r="H19" s="1027"/>
      <c r="I19" s="1027"/>
      <c r="J19" s="1027"/>
      <c r="K19" s="1027"/>
      <c r="L19" s="1027"/>
      <c r="M19" s="1027"/>
      <c r="T19" s="1028"/>
    </row>
    <row r="20" spans="1:25" x14ac:dyDescent="0.2">
      <c r="A20" s="1028"/>
      <c r="B20" s="1032"/>
      <c r="C20" s="1027"/>
      <c r="D20" s="1027"/>
      <c r="E20" s="1027"/>
      <c r="F20" s="1027"/>
      <c r="G20" s="1027"/>
      <c r="H20" s="1027"/>
      <c r="I20" s="1027"/>
      <c r="J20" s="1027"/>
      <c r="K20" s="1027"/>
      <c r="L20" s="1027"/>
      <c r="M20" s="1027"/>
      <c r="T20" s="1028"/>
    </row>
    <row r="21" spans="1:25" x14ac:dyDescent="0.2">
      <c r="A21" s="1028"/>
      <c r="B21" s="1032"/>
      <c r="C21" s="1027"/>
      <c r="D21" s="1027"/>
      <c r="E21" s="1027"/>
      <c r="F21" s="1027"/>
      <c r="G21" s="1027"/>
      <c r="H21" s="1027"/>
      <c r="I21" s="1027"/>
      <c r="J21" s="1027"/>
      <c r="K21" s="1027"/>
      <c r="L21" s="1027"/>
      <c r="M21" s="1027"/>
      <c r="T21" s="1028"/>
    </row>
    <row r="22" spans="1:25" x14ac:dyDescent="0.2">
      <c r="A22" s="1028"/>
      <c r="B22" s="1032"/>
      <c r="C22" s="1027"/>
      <c r="D22" s="1027"/>
      <c r="E22" s="1027"/>
      <c r="F22" s="1027"/>
      <c r="G22" s="1027"/>
      <c r="H22" s="1027"/>
      <c r="I22" s="1027"/>
      <c r="J22" s="1027"/>
      <c r="K22" s="1027"/>
      <c r="L22" s="1027"/>
      <c r="M22" s="1027"/>
      <c r="T22" s="1028"/>
    </row>
    <row r="23" spans="1:25" x14ac:dyDescent="0.2">
      <c r="A23" s="1028"/>
      <c r="B23" s="1032"/>
      <c r="C23" s="1027"/>
      <c r="D23" s="1027"/>
      <c r="E23" s="1027"/>
      <c r="F23" s="1027"/>
      <c r="G23" s="1027"/>
      <c r="H23" s="1027"/>
      <c r="I23" s="1027"/>
      <c r="J23" s="1027"/>
      <c r="K23" s="1027"/>
      <c r="L23" s="1027"/>
      <c r="M23" s="1027"/>
      <c r="T23" s="1028"/>
    </row>
    <row r="24" spans="1:25" x14ac:dyDescent="0.2">
      <c r="A24" s="1028"/>
      <c r="B24" s="1032"/>
      <c r="C24" s="1027"/>
      <c r="D24" s="1027"/>
      <c r="E24" s="1027"/>
      <c r="F24" s="1027"/>
      <c r="G24" s="1027"/>
      <c r="H24" s="1027"/>
      <c r="I24" s="1027"/>
      <c r="J24" s="1027"/>
      <c r="K24" s="1027"/>
      <c r="L24" s="1027"/>
      <c r="M24" s="1027"/>
      <c r="T24" s="1028"/>
    </row>
    <row r="25" spans="1:25" x14ac:dyDescent="0.2">
      <c r="A25" s="1033"/>
      <c r="B25" s="1032"/>
      <c r="C25" s="1032"/>
      <c r="D25" s="1027"/>
      <c r="E25" s="1027"/>
      <c r="F25" s="1027"/>
      <c r="G25" s="1027"/>
      <c r="H25" s="1027"/>
      <c r="I25" s="1027"/>
      <c r="J25" s="1027"/>
      <c r="K25" s="1027"/>
      <c r="L25" s="1027"/>
      <c r="M25" s="1027"/>
      <c r="T25" s="1028"/>
    </row>
    <row r="26" spans="1:25" x14ac:dyDescent="0.2">
      <c r="A26" s="1033"/>
      <c r="B26" s="1032"/>
      <c r="C26" s="1032"/>
      <c r="D26" s="1027"/>
      <c r="E26" s="1027"/>
      <c r="F26" s="1027"/>
      <c r="G26" s="1027"/>
      <c r="H26" s="1027"/>
      <c r="I26" s="1027"/>
      <c r="J26" s="1027"/>
      <c r="K26" s="1027"/>
      <c r="L26" s="1027"/>
      <c r="M26" s="1027"/>
      <c r="T26" s="1028"/>
    </row>
    <row r="27" spans="1:25" x14ac:dyDescent="0.2">
      <c r="A27" s="1033"/>
      <c r="B27" s="1032"/>
      <c r="C27" s="1032"/>
      <c r="D27" s="1027"/>
      <c r="E27" s="1027"/>
      <c r="F27" s="1027"/>
      <c r="G27" s="1027"/>
      <c r="H27" s="1027"/>
      <c r="I27" s="1027"/>
      <c r="J27" s="1027"/>
      <c r="K27" s="1027"/>
      <c r="L27" s="1027"/>
      <c r="M27" s="1027"/>
      <c r="T27" s="1028"/>
    </row>
    <row r="28" spans="1:25" x14ac:dyDescent="0.2">
      <c r="A28" s="1033"/>
      <c r="B28" s="1032"/>
      <c r="C28" s="1032"/>
      <c r="D28" s="1027"/>
      <c r="E28" s="1027"/>
      <c r="F28" s="1027"/>
      <c r="G28" s="1027"/>
      <c r="H28" s="1027"/>
      <c r="I28" s="1027"/>
      <c r="J28" s="1027"/>
      <c r="K28" s="1027"/>
      <c r="L28" s="1027"/>
      <c r="M28" s="1027"/>
      <c r="T28" s="1028"/>
      <c r="Y28" s="1032"/>
    </row>
    <row r="29" spans="1:25" s="719" customFormat="1" x14ac:dyDescent="0.2">
      <c r="A29" s="1033"/>
      <c r="B29" s="1032"/>
      <c r="C29" s="1032"/>
      <c r="D29" s="1032"/>
      <c r="E29" s="1032"/>
      <c r="F29" s="1032"/>
      <c r="G29" s="1032"/>
      <c r="H29" s="1032"/>
      <c r="I29" s="1032"/>
      <c r="J29" s="1032"/>
      <c r="K29" s="1032"/>
      <c r="L29" s="1032"/>
      <c r="M29" s="1032"/>
      <c r="T29" s="1033"/>
      <c r="Y29" s="1032"/>
    </row>
    <row r="30" spans="1:25" s="719" customFormat="1" ht="15" x14ac:dyDescent="0.25">
      <c r="A30" s="1033"/>
      <c r="B30" s="1032"/>
      <c r="C30" s="604" t="s">
        <v>1829</v>
      </c>
      <c r="D30" s="604" t="s">
        <v>249</v>
      </c>
      <c r="E30" s="1032"/>
      <c r="F30" s="1032"/>
      <c r="G30" s="1032"/>
      <c r="H30" s="1032"/>
      <c r="I30" s="1032"/>
      <c r="J30" s="1032"/>
      <c r="K30" s="1032"/>
      <c r="L30" s="1032"/>
      <c r="M30" s="1032"/>
      <c r="T30" s="1033"/>
      <c r="Y30" s="1032"/>
    </row>
    <row r="31" spans="1:25" s="719" customFormat="1" ht="15" x14ac:dyDescent="0.25">
      <c r="A31" s="1033"/>
      <c r="B31" s="1032"/>
      <c r="C31" s="1068" t="s">
        <v>1822</v>
      </c>
      <c r="D31" s="1070">
        <f>IF(calcTier1MBX&lt;&gt;0,Tier1MBXSize/1024,"--")</f>
        <v>10.634765625</v>
      </c>
      <c r="E31" s="1032"/>
      <c r="F31" s="1032"/>
      <c r="G31" s="1032"/>
      <c r="H31" s="1032"/>
      <c r="I31" s="1032"/>
      <c r="J31" s="1032"/>
      <c r="K31" s="1032"/>
      <c r="L31" s="1032"/>
      <c r="M31" s="1032"/>
      <c r="T31" s="1033"/>
      <c r="Y31" s="1032"/>
    </row>
    <row r="32" spans="1:25" s="719" customFormat="1" ht="15" x14ac:dyDescent="0.25">
      <c r="A32" s="1033"/>
      <c r="B32" s="1032"/>
      <c r="C32" s="1071" t="s">
        <v>1828</v>
      </c>
      <c r="D32" s="1069">
        <f>calcTier1PredictCapMonths</f>
        <v>22.313311385137478</v>
      </c>
      <c r="E32" s="1032"/>
      <c r="F32" s="1032"/>
      <c r="G32" s="1032"/>
      <c r="H32" s="1032"/>
      <c r="I32" s="1032"/>
      <c r="J32" s="1032"/>
      <c r="K32" s="1032"/>
      <c r="L32" s="1032"/>
      <c r="M32" s="1032"/>
      <c r="T32" s="1033"/>
      <c r="Y32" s="1032"/>
    </row>
    <row r="33" spans="1:26" x14ac:dyDescent="0.2">
      <c r="A33" s="1033"/>
      <c r="B33" s="1032"/>
      <c r="C33" s="1032"/>
      <c r="D33" s="1027"/>
      <c r="E33" s="1027"/>
      <c r="F33" s="1027"/>
      <c r="G33" s="1027"/>
      <c r="H33" s="1027"/>
      <c r="I33" s="1027"/>
      <c r="J33" s="1027"/>
      <c r="K33" s="1027"/>
      <c r="L33" s="1027"/>
      <c r="M33" s="1027"/>
      <c r="T33" s="1028"/>
      <c r="Y33" s="1032"/>
    </row>
    <row r="34" spans="1:26" x14ac:dyDescent="0.2">
      <c r="A34" s="1033"/>
      <c r="B34" s="1032"/>
      <c r="C34" s="1032"/>
      <c r="D34" s="1027"/>
      <c r="E34" s="1027"/>
      <c r="F34" s="1027"/>
      <c r="G34" s="1027"/>
      <c r="H34" s="1027"/>
      <c r="I34" s="1027"/>
      <c r="J34" s="1027"/>
      <c r="K34" s="1027"/>
      <c r="L34" s="1027"/>
      <c r="M34" s="1027"/>
      <c r="T34" s="1028"/>
      <c r="Y34" s="1032"/>
    </row>
    <row r="35" spans="1:26" x14ac:dyDescent="0.2">
      <c r="A35" s="1033"/>
      <c r="B35" s="1032"/>
      <c r="C35" s="1032"/>
      <c r="D35" s="1027"/>
      <c r="E35" s="1027"/>
      <c r="F35" s="1027"/>
      <c r="G35" s="1027"/>
      <c r="H35" s="1027"/>
      <c r="I35" s="1027"/>
      <c r="J35" s="1027"/>
      <c r="K35" s="1027"/>
      <c r="L35" s="1027"/>
      <c r="M35" s="1027"/>
      <c r="T35" s="1028"/>
    </row>
    <row r="36" spans="1:26" x14ac:dyDescent="0.2">
      <c r="A36" s="1033"/>
      <c r="B36" s="1032"/>
      <c r="C36" s="1032"/>
      <c r="D36" s="1027"/>
      <c r="E36" s="1027"/>
      <c r="F36" s="1027"/>
      <c r="G36" s="1027"/>
      <c r="H36" s="1027"/>
      <c r="I36" s="1027"/>
      <c r="J36" s="1027"/>
      <c r="K36" s="1027"/>
      <c r="L36" s="1027"/>
      <c r="M36" s="1027"/>
      <c r="T36" s="1028"/>
    </row>
    <row r="37" spans="1:26" x14ac:dyDescent="0.2">
      <c r="A37" s="1033"/>
      <c r="B37" s="1032"/>
      <c r="C37" s="1032"/>
      <c r="D37" s="1027"/>
      <c r="E37" s="1027"/>
      <c r="F37" s="1027"/>
      <c r="G37" s="1027"/>
      <c r="H37" s="1027"/>
      <c r="I37" s="1027"/>
      <c r="J37" s="1027"/>
      <c r="K37" s="1027"/>
      <c r="L37" s="1027"/>
      <c r="M37" s="1027"/>
      <c r="T37" s="1028"/>
    </row>
    <row r="38" spans="1:26" x14ac:dyDescent="0.2">
      <c r="A38" s="1033"/>
      <c r="B38" s="1032"/>
      <c r="C38" s="1032"/>
      <c r="D38" s="1027"/>
      <c r="E38" s="1027"/>
      <c r="F38" s="1027"/>
      <c r="G38" s="1027"/>
      <c r="H38" s="1027"/>
      <c r="I38" s="1027"/>
      <c r="J38" s="1027"/>
      <c r="K38" s="1027"/>
      <c r="L38" s="1027"/>
      <c r="M38" s="1027"/>
      <c r="T38" s="1028"/>
    </row>
    <row r="39" spans="1:26" x14ac:dyDescent="0.2">
      <c r="A39" s="1033"/>
      <c r="B39" s="1032"/>
      <c r="C39" s="1032"/>
      <c r="D39" s="1027"/>
      <c r="E39" s="1027"/>
      <c r="F39" s="1027"/>
      <c r="G39" s="1027"/>
      <c r="H39" s="1027"/>
      <c r="I39" s="1027"/>
      <c r="J39" s="1027"/>
      <c r="K39" s="1027"/>
      <c r="L39" s="1027"/>
      <c r="M39" s="1027"/>
      <c r="T39" s="1028"/>
    </row>
    <row r="40" spans="1:26" x14ac:dyDescent="0.2">
      <c r="A40" s="1033"/>
      <c r="B40" s="1032"/>
      <c r="C40" s="1032"/>
      <c r="D40" s="1027"/>
      <c r="E40" s="1027"/>
      <c r="F40" s="1027"/>
      <c r="G40" s="1027"/>
      <c r="H40" s="1027"/>
      <c r="I40" s="1027"/>
      <c r="J40" s="1027"/>
      <c r="K40" s="1027"/>
      <c r="L40" s="1027"/>
      <c r="M40" s="1027"/>
      <c r="T40" s="1028"/>
    </row>
    <row r="41" spans="1:26" x14ac:dyDescent="0.2">
      <c r="A41" s="1033"/>
      <c r="B41" s="1032"/>
      <c r="C41" s="1032"/>
      <c r="D41" s="1027"/>
      <c r="E41" s="1027"/>
      <c r="F41" s="1027"/>
      <c r="G41" s="1027"/>
      <c r="H41" s="1027"/>
      <c r="I41" s="1027"/>
      <c r="J41" s="1027"/>
      <c r="K41" s="1027"/>
      <c r="L41" s="1027"/>
      <c r="M41" s="1027"/>
      <c r="T41" s="1028"/>
      <c r="Z41" s="1032"/>
    </row>
    <row r="42" spans="1:26" x14ac:dyDescent="0.2">
      <c r="A42" s="1033"/>
      <c r="B42" s="1032"/>
      <c r="C42" s="1032"/>
      <c r="D42" s="1027"/>
      <c r="E42" s="1027"/>
      <c r="F42" s="1027"/>
      <c r="G42" s="1027"/>
      <c r="H42" s="1027"/>
      <c r="I42" s="1027"/>
      <c r="J42" s="1027"/>
      <c r="K42" s="1027"/>
      <c r="L42" s="1027"/>
      <c r="M42" s="1027"/>
      <c r="T42" s="1028"/>
    </row>
    <row r="43" spans="1:26" x14ac:dyDescent="0.2">
      <c r="A43" s="1033"/>
      <c r="B43" s="1032"/>
      <c r="C43" s="1032"/>
      <c r="D43" s="1027"/>
      <c r="E43" s="1027"/>
      <c r="F43" s="1027"/>
      <c r="G43" s="1027"/>
      <c r="H43" s="1027"/>
      <c r="I43" s="1027"/>
      <c r="J43" s="1027"/>
      <c r="K43" s="1027"/>
      <c r="L43" s="1027"/>
      <c r="M43" s="1027"/>
      <c r="T43" s="1028"/>
    </row>
    <row r="44" spans="1:26" x14ac:dyDescent="0.2">
      <c r="A44" s="1033"/>
      <c r="B44" s="1032"/>
      <c r="C44" s="1032"/>
      <c r="D44" s="1027"/>
      <c r="E44" s="1027"/>
      <c r="F44" s="1027"/>
      <c r="G44" s="1027"/>
      <c r="H44" s="1027"/>
      <c r="I44" s="1027"/>
      <c r="J44" s="1027"/>
      <c r="K44" s="1027"/>
      <c r="L44" s="1027"/>
      <c r="M44" s="1027"/>
      <c r="T44" s="1028"/>
    </row>
    <row r="45" spans="1:26" x14ac:dyDescent="0.2">
      <c r="A45" s="1033"/>
      <c r="B45" s="1032"/>
      <c r="C45" s="1032"/>
      <c r="D45" s="1027"/>
      <c r="E45" s="1027"/>
      <c r="F45" s="1027"/>
      <c r="G45" s="1027"/>
      <c r="H45" s="1027"/>
      <c r="I45" s="1027"/>
      <c r="J45" s="1027"/>
      <c r="K45" s="1027"/>
      <c r="L45" s="1027"/>
      <c r="M45" s="1027"/>
      <c r="T45" s="1028"/>
    </row>
    <row r="46" spans="1:26" x14ac:dyDescent="0.2">
      <c r="A46" s="1033"/>
      <c r="B46" s="1032"/>
      <c r="C46" s="1032"/>
      <c r="D46" s="1027"/>
      <c r="E46" s="1027"/>
      <c r="F46" s="1027"/>
      <c r="G46" s="1027"/>
      <c r="H46" s="1027"/>
      <c r="I46" s="1027"/>
      <c r="J46" s="1027"/>
      <c r="K46" s="1027"/>
      <c r="L46" s="1027"/>
      <c r="M46" s="1027"/>
      <c r="T46" s="1028"/>
    </row>
    <row r="47" spans="1:26" x14ac:dyDescent="0.2">
      <c r="A47" s="1033"/>
      <c r="B47" s="1032"/>
      <c r="C47" s="1032"/>
      <c r="D47" s="1027"/>
      <c r="E47" s="1027"/>
      <c r="F47" s="1027"/>
      <c r="G47" s="1027"/>
      <c r="H47" s="1027"/>
      <c r="I47" s="1027"/>
      <c r="J47" s="1027"/>
      <c r="K47" s="1027"/>
      <c r="L47" s="1027"/>
      <c r="M47" s="1027"/>
      <c r="T47" s="1028"/>
    </row>
    <row r="48" spans="1:26" x14ac:dyDescent="0.2">
      <c r="A48" s="1033"/>
      <c r="B48" s="1032"/>
      <c r="C48" s="1032"/>
      <c r="D48" s="1027"/>
      <c r="E48" s="1027"/>
      <c r="F48" s="1027"/>
      <c r="G48" s="1027"/>
      <c r="H48" s="1027"/>
      <c r="I48" s="1027"/>
      <c r="J48" s="1027"/>
      <c r="K48" s="1027"/>
      <c r="L48" s="1027"/>
      <c r="M48" s="1027"/>
      <c r="T48" s="1028"/>
    </row>
    <row r="49" spans="1:20" x14ac:dyDescent="0.2">
      <c r="A49" s="1033"/>
      <c r="B49" s="1032"/>
      <c r="C49" s="1032"/>
      <c r="D49" s="1027"/>
      <c r="E49" s="1027"/>
      <c r="F49" s="1027"/>
      <c r="G49" s="1027"/>
      <c r="H49" s="1027"/>
      <c r="I49" s="1027"/>
      <c r="J49" s="1027"/>
      <c r="K49" s="1027"/>
      <c r="L49" s="1027"/>
      <c r="M49" s="1027"/>
      <c r="T49" s="1028"/>
    </row>
    <row r="50" spans="1:20" x14ac:dyDescent="0.2">
      <c r="A50" s="1033"/>
      <c r="B50" s="1032"/>
      <c r="C50" s="1032"/>
      <c r="D50" s="1027"/>
      <c r="E50" s="1027"/>
      <c r="F50" s="1027"/>
      <c r="G50" s="1027"/>
      <c r="H50" s="1027"/>
      <c r="I50" s="1027"/>
      <c r="J50" s="1027"/>
      <c r="K50" s="1027"/>
      <c r="L50" s="1027"/>
      <c r="M50" s="1027"/>
      <c r="T50" s="1028"/>
    </row>
    <row r="51" spans="1:20" x14ac:dyDescent="0.2">
      <c r="A51" s="1033"/>
      <c r="B51" s="1032"/>
      <c r="C51" s="1032"/>
      <c r="D51" s="1027"/>
      <c r="E51" s="1027"/>
      <c r="F51" s="1027"/>
      <c r="G51" s="1027"/>
      <c r="H51" s="1027"/>
      <c r="I51" s="1027"/>
      <c r="J51" s="1027"/>
      <c r="K51" s="1027"/>
      <c r="L51" s="1027"/>
      <c r="M51" s="1027"/>
      <c r="T51" s="1028"/>
    </row>
    <row r="52" spans="1:20" x14ac:dyDescent="0.2">
      <c r="A52" s="1033"/>
      <c r="B52" s="1032"/>
      <c r="C52" s="1032"/>
      <c r="D52" s="1027"/>
      <c r="E52" s="1027"/>
      <c r="F52" s="1027"/>
      <c r="G52" s="1027"/>
      <c r="H52" s="1027"/>
      <c r="I52" s="1027"/>
      <c r="J52" s="1027"/>
      <c r="K52" s="1027"/>
      <c r="L52" s="1027"/>
      <c r="M52" s="1027"/>
      <c r="T52" s="1028"/>
    </row>
    <row r="53" spans="1:20" x14ac:dyDescent="0.2">
      <c r="A53" s="1033"/>
      <c r="B53" s="1032"/>
      <c r="C53" s="1032"/>
      <c r="D53" s="1027"/>
      <c r="E53" s="1027"/>
      <c r="F53" s="1027"/>
      <c r="G53" s="1027"/>
      <c r="H53" s="1027"/>
      <c r="I53" s="1027"/>
      <c r="J53" s="1027"/>
      <c r="K53" s="1027"/>
      <c r="L53" s="1027"/>
      <c r="M53" s="1027"/>
      <c r="T53" s="1028"/>
    </row>
    <row r="54" spans="1:20" x14ac:dyDescent="0.2">
      <c r="A54" s="1033"/>
      <c r="B54" s="1032"/>
      <c r="C54" s="1032"/>
      <c r="D54" s="1027"/>
      <c r="E54" s="1027"/>
      <c r="F54" s="1027"/>
      <c r="G54" s="1027"/>
      <c r="H54" s="1027"/>
      <c r="I54" s="1027"/>
      <c r="J54" s="1027"/>
      <c r="K54" s="1027"/>
      <c r="L54" s="1027"/>
      <c r="M54" s="1027"/>
      <c r="T54" s="1028"/>
    </row>
    <row r="55" spans="1:20" x14ac:dyDescent="0.2">
      <c r="A55" s="1033"/>
      <c r="B55" s="1032"/>
      <c r="C55" s="1032"/>
      <c r="D55" s="1027"/>
      <c r="E55" s="1027"/>
      <c r="F55" s="1027"/>
      <c r="G55" s="1027"/>
      <c r="H55" s="1027"/>
      <c r="I55" s="1027"/>
      <c r="J55" s="1027"/>
      <c r="K55" s="1027"/>
      <c r="L55" s="1027"/>
      <c r="M55" s="1027"/>
      <c r="T55" s="1028"/>
    </row>
    <row r="56" spans="1:20" x14ac:dyDescent="0.2">
      <c r="A56" s="1033"/>
      <c r="B56" s="1032"/>
      <c r="C56" s="1032"/>
      <c r="D56" s="1027"/>
      <c r="E56" s="1027"/>
      <c r="F56" s="1027"/>
      <c r="G56" s="1027"/>
      <c r="H56" s="1027"/>
      <c r="I56" s="1027"/>
      <c r="J56" s="1027"/>
      <c r="K56" s="1027"/>
      <c r="L56" s="1027"/>
      <c r="M56" s="1027"/>
      <c r="T56" s="1028"/>
    </row>
    <row r="57" spans="1:20" x14ac:dyDescent="0.2">
      <c r="A57" s="1033"/>
      <c r="B57" s="1032"/>
      <c r="C57" s="1032"/>
      <c r="D57" s="1027"/>
      <c r="E57" s="1027"/>
      <c r="F57" s="1027"/>
      <c r="G57" s="1027"/>
      <c r="H57" s="1027"/>
      <c r="I57" s="1027"/>
      <c r="J57" s="1027"/>
      <c r="K57" s="1027"/>
      <c r="L57" s="1027"/>
      <c r="M57" s="1027"/>
      <c r="T57" s="1028"/>
    </row>
    <row r="58" spans="1:20" s="719" customFormat="1" x14ac:dyDescent="0.2">
      <c r="A58" s="1033"/>
      <c r="B58" s="1032"/>
      <c r="C58" s="1032"/>
      <c r="D58" s="1032"/>
      <c r="E58" s="1032"/>
      <c r="F58" s="1032"/>
      <c r="G58" s="1032"/>
      <c r="H58" s="1032"/>
      <c r="I58" s="1032"/>
      <c r="J58" s="1032"/>
      <c r="K58" s="1032"/>
      <c r="L58" s="1032"/>
      <c r="M58" s="1032"/>
      <c r="T58" s="1033"/>
    </row>
    <row r="59" spans="1:20" s="719" customFormat="1" ht="15" x14ac:dyDescent="0.25">
      <c r="A59" s="1033"/>
      <c r="B59" s="1032"/>
      <c r="C59" s="604" t="s">
        <v>1830</v>
      </c>
      <c r="D59" s="604" t="s">
        <v>249</v>
      </c>
      <c r="E59" s="1032"/>
      <c r="F59" s="1032"/>
      <c r="G59" s="1032"/>
      <c r="H59" s="1032"/>
      <c r="I59" s="1032"/>
      <c r="J59" s="1032"/>
      <c r="K59" s="1032"/>
      <c r="L59" s="1032"/>
      <c r="M59" s="1032"/>
      <c r="T59" s="1033"/>
    </row>
    <row r="60" spans="1:20" s="719" customFormat="1" ht="15" x14ac:dyDescent="0.25">
      <c r="A60" s="1033"/>
      <c r="B60" s="1032"/>
      <c r="C60" s="1068" t="s">
        <v>1822</v>
      </c>
      <c r="D60" s="1072" t="str">
        <f>IF(calcTier2MBX&lt;&gt;0,Tier2MBXSize/1024,"--")</f>
        <v>--</v>
      </c>
      <c r="E60" s="1032"/>
      <c r="F60" s="1032"/>
      <c r="G60" s="1032"/>
      <c r="H60" s="1032"/>
      <c r="I60" s="1032"/>
      <c r="J60" s="1032"/>
      <c r="K60" s="1032"/>
      <c r="L60" s="1032"/>
      <c r="M60" s="1032"/>
      <c r="T60" s="1033"/>
    </row>
    <row r="61" spans="1:20" s="719" customFormat="1" ht="15" x14ac:dyDescent="0.25">
      <c r="A61" s="1033"/>
      <c r="B61" s="1032"/>
      <c r="C61" s="1071" t="s">
        <v>1828</v>
      </c>
      <c r="D61" s="1069">
        <f>calcTier2PredictCapMonths</f>
        <v>0</v>
      </c>
      <c r="E61" s="1032"/>
      <c r="F61" s="1032"/>
      <c r="G61" s="1032"/>
      <c r="H61" s="1032"/>
      <c r="I61" s="1032"/>
      <c r="J61" s="1032"/>
      <c r="K61" s="1032"/>
      <c r="L61" s="1032"/>
      <c r="M61" s="1032"/>
      <c r="T61" s="1033"/>
    </row>
    <row r="62" spans="1:20" s="719" customFormat="1" x14ac:dyDescent="0.2">
      <c r="A62" s="1033"/>
      <c r="B62" s="1032"/>
      <c r="C62" s="1032"/>
      <c r="D62" s="1032"/>
      <c r="E62" s="1032"/>
      <c r="F62" s="1032"/>
      <c r="G62" s="1032"/>
      <c r="H62" s="1032"/>
      <c r="I62" s="1032"/>
      <c r="J62" s="1032"/>
      <c r="K62" s="1032"/>
      <c r="L62" s="1032"/>
      <c r="M62" s="1032"/>
      <c r="T62" s="1033"/>
    </row>
    <row r="63" spans="1:20" s="719" customFormat="1" x14ac:dyDescent="0.2">
      <c r="A63" s="1033"/>
      <c r="B63" s="1032"/>
      <c r="C63" s="1032"/>
      <c r="D63" s="1032"/>
      <c r="E63" s="1032"/>
      <c r="F63" s="1032"/>
      <c r="G63" s="1032"/>
      <c r="H63" s="1032"/>
      <c r="I63" s="1032"/>
      <c r="J63" s="1032"/>
      <c r="K63" s="1032"/>
      <c r="L63" s="1032"/>
      <c r="M63" s="1032"/>
      <c r="T63" s="1033"/>
    </row>
    <row r="64" spans="1:20" s="719" customFormat="1" x14ac:dyDescent="0.2">
      <c r="A64" s="1033"/>
      <c r="B64" s="1032"/>
      <c r="C64" s="1032"/>
      <c r="D64" s="1032"/>
      <c r="E64" s="1032"/>
      <c r="F64" s="1032"/>
      <c r="G64" s="1032"/>
      <c r="H64" s="1032"/>
      <c r="I64" s="1032"/>
      <c r="J64" s="1032"/>
      <c r="K64" s="1032"/>
      <c r="L64" s="1032"/>
      <c r="M64" s="1032"/>
      <c r="T64" s="1033"/>
    </row>
    <row r="65" spans="1:20" s="719" customFormat="1" x14ac:dyDescent="0.2">
      <c r="A65" s="1033"/>
      <c r="B65" s="1032"/>
      <c r="C65" s="1032"/>
      <c r="D65" s="1032"/>
      <c r="E65" s="1032"/>
      <c r="F65" s="1032"/>
      <c r="G65" s="1032"/>
      <c r="H65" s="1032"/>
      <c r="I65" s="1032"/>
      <c r="J65" s="1032"/>
      <c r="K65" s="1032"/>
      <c r="L65" s="1032"/>
      <c r="M65" s="1032"/>
      <c r="T65" s="1033"/>
    </row>
    <row r="66" spans="1:20" s="719" customFormat="1" x14ac:dyDescent="0.2">
      <c r="A66" s="1033"/>
      <c r="B66" s="1032"/>
      <c r="C66" s="1032"/>
      <c r="D66" s="1032"/>
      <c r="E66" s="1032"/>
      <c r="F66" s="1032"/>
      <c r="G66" s="1032"/>
      <c r="H66" s="1032"/>
      <c r="I66" s="1032"/>
      <c r="J66" s="1032"/>
      <c r="K66" s="1032"/>
      <c r="L66" s="1032"/>
      <c r="M66" s="1032"/>
      <c r="T66" s="1033"/>
    </row>
    <row r="67" spans="1:20" s="719" customFormat="1" x14ac:dyDescent="0.2">
      <c r="A67" s="1033"/>
      <c r="B67" s="1032"/>
      <c r="C67" s="1032"/>
      <c r="D67" s="1032"/>
      <c r="E67" s="1032"/>
      <c r="F67" s="1032"/>
      <c r="G67" s="1032"/>
      <c r="H67" s="1032"/>
      <c r="I67" s="1032"/>
      <c r="J67" s="1032"/>
      <c r="K67" s="1032"/>
      <c r="L67" s="1032"/>
      <c r="M67" s="1032"/>
      <c r="T67" s="1033"/>
    </row>
    <row r="68" spans="1:20" s="719" customFormat="1" x14ac:dyDescent="0.2">
      <c r="A68" s="1033"/>
      <c r="B68" s="1032"/>
      <c r="C68" s="1032"/>
      <c r="D68" s="1032"/>
      <c r="E68" s="1032"/>
      <c r="F68" s="1032"/>
      <c r="G68" s="1032"/>
      <c r="H68" s="1032"/>
      <c r="I68" s="1032"/>
      <c r="J68" s="1032"/>
      <c r="K68" s="1032"/>
      <c r="L68" s="1032"/>
      <c r="M68" s="1032"/>
      <c r="T68" s="1033"/>
    </row>
    <row r="69" spans="1:20" s="719" customFormat="1" x14ac:dyDescent="0.2">
      <c r="A69" s="1033"/>
      <c r="B69" s="1032"/>
      <c r="C69" s="1032"/>
      <c r="D69" s="1032"/>
      <c r="E69" s="1032"/>
      <c r="F69" s="1032"/>
      <c r="G69" s="1032"/>
      <c r="H69" s="1032"/>
      <c r="I69" s="1032"/>
      <c r="J69" s="1032"/>
      <c r="K69" s="1032"/>
      <c r="L69" s="1032"/>
      <c r="M69" s="1032"/>
      <c r="T69" s="1033"/>
    </row>
    <row r="70" spans="1:20" s="719" customFormat="1" x14ac:dyDescent="0.2">
      <c r="A70" s="1033"/>
      <c r="B70" s="1032"/>
      <c r="C70" s="1032"/>
      <c r="D70" s="1032"/>
      <c r="E70" s="1032"/>
      <c r="F70" s="1032"/>
      <c r="G70" s="1032"/>
      <c r="H70" s="1032"/>
      <c r="I70" s="1032"/>
      <c r="J70" s="1032"/>
      <c r="K70" s="1032"/>
      <c r="L70" s="1032"/>
      <c r="M70" s="1032"/>
      <c r="T70" s="1033"/>
    </row>
    <row r="71" spans="1:20" s="719" customFormat="1" x14ac:dyDescent="0.2">
      <c r="A71" s="1033"/>
      <c r="B71" s="1032"/>
      <c r="C71" s="1032"/>
      <c r="D71" s="1032"/>
      <c r="E71" s="1032"/>
      <c r="F71" s="1032"/>
      <c r="G71" s="1032"/>
      <c r="H71" s="1032"/>
      <c r="I71" s="1032"/>
      <c r="J71" s="1032"/>
      <c r="K71" s="1032"/>
      <c r="L71" s="1032"/>
      <c r="M71" s="1032"/>
      <c r="T71" s="1033"/>
    </row>
    <row r="72" spans="1:20" s="719" customFormat="1" x14ac:dyDescent="0.2">
      <c r="A72" s="1033"/>
      <c r="B72" s="1032"/>
      <c r="C72" s="1032"/>
      <c r="D72" s="1032"/>
      <c r="E72" s="1032"/>
      <c r="F72" s="1032"/>
      <c r="G72" s="1032"/>
      <c r="H72" s="1032"/>
      <c r="I72" s="1032"/>
      <c r="J72" s="1032"/>
      <c r="K72" s="1032"/>
      <c r="L72" s="1032"/>
      <c r="M72" s="1032"/>
      <c r="T72" s="1033"/>
    </row>
    <row r="73" spans="1:20" s="719" customFormat="1" x14ac:dyDescent="0.2">
      <c r="A73" s="1033"/>
      <c r="B73" s="1032"/>
      <c r="C73" s="1032"/>
      <c r="D73" s="1032"/>
      <c r="E73" s="1032"/>
      <c r="F73" s="1032"/>
      <c r="G73" s="1032"/>
      <c r="H73" s="1032"/>
      <c r="I73" s="1032"/>
      <c r="J73" s="1032"/>
      <c r="K73" s="1032"/>
      <c r="L73" s="1032"/>
      <c r="M73" s="1032"/>
      <c r="T73" s="1033"/>
    </row>
    <row r="74" spans="1:20" s="719" customFormat="1" x14ac:dyDescent="0.2">
      <c r="A74" s="1033"/>
      <c r="B74" s="1032"/>
      <c r="C74" s="1032"/>
      <c r="D74" s="1032"/>
      <c r="E74" s="1032"/>
      <c r="F74" s="1032"/>
      <c r="G74" s="1032"/>
      <c r="H74" s="1032"/>
      <c r="I74" s="1032"/>
      <c r="J74" s="1032"/>
      <c r="K74" s="1032"/>
      <c r="L74" s="1032"/>
      <c r="M74" s="1032"/>
      <c r="T74" s="1033"/>
    </row>
    <row r="75" spans="1:20" s="719" customFormat="1" x14ac:dyDescent="0.2">
      <c r="A75" s="1033"/>
      <c r="B75" s="1032"/>
      <c r="C75" s="1032"/>
      <c r="D75" s="1032"/>
      <c r="E75" s="1032"/>
      <c r="F75" s="1032"/>
      <c r="G75" s="1032"/>
      <c r="H75" s="1032"/>
      <c r="I75" s="1032"/>
      <c r="J75" s="1032"/>
      <c r="K75" s="1032"/>
      <c r="L75" s="1032"/>
      <c r="M75" s="1032"/>
      <c r="T75" s="1033"/>
    </row>
    <row r="76" spans="1:20" s="719" customFormat="1" x14ac:dyDescent="0.2">
      <c r="A76" s="1033"/>
      <c r="B76" s="1032"/>
      <c r="C76" s="1032"/>
      <c r="D76" s="1032"/>
      <c r="E76" s="1032"/>
      <c r="F76" s="1032"/>
      <c r="G76" s="1032"/>
      <c r="H76" s="1032"/>
      <c r="I76" s="1032"/>
      <c r="J76" s="1032"/>
      <c r="K76" s="1032"/>
      <c r="L76" s="1032"/>
      <c r="M76" s="1032"/>
      <c r="T76" s="1033"/>
    </row>
    <row r="77" spans="1:20" s="719" customFormat="1" x14ac:dyDescent="0.2">
      <c r="A77" s="1033"/>
      <c r="B77" s="1032"/>
      <c r="C77" s="1032"/>
      <c r="D77" s="1032"/>
      <c r="E77" s="1032"/>
      <c r="F77" s="1032"/>
      <c r="G77" s="1032"/>
      <c r="H77" s="1032"/>
      <c r="I77" s="1032"/>
      <c r="J77" s="1032"/>
      <c r="K77" s="1032"/>
      <c r="L77" s="1032"/>
      <c r="M77" s="1032"/>
      <c r="T77" s="1033"/>
    </row>
    <row r="78" spans="1:20" s="719" customFormat="1" x14ac:dyDescent="0.2">
      <c r="A78" s="1033"/>
      <c r="B78" s="1032"/>
      <c r="C78" s="1032"/>
      <c r="D78" s="1032"/>
      <c r="E78" s="1032"/>
      <c r="F78" s="1032"/>
      <c r="G78" s="1032"/>
      <c r="H78" s="1032"/>
      <c r="I78" s="1032"/>
      <c r="J78" s="1032"/>
      <c r="K78" s="1032"/>
      <c r="L78" s="1032"/>
      <c r="M78" s="1032"/>
      <c r="T78" s="1033"/>
    </row>
    <row r="79" spans="1:20" s="719" customFormat="1" x14ac:dyDescent="0.2">
      <c r="A79" s="1033"/>
      <c r="B79" s="1032"/>
      <c r="C79" s="1032"/>
      <c r="D79" s="1032"/>
      <c r="E79" s="1032"/>
      <c r="F79" s="1032"/>
      <c r="G79" s="1032"/>
      <c r="H79" s="1032"/>
      <c r="I79" s="1032"/>
      <c r="J79" s="1032"/>
      <c r="K79" s="1032"/>
      <c r="L79" s="1032"/>
      <c r="M79" s="1032"/>
      <c r="T79" s="1033"/>
    </row>
    <row r="80" spans="1:20" s="719" customFormat="1" x14ac:dyDescent="0.2">
      <c r="A80" s="1033"/>
      <c r="B80" s="1032"/>
      <c r="C80" s="1032"/>
      <c r="D80" s="1032"/>
      <c r="E80" s="1032"/>
      <c r="F80" s="1032"/>
      <c r="G80" s="1032"/>
      <c r="H80" s="1032"/>
      <c r="I80" s="1032"/>
      <c r="J80" s="1032"/>
      <c r="K80" s="1032"/>
      <c r="L80" s="1032"/>
      <c r="M80" s="1032"/>
      <c r="T80" s="1033"/>
    </row>
    <row r="81" spans="1:20" s="719" customFormat="1" x14ac:dyDescent="0.2">
      <c r="A81" s="1033"/>
      <c r="B81" s="1032"/>
      <c r="C81" s="1032"/>
      <c r="D81" s="1032"/>
      <c r="E81" s="1032"/>
      <c r="F81" s="1032"/>
      <c r="G81" s="1032"/>
      <c r="H81" s="1032"/>
      <c r="I81" s="1032"/>
      <c r="J81" s="1032"/>
      <c r="K81" s="1032"/>
      <c r="L81" s="1032"/>
      <c r="M81" s="1032"/>
      <c r="T81" s="1033"/>
    </row>
    <row r="82" spans="1:20" s="719" customFormat="1" x14ac:dyDescent="0.2">
      <c r="A82" s="1033"/>
      <c r="B82" s="1032"/>
      <c r="C82" s="1032"/>
      <c r="D82" s="1032"/>
      <c r="E82" s="1032"/>
      <c r="F82" s="1032"/>
      <c r="G82" s="1032"/>
      <c r="H82" s="1032"/>
      <c r="I82" s="1032"/>
      <c r="J82" s="1032"/>
      <c r="K82" s="1032"/>
      <c r="L82" s="1032"/>
      <c r="M82" s="1032"/>
      <c r="T82" s="1033"/>
    </row>
    <row r="83" spans="1:20" s="719" customFormat="1" x14ac:dyDescent="0.2">
      <c r="A83" s="1033"/>
      <c r="B83" s="1032"/>
      <c r="C83" s="1032"/>
      <c r="D83" s="1032"/>
      <c r="E83" s="1032"/>
      <c r="F83" s="1032"/>
      <c r="G83" s="1032"/>
      <c r="H83" s="1032"/>
      <c r="I83" s="1032"/>
      <c r="J83" s="1032"/>
      <c r="K83" s="1032"/>
      <c r="L83" s="1032"/>
      <c r="M83" s="1032"/>
      <c r="T83" s="1033"/>
    </row>
    <row r="84" spans="1:20" s="719" customFormat="1" x14ac:dyDescent="0.2">
      <c r="A84" s="1033"/>
      <c r="B84" s="1032"/>
      <c r="C84" s="1032"/>
      <c r="D84" s="1032"/>
      <c r="E84" s="1032"/>
      <c r="F84" s="1032"/>
      <c r="G84" s="1032"/>
      <c r="H84" s="1032"/>
      <c r="I84" s="1032"/>
      <c r="J84" s="1032"/>
      <c r="K84" s="1032"/>
      <c r="L84" s="1032"/>
      <c r="M84" s="1032"/>
      <c r="T84" s="1033"/>
    </row>
    <row r="85" spans="1:20" s="719" customFormat="1" x14ac:dyDescent="0.2">
      <c r="A85" s="1033"/>
      <c r="B85" s="1032"/>
      <c r="C85" s="1032"/>
      <c r="D85" s="1032"/>
      <c r="E85" s="1032"/>
      <c r="F85" s="1032"/>
      <c r="G85" s="1032"/>
      <c r="H85" s="1032"/>
      <c r="I85" s="1032"/>
      <c r="J85" s="1032"/>
      <c r="K85" s="1032"/>
      <c r="L85" s="1032"/>
      <c r="M85" s="1032"/>
      <c r="T85" s="1033"/>
    </row>
    <row r="86" spans="1:20" s="719" customFormat="1" x14ac:dyDescent="0.2">
      <c r="A86" s="1033"/>
      <c r="B86" s="1032"/>
      <c r="C86" s="1032"/>
      <c r="D86" s="1032"/>
      <c r="E86" s="1032"/>
      <c r="F86" s="1032"/>
      <c r="G86" s="1032"/>
      <c r="H86" s="1032"/>
      <c r="I86" s="1032"/>
      <c r="J86" s="1032"/>
      <c r="K86" s="1032"/>
      <c r="L86" s="1032"/>
      <c r="M86" s="1032"/>
      <c r="T86" s="1033"/>
    </row>
    <row r="87" spans="1:20" s="719" customFormat="1" x14ac:dyDescent="0.2">
      <c r="A87" s="1033"/>
      <c r="B87" s="1032"/>
      <c r="C87" s="1032"/>
      <c r="D87" s="1032"/>
      <c r="E87" s="1032"/>
      <c r="F87" s="1032"/>
      <c r="G87" s="1032"/>
      <c r="H87" s="1032"/>
      <c r="I87" s="1032"/>
      <c r="J87" s="1032"/>
      <c r="K87" s="1032"/>
      <c r="L87" s="1032"/>
      <c r="M87" s="1032"/>
      <c r="T87" s="1033"/>
    </row>
    <row r="88" spans="1:20" s="719" customFormat="1" ht="15" x14ac:dyDescent="0.25">
      <c r="A88" s="1033"/>
      <c r="B88" s="1032"/>
      <c r="C88" s="604" t="s">
        <v>1831</v>
      </c>
      <c r="D88" s="604" t="s">
        <v>249</v>
      </c>
      <c r="E88" s="1032"/>
      <c r="F88" s="1032"/>
      <c r="G88" s="1032"/>
      <c r="H88" s="1032"/>
      <c r="I88" s="1032"/>
      <c r="J88" s="1032"/>
      <c r="K88" s="1032"/>
      <c r="L88" s="1032"/>
      <c r="M88" s="1032"/>
      <c r="T88" s="1033"/>
    </row>
    <row r="89" spans="1:20" s="719" customFormat="1" ht="15" x14ac:dyDescent="0.25">
      <c r="A89" s="1033"/>
      <c r="B89" s="1032"/>
      <c r="C89" s="1068" t="s">
        <v>1822</v>
      </c>
      <c r="D89" s="1072" t="str">
        <f>IF(calcTier3MBX&lt;&gt;0,Tier3MBXSize/1024,"--")</f>
        <v>--</v>
      </c>
      <c r="E89" s="1032"/>
      <c r="F89" s="1032"/>
      <c r="G89" s="1032"/>
      <c r="H89" s="1032"/>
      <c r="I89" s="1032"/>
      <c r="J89" s="1032"/>
      <c r="K89" s="1032"/>
      <c r="L89" s="1032"/>
      <c r="M89" s="1032"/>
      <c r="T89" s="1033"/>
    </row>
    <row r="90" spans="1:20" s="719" customFormat="1" ht="15" x14ac:dyDescent="0.25">
      <c r="A90" s="1033"/>
      <c r="B90" s="1032"/>
      <c r="C90" s="1071" t="s">
        <v>1828</v>
      </c>
      <c r="D90" s="1069">
        <f>calcTier3PredictCapMonths</f>
        <v>0</v>
      </c>
      <c r="E90" s="1032"/>
      <c r="F90" s="1032"/>
      <c r="G90" s="1032"/>
      <c r="H90" s="1032"/>
      <c r="I90" s="1032"/>
      <c r="J90" s="1032"/>
      <c r="K90" s="1032"/>
      <c r="L90" s="1032"/>
      <c r="M90" s="1032"/>
      <c r="T90" s="1033"/>
    </row>
    <row r="91" spans="1:20" s="719" customFormat="1" x14ac:dyDescent="0.2">
      <c r="A91" s="1033"/>
      <c r="B91" s="1032"/>
      <c r="C91" s="1032"/>
      <c r="D91" s="1032"/>
      <c r="E91" s="1032"/>
      <c r="F91" s="1032"/>
      <c r="G91" s="1032"/>
      <c r="H91" s="1032"/>
      <c r="I91" s="1032"/>
      <c r="J91" s="1032"/>
      <c r="K91" s="1032"/>
      <c r="L91" s="1032"/>
      <c r="M91" s="1032"/>
      <c r="T91" s="1033"/>
    </row>
    <row r="92" spans="1:20" s="719" customFormat="1" x14ac:dyDescent="0.2">
      <c r="A92" s="1033"/>
      <c r="B92" s="1032"/>
      <c r="C92" s="1032"/>
      <c r="D92" s="1032"/>
      <c r="E92" s="1032"/>
      <c r="F92" s="1032"/>
      <c r="G92" s="1032"/>
      <c r="H92" s="1032"/>
      <c r="I92" s="1032"/>
      <c r="J92" s="1032"/>
      <c r="K92" s="1032"/>
      <c r="L92" s="1032"/>
      <c r="M92" s="1032"/>
      <c r="T92" s="1033"/>
    </row>
    <row r="93" spans="1:20" s="719" customFormat="1" x14ac:dyDescent="0.2">
      <c r="A93" s="1033"/>
      <c r="B93" s="1032"/>
      <c r="C93" s="1032"/>
      <c r="D93" s="1032"/>
      <c r="E93" s="1032"/>
      <c r="F93" s="1032"/>
      <c r="G93" s="1032"/>
      <c r="H93" s="1032"/>
      <c r="I93" s="1032"/>
      <c r="J93" s="1032"/>
      <c r="K93" s="1032"/>
      <c r="L93" s="1032"/>
      <c r="M93" s="1032"/>
      <c r="T93" s="1033"/>
    </row>
    <row r="94" spans="1:20" s="719" customFormat="1" x14ac:dyDescent="0.2">
      <c r="A94" s="1033"/>
      <c r="B94" s="1032"/>
      <c r="C94" s="1032"/>
      <c r="D94" s="1032"/>
      <c r="E94" s="1032"/>
      <c r="F94" s="1032"/>
      <c r="G94" s="1032"/>
      <c r="H94" s="1032"/>
      <c r="I94" s="1032"/>
      <c r="J94" s="1032"/>
      <c r="K94" s="1032"/>
      <c r="L94" s="1032"/>
      <c r="M94" s="1032"/>
      <c r="T94" s="1033"/>
    </row>
    <row r="95" spans="1:20" s="719" customFormat="1" x14ac:dyDescent="0.2">
      <c r="A95" s="1033"/>
      <c r="B95" s="1032"/>
      <c r="C95" s="1032"/>
      <c r="D95" s="1032"/>
      <c r="E95" s="1032"/>
      <c r="F95" s="1032"/>
      <c r="G95" s="1032"/>
      <c r="H95" s="1032"/>
      <c r="I95" s="1032"/>
      <c r="J95" s="1032"/>
      <c r="K95" s="1032"/>
      <c r="L95" s="1032"/>
      <c r="M95" s="1032"/>
      <c r="T95" s="1033"/>
    </row>
    <row r="96" spans="1:20" s="719" customFormat="1" x14ac:dyDescent="0.2">
      <c r="A96" s="1033"/>
      <c r="B96" s="1032"/>
      <c r="C96" s="1032"/>
      <c r="D96" s="1032"/>
      <c r="E96" s="1032"/>
      <c r="F96" s="1032"/>
      <c r="G96" s="1032"/>
      <c r="H96" s="1032"/>
      <c r="I96" s="1032"/>
      <c r="J96" s="1032"/>
      <c r="K96" s="1032"/>
      <c r="L96" s="1032"/>
      <c r="M96" s="1032"/>
      <c r="T96" s="1033"/>
    </row>
    <row r="97" spans="1:20" s="719" customFormat="1" x14ac:dyDescent="0.2">
      <c r="A97" s="1033"/>
      <c r="B97" s="1032"/>
      <c r="C97" s="1032"/>
      <c r="D97" s="1032"/>
      <c r="E97" s="1032"/>
      <c r="F97" s="1032"/>
      <c r="G97" s="1032"/>
      <c r="H97" s="1032"/>
      <c r="I97" s="1032"/>
      <c r="J97" s="1032"/>
      <c r="K97" s="1032"/>
      <c r="L97" s="1032"/>
      <c r="M97" s="1032"/>
      <c r="T97" s="1033"/>
    </row>
    <row r="98" spans="1:20" s="719" customFormat="1" x14ac:dyDescent="0.2">
      <c r="A98" s="1033"/>
      <c r="B98" s="1032"/>
      <c r="C98" s="1032"/>
      <c r="D98" s="1032"/>
      <c r="E98" s="1032"/>
      <c r="F98" s="1032"/>
      <c r="G98" s="1032"/>
      <c r="H98" s="1032"/>
      <c r="I98" s="1032"/>
      <c r="J98" s="1032"/>
      <c r="K98" s="1032"/>
      <c r="L98" s="1032"/>
      <c r="M98" s="1032"/>
      <c r="T98" s="1033"/>
    </row>
    <row r="99" spans="1:20" s="719" customFormat="1" x14ac:dyDescent="0.2">
      <c r="A99" s="1033"/>
      <c r="B99" s="1032"/>
      <c r="C99" s="1032"/>
      <c r="D99" s="1032"/>
      <c r="E99" s="1032"/>
      <c r="F99" s="1032"/>
      <c r="G99" s="1032"/>
      <c r="H99" s="1032"/>
      <c r="I99" s="1032"/>
      <c r="J99" s="1032"/>
      <c r="K99" s="1032"/>
      <c r="L99" s="1032"/>
      <c r="M99" s="1032"/>
      <c r="T99" s="1033"/>
    </row>
    <row r="100" spans="1:20" s="719" customFormat="1" x14ac:dyDescent="0.2">
      <c r="A100" s="1033"/>
      <c r="B100" s="1032"/>
      <c r="C100" s="1032"/>
      <c r="D100" s="1032"/>
      <c r="E100" s="1032"/>
      <c r="F100" s="1032"/>
      <c r="G100" s="1032"/>
      <c r="H100" s="1032"/>
      <c r="I100" s="1032"/>
      <c r="J100" s="1032"/>
      <c r="K100" s="1032"/>
      <c r="L100" s="1032"/>
      <c r="M100" s="1032"/>
      <c r="T100" s="1033"/>
    </row>
    <row r="101" spans="1:20" s="719" customFormat="1" x14ac:dyDescent="0.2">
      <c r="A101" s="1033"/>
      <c r="B101" s="1032"/>
      <c r="C101" s="1032"/>
      <c r="D101" s="1032"/>
      <c r="E101" s="1032"/>
      <c r="F101" s="1032"/>
      <c r="G101" s="1032"/>
      <c r="H101" s="1032"/>
      <c r="I101" s="1032"/>
      <c r="J101" s="1032"/>
      <c r="K101" s="1032"/>
      <c r="L101" s="1032"/>
      <c r="M101" s="1032"/>
      <c r="T101" s="1033"/>
    </row>
    <row r="102" spans="1:20" s="719" customFormat="1" x14ac:dyDescent="0.2">
      <c r="A102" s="1033"/>
      <c r="B102" s="1032"/>
      <c r="C102" s="1032"/>
      <c r="D102" s="1032"/>
      <c r="E102" s="1032"/>
      <c r="F102" s="1032"/>
      <c r="G102" s="1032"/>
      <c r="H102" s="1032"/>
      <c r="I102" s="1032"/>
      <c r="J102" s="1032"/>
      <c r="K102" s="1032"/>
      <c r="L102" s="1032"/>
      <c r="M102" s="1032"/>
      <c r="T102" s="1033"/>
    </row>
    <row r="103" spans="1:20" s="719" customFormat="1" x14ac:dyDescent="0.2">
      <c r="A103" s="1033"/>
      <c r="B103" s="1032"/>
      <c r="C103" s="1032"/>
      <c r="D103" s="1032"/>
      <c r="E103" s="1032"/>
      <c r="F103" s="1032"/>
      <c r="G103" s="1032"/>
      <c r="H103" s="1032"/>
      <c r="I103" s="1032"/>
      <c r="J103" s="1032"/>
      <c r="K103" s="1032"/>
      <c r="L103" s="1032"/>
      <c r="M103" s="1032"/>
      <c r="T103" s="1033"/>
    </row>
    <row r="104" spans="1:20" s="719" customFormat="1" x14ac:dyDescent="0.2">
      <c r="A104" s="1033"/>
      <c r="B104" s="1032"/>
      <c r="C104" s="1032"/>
      <c r="D104" s="1032"/>
      <c r="E104" s="1032"/>
      <c r="F104" s="1032"/>
      <c r="G104" s="1032"/>
      <c r="H104" s="1032"/>
      <c r="I104" s="1032"/>
      <c r="J104" s="1032"/>
      <c r="K104" s="1032"/>
      <c r="L104" s="1032"/>
      <c r="M104" s="1032"/>
      <c r="T104" s="1033"/>
    </row>
    <row r="105" spans="1:20" s="719" customFormat="1" x14ac:dyDescent="0.2">
      <c r="A105" s="1033"/>
      <c r="B105" s="1032"/>
      <c r="C105" s="1032"/>
      <c r="D105" s="1032"/>
      <c r="E105" s="1032"/>
      <c r="F105" s="1032"/>
      <c r="G105" s="1032"/>
      <c r="H105" s="1032"/>
      <c r="I105" s="1032"/>
      <c r="J105" s="1032"/>
      <c r="K105" s="1032"/>
      <c r="L105" s="1032"/>
      <c r="M105" s="1032"/>
      <c r="T105" s="1033"/>
    </row>
    <row r="106" spans="1:20" s="719" customFormat="1" x14ac:dyDescent="0.2">
      <c r="A106" s="1033"/>
      <c r="B106" s="1032"/>
      <c r="C106" s="1032"/>
      <c r="D106" s="1032"/>
      <c r="E106" s="1032"/>
      <c r="F106" s="1032"/>
      <c r="G106" s="1032"/>
      <c r="H106" s="1032"/>
      <c r="I106" s="1032"/>
      <c r="J106" s="1032"/>
      <c r="K106" s="1032"/>
      <c r="L106" s="1032"/>
      <c r="M106" s="1032"/>
      <c r="T106" s="1033"/>
    </row>
    <row r="107" spans="1:20" s="719" customFormat="1" x14ac:dyDescent="0.2">
      <c r="A107" s="1033"/>
      <c r="B107" s="1032"/>
      <c r="C107" s="1032"/>
      <c r="D107" s="1032"/>
      <c r="E107" s="1032"/>
      <c r="F107" s="1032"/>
      <c r="G107" s="1032"/>
      <c r="H107" s="1032"/>
      <c r="I107" s="1032"/>
      <c r="J107" s="1032"/>
      <c r="K107" s="1032"/>
      <c r="L107" s="1032"/>
      <c r="M107" s="1032"/>
      <c r="T107" s="1033"/>
    </row>
    <row r="108" spans="1:20" s="719" customFormat="1" x14ac:dyDescent="0.2">
      <c r="A108" s="1033"/>
      <c r="B108" s="1032"/>
      <c r="C108" s="1032"/>
      <c r="D108" s="1032"/>
      <c r="E108" s="1032"/>
      <c r="F108" s="1032"/>
      <c r="G108" s="1032"/>
      <c r="H108" s="1032"/>
      <c r="I108" s="1032"/>
      <c r="J108" s="1032"/>
      <c r="K108" s="1032"/>
      <c r="L108" s="1032"/>
      <c r="M108" s="1032"/>
      <c r="T108" s="1033"/>
    </row>
    <row r="109" spans="1:20" s="719" customFormat="1" x14ac:dyDescent="0.2">
      <c r="A109" s="1033"/>
      <c r="B109" s="1032"/>
      <c r="C109" s="1032"/>
      <c r="D109" s="1032"/>
      <c r="E109" s="1032"/>
      <c r="F109" s="1032"/>
      <c r="G109" s="1032"/>
      <c r="H109" s="1032"/>
      <c r="I109" s="1032"/>
      <c r="J109" s="1032"/>
      <c r="K109" s="1032"/>
      <c r="L109" s="1032"/>
      <c r="M109" s="1032"/>
      <c r="T109" s="1033"/>
    </row>
    <row r="110" spans="1:20" s="719" customFormat="1" x14ac:dyDescent="0.2">
      <c r="A110" s="1033"/>
      <c r="B110" s="1032"/>
      <c r="C110" s="1032"/>
      <c r="D110" s="1032"/>
      <c r="E110" s="1032"/>
      <c r="F110" s="1032"/>
      <c r="G110" s="1032"/>
      <c r="H110" s="1032"/>
      <c r="I110" s="1032"/>
      <c r="J110" s="1032"/>
      <c r="K110" s="1032"/>
      <c r="L110" s="1032"/>
      <c r="M110" s="1032"/>
      <c r="T110" s="1033"/>
    </row>
    <row r="111" spans="1:20" s="719" customFormat="1" x14ac:dyDescent="0.2">
      <c r="A111" s="1033"/>
      <c r="B111" s="1032"/>
      <c r="C111" s="1032"/>
      <c r="D111" s="1032"/>
      <c r="E111" s="1032"/>
      <c r="F111" s="1032"/>
      <c r="G111" s="1032"/>
      <c r="H111" s="1032"/>
      <c r="I111" s="1032"/>
      <c r="J111" s="1032"/>
      <c r="K111" s="1032"/>
      <c r="L111" s="1032"/>
      <c r="M111" s="1032"/>
      <c r="T111" s="1033"/>
    </row>
    <row r="112" spans="1:20" s="719" customFormat="1" x14ac:dyDescent="0.2">
      <c r="A112" s="1033"/>
      <c r="B112" s="1032"/>
      <c r="C112" s="1032"/>
      <c r="D112" s="1032"/>
      <c r="E112" s="1032"/>
      <c r="F112" s="1032"/>
      <c r="G112" s="1032"/>
      <c r="H112" s="1032"/>
      <c r="I112" s="1032"/>
      <c r="J112" s="1032"/>
      <c r="K112" s="1032"/>
      <c r="L112" s="1032"/>
      <c r="M112" s="1032"/>
      <c r="T112" s="1033"/>
    </row>
    <row r="113" spans="1:20" s="719" customFormat="1" x14ac:dyDescent="0.2">
      <c r="A113" s="1033"/>
      <c r="B113" s="1032"/>
      <c r="C113" s="1032"/>
      <c r="D113" s="1032"/>
      <c r="E113" s="1032"/>
      <c r="F113" s="1032"/>
      <c r="G113" s="1032"/>
      <c r="H113" s="1032"/>
      <c r="I113" s="1032"/>
      <c r="J113" s="1032"/>
      <c r="K113" s="1032"/>
      <c r="L113" s="1032"/>
      <c r="M113" s="1032"/>
      <c r="T113" s="1033"/>
    </row>
    <row r="114" spans="1:20" s="719" customFormat="1" x14ac:dyDescent="0.2">
      <c r="A114" s="1033"/>
      <c r="B114" s="1032"/>
      <c r="C114" s="1032"/>
      <c r="D114" s="1032"/>
      <c r="E114" s="1032"/>
      <c r="F114" s="1032"/>
      <c r="G114" s="1032"/>
      <c r="H114" s="1032"/>
      <c r="I114" s="1032"/>
      <c r="J114" s="1032"/>
      <c r="K114" s="1032"/>
      <c r="L114" s="1032"/>
      <c r="M114" s="1032"/>
      <c r="T114" s="1033"/>
    </row>
    <row r="115" spans="1:20" s="719" customFormat="1" x14ac:dyDescent="0.2">
      <c r="A115" s="1033"/>
      <c r="B115" s="1032"/>
      <c r="C115" s="1032"/>
      <c r="D115" s="1032"/>
      <c r="E115" s="1032"/>
      <c r="F115" s="1032"/>
      <c r="G115" s="1032"/>
      <c r="H115" s="1032"/>
      <c r="I115" s="1032"/>
      <c r="J115" s="1032"/>
      <c r="K115" s="1032"/>
      <c r="L115" s="1032"/>
      <c r="M115" s="1032"/>
      <c r="T115" s="1033"/>
    </row>
    <row r="116" spans="1:20" s="719" customFormat="1" x14ac:dyDescent="0.2">
      <c r="A116" s="1033"/>
      <c r="B116" s="1032"/>
      <c r="C116" s="1032"/>
      <c r="D116" s="1032"/>
      <c r="E116" s="1032"/>
      <c r="F116" s="1032"/>
      <c r="G116" s="1032"/>
      <c r="H116" s="1032"/>
      <c r="I116" s="1032"/>
      <c r="J116" s="1032"/>
      <c r="K116" s="1032"/>
      <c r="L116" s="1032"/>
      <c r="M116" s="1032"/>
      <c r="T116" s="1033"/>
    </row>
    <row r="117" spans="1:20" s="719" customFormat="1" ht="15" x14ac:dyDescent="0.25">
      <c r="A117" s="1033"/>
      <c r="B117" s="1032"/>
      <c r="C117" s="604" t="s">
        <v>1832</v>
      </c>
      <c r="D117" s="604" t="s">
        <v>249</v>
      </c>
      <c r="E117" s="1032"/>
      <c r="F117" s="1032"/>
      <c r="G117" s="1032"/>
      <c r="H117" s="1032"/>
      <c r="I117" s="1032"/>
      <c r="J117" s="1032"/>
      <c r="K117" s="1032"/>
      <c r="L117" s="1032"/>
      <c r="M117" s="1032"/>
      <c r="T117" s="1033"/>
    </row>
    <row r="118" spans="1:20" s="719" customFormat="1" ht="15" x14ac:dyDescent="0.25">
      <c r="A118" s="1033"/>
      <c r="B118" s="1032"/>
      <c r="C118" s="1068" t="s">
        <v>1822</v>
      </c>
      <c r="D118" s="1072" t="str">
        <f>IF(calcTier4MBX&lt;&gt;0,Tier4MBXSize/1024,"--")</f>
        <v>--</v>
      </c>
      <c r="E118" s="1032"/>
      <c r="F118" s="1032"/>
      <c r="G118" s="1032"/>
      <c r="H118" s="1032"/>
      <c r="I118" s="1032"/>
      <c r="J118" s="1032"/>
      <c r="K118" s="1032"/>
      <c r="L118" s="1032"/>
      <c r="M118" s="1032"/>
      <c r="T118" s="1033"/>
    </row>
    <row r="119" spans="1:20" s="719" customFormat="1" ht="15" x14ac:dyDescent="0.25">
      <c r="A119" s="1033"/>
      <c r="B119" s="1032"/>
      <c r="C119" s="1071" t="s">
        <v>1828</v>
      </c>
      <c r="D119" s="1069">
        <f>calcTier4PredictCapMonths</f>
        <v>0</v>
      </c>
      <c r="E119" s="1032"/>
      <c r="F119" s="1032"/>
      <c r="G119" s="1032"/>
      <c r="H119" s="1032"/>
      <c r="I119" s="1032"/>
      <c r="J119" s="1032"/>
      <c r="K119" s="1032"/>
      <c r="L119" s="1032"/>
      <c r="M119" s="1032"/>
      <c r="T119" s="1033"/>
    </row>
    <row r="120" spans="1:20" s="719" customFormat="1" ht="13.5" thickBot="1" x14ac:dyDescent="0.25">
      <c r="A120" s="1033"/>
      <c r="B120" s="273"/>
      <c r="C120" s="6"/>
      <c r="D120" s="6"/>
      <c r="E120" s="6"/>
      <c r="F120" s="6"/>
      <c r="G120" s="6"/>
      <c r="H120" s="6"/>
      <c r="I120" s="6"/>
      <c r="J120" s="6"/>
      <c r="K120" s="6"/>
      <c r="L120" s="6"/>
      <c r="M120" s="6"/>
      <c r="N120" s="6"/>
      <c r="O120" s="6"/>
      <c r="P120" s="6"/>
      <c r="Q120" s="6"/>
      <c r="R120" s="6"/>
      <c r="S120" s="6"/>
      <c r="T120" s="7"/>
    </row>
    <row r="121" spans="1:20" s="719" customFormat="1" x14ac:dyDescent="0.2">
      <c r="B121" s="1032"/>
      <c r="C121" s="1032"/>
      <c r="D121" s="1032"/>
      <c r="E121" s="1032"/>
      <c r="F121" s="1032"/>
      <c r="G121" s="1032"/>
      <c r="H121" s="1032"/>
      <c r="I121" s="1032"/>
      <c r="J121" s="1032"/>
      <c r="K121" s="1032"/>
      <c r="L121" s="1032"/>
      <c r="M121" s="1032"/>
      <c r="T121" s="886"/>
    </row>
    <row r="122" spans="1:20" s="719" customFormat="1" x14ac:dyDescent="0.2">
      <c r="B122" s="1032"/>
      <c r="C122" s="1032"/>
      <c r="D122" s="1032"/>
      <c r="E122" s="1032"/>
      <c r="F122" s="1032"/>
      <c r="G122" s="1032"/>
      <c r="H122" s="1032"/>
      <c r="I122" s="1032"/>
      <c r="J122" s="1032"/>
      <c r="K122" s="1032"/>
      <c r="L122" s="1032"/>
      <c r="M122" s="1032"/>
      <c r="T122" s="1032"/>
    </row>
    <row r="123" spans="1:20" x14ac:dyDescent="0.2">
      <c r="B123" s="1032"/>
      <c r="C123" s="1032"/>
      <c r="D123" s="1027"/>
      <c r="E123" s="1027"/>
      <c r="F123" s="1027"/>
      <c r="G123" s="1027"/>
      <c r="H123" s="1027"/>
      <c r="I123" s="1027"/>
      <c r="J123" s="1027"/>
      <c r="K123" s="1027"/>
      <c r="L123" s="1027"/>
      <c r="M123" s="1027"/>
      <c r="T123" s="1032"/>
    </row>
    <row r="124" spans="1:20" x14ac:dyDescent="0.2">
      <c r="B124" s="1032"/>
      <c r="C124" s="1032"/>
      <c r="D124" s="1027"/>
      <c r="E124" s="1027"/>
      <c r="F124" s="1027"/>
      <c r="G124" s="1027"/>
      <c r="H124" s="1027"/>
      <c r="I124" s="1027"/>
      <c r="J124" s="1027"/>
      <c r="K124" s="1027"/>
      <c r="L124" s="1027"/>
      <c r="M124" s="1027"/>
      <c r="T124" s="1032"/>
    </row>
    <row r="125" spans="1:20" x14ac:dyDescent="0.2">
      <c r="B125" s="1032"/>
      <c r="C125" s="1032"/>
      <c r="D125" s="1027"/>
      <c r="E125" s="1027"/>
      <c r="F125" s="1027"/>
      <c r="G125" s="1027"/>
      <c r="H125" s="1027"/>
      <c r="I125" s="1027"/>
      <c r="J125" s="1027"/>
      <c r="K125" s="1027"/>
      <c r="L125" s="1027"/>
      <c r="M125" s="1027"/>
      <c r="T125" s="1032"/>
    </row>
    <row r="126" spans="1:20" x14ac:dyDescent="0.2">
      <c r="B126" s="1032"/>
      <c r="C126" s="1032"/>
      <c r="D126" s="1027"/>
      <c r="E126" s="1027"/>
      <c r="F126" s="1027"/>
      <c r="G126" s="1027"/>
      <c r="H126" s="1027"/>
      <c r="I126" s="1027"/>
      <c r="J126" s="1027"/>
      <c r="K126" s="1027"/>
      <c r="L126" s="1027"/>
      <c r="M126" s="1027"/>
      <c r="T126" s="1032"/>
    </row>
    <row r="127" spans="1:20" x14ac:dyDescent="0.2">
      <c r="B127" s="1032"/>
      <c r="C127" s="1032"/>
      <c r="D127" s="1027"/>
      <c r="E127" s="1027"/>
      <c r="F127" s="1027"/>
      <c r="G127" s="1027"/>
      <c r="H127" s="1027"/>
      <c r="I127" s="1027"/>
      <c r="J127" s="1027"/>
      <c r="K127" s="1027"/>
      <c r="L127" s="1027"/>
      <c r="M127" s="1027"/>
      <c r="T127" s="1032"/>
    </row>
    <row r="128" spans="1:20" x14ac:dyDescent="0.2">
      <c r="B128" s="1032"/>
      <c r="C128" s="1032"/>
      <c r="D128" s="1027"/>
      <c r="E128" s="1027"/>
      <c r="F128" s="1027"/>
      <c r="G128" s="1027"/>
      <c r="H128" s="1027"/>
      <c r="I128" s="1027"/>
      <c r="J128" s="1027"/>
      <c r="K128" s="1027"/>
      <c r="L128" s="1027"/>
      <c r="M128" s="1027"/>
      <c r="T128" s="1032"/>
    </row>
    <row r="129" spans="2:21" x14ac:dyDescent="0.2">
      <c r="B129" s="1032"/>
      <c r="C129" s="1032"/>
      <c r="D129" s="1027"/>
      <c r="E129" s="1027"/>
      <c r="F129" s="1027"/>
      <c r="G129" s="1027"/>
      <c r="H129" s="1027"/>
      <c r="I129" s="1027"/>
      <c r="J129" s="1027"/>
      <c r="K129" s="1027"/>
      <c r="L129" s="1027"/>
      <c r="M129" s="1027"/>
      <c r="T129" s="1032"/>
    </row>
    <row r="130" spans="2:21" x14ac:dyDescent="0.2">
      <c r="B130" s="1032"/>
      <c r="C130" s="1032"/>
      <c r="D130" s="1027"/>
      <c r="E130" s="1027"/>
      <c r="F130" s="1027"/>
      <c r="G130" s="1027"/>
      <c r="H130" s="1027"/>
      <c r="I130" s="1027"/>
      <c r="J130" s="1027"/>
      <c r="K130" s="1027"/>
      <c r="L130" s="1027"/>
      <c r="M130" s="1027"/>
      <c r="T130" s="1032"/>
    </row>
    <row r="131" spans="2:21" x14ac:dyDescent="0.2">
      <c r="B131" s="1032"/>
      <c r="C131" s="1032"/>
      <c r="D131" s="1027"/>
      <c r="E131" s="1027"/>
      <c r="F131" s="1027"/>
      <c r="G131" s="1027"/>
      <c r="H131" s="1027"/>
      <c r="I131" s="1027"/>
      <c r="J131" s="1027"/>
      <c r="K131" s="1027"/>
      <c r="L131" s="1027"/>
      <c r="M131" s="1027"/>
      <c r="T131" s="1032"/>
    </row>
    <row r="132" spans="2:21" x14ac:dyDescent="0.2">
      <c r="B132" s="1032"/>
      <c r="C132" s="1032"/>
      <c r="D132" s="1027"/>
      <c r="E132" s="1027"/>
      <c r="F132" s="1027"/>
      <c r="G132" s="1027"/>
      <c r="H132" s="1027"/>
      <c r="I132" s="1027"/>
      <c r="J132" s="1027"/>
      <c r="K132" s="1027"/>
      <c r="L132" s="1027"/>
      <c r="M132" s="1027"/>
      <c r="T132" s="1032"/>
    </row>
    <row r="133" spans="2:21" x14ac:dyDescent="0.2">
      <c r="B133" s="1032"/>
      <c r="C133" s="1032"/>
      <c r="D133" s="1027"/>
      <c r="E133" s="1027"/>
      <c r="F133" s="1027"/>
      <c r="G133" s="1027"/>
      <c r="H133" s="1027"/>
      <c r="I133" s="1027"/>
      <c r="J133" s="1027"/>
      <c r="K133" s="1027"/>
      <c r="L133" s="1027"/>
      <c r="M133" s="1027"/>
      <c r="T133" s="1032"/>
    </row>
    <row r="134" spans="2:21" x14ac:dyDescent="0.2">
      <c r="B134" s="1032"/>
      <c r="C134" s="1032"/>
      <c r="D134" s="1027"/>
      <c r="E134" s="1027"/>
      <c r="F134" s="1027"/>
      <c r="G134" s="1027"/>
      <c r="H134" s="1027"/>
      <c r="I134" s="1027"/>
      <c r="J134" s="1027"/>
      <c r="K134" s="1027"/>
      <c r="L134" s="1027"/>
      <c r="M134" s="1027"/>
      <c r="T134" s="1032"/>
    </row>
    <row r="135" spans="2:21" x14ac:dyDescent="0.2">
      <c r="B135" s="1032"/>
      <c r="C135" s="1032"/>
      <c r="D135" s="1027"/>
      <c r="E135" s="1027"/>
      <c r="F135" s="1027"/>
      <c r="G135" s="1027"/>
      <c r="H135" s="1027"/>
      <c r="I135" s="1027"/>
      <c r="J135" s="1027"/>
      <c r="K135" s="1027"/>
      <c r="L135" s="1027"/>
      <c r="M135" s="1027"/>
      <c r="T135" s="1032"/>
    </row>
    <row r="136" spans="2:21" x14ac:dyDescent="0.2">
      <c r="B136" s="1032"/>
      <c r="C136" s="1032"/>
      <c r="D136" s="1027"/>
      <c r="E136" s="1027"/>
      <c r="F136" s="1027"/>
      <c r="G136" s="1027"/>
      <c r="H136" s="1027"/>
      <c r="I136" s="1027"/>
      <c r="J136" s="1027"/>
      <c r="K136" s="1027"/>
      <c r="L136" s="1027"/>
      <c r="M136" s="1027"/>
      <c r="T136" s="1032"/>
    </row>
    <row r="137" spans="2:21" x14ac:dyDescent="0.2">
      <c r="B137" s="1032"/>
      <c r="C137" s="1032"/>
      <c r="D137" s="1027"/>
      <c r="E137" s="1027"/>
      <c r="F137" s="1027"/>
      <c r="G137" s="1027"/>
      <c r="H137" s="1027"/>
      <c r="I137" s="1027"/>
      <c r="J137" s="1027"/>
      <c r="K137" s="1027"/>
      <c r="L137" s="1027"/>
      <c r="M137" s="1027"/>
      <c r="T137" s="1032"/>
    </row>
    <row r="138" spans="2:21" x14ac:dyDescent="0.2">
      <c r="B138" s="1032"/>
      <c r="C138" s="1032"/>
      <c r="D138" s="1027"/>
      <c r="E138" s="1027"/>
      <c r="F138" s="1027"/>
      <c r="G138" s="1027"/>
      <c r="H138" s="1027"/>
      <c r="I138" s="1027"/>
      <c r="J138" s="1027"/>
      <c r="K138" s="1027"/>
      <c r="L138" s="1027"/>
      <c r="M138" s="1027"/>
      <c r="T138" s="1032"/>
    </row>
    <row r="139" spans="2:21" x14ac:dyDescent="0.2">
      <c r="B139" s="1032"/>
      <c r="C139" s="1032"/>
      <c r="D139" s="1027"/>
      <c r="E139" s="1027"/>
      <c r="F139" s="1027"/>
      <c r="G139" s="1027"/>
      <c r="H139" s="1027"/>
      <c r="I139" s="1027"/>
      <c r="J139" s="1027"/>
      <c r="K139" s="1027"/>
      <c r="L139" s="1027"/>
      <c r="M139" s="1027"/>
      <c r="T139" s="1032"/>
    </row>
    <row r="140" spans="2:21" x14ac:dyDescent="0.2">
      <c r="B140" s="1032"/>
      <c r="C140" s="1032"/>
      <c r="D140" s="1027"/>
      <c r="E140" s="1027"/>
      <c r="F140" s="1027"/>
      <c r="G140" s="1027"/>
      <c r="H140" s="1027"/>
      <c r="I140" s="1027"/>
      <c r="J140" s="1027"/>
      <c r="K140" s="1027"/>
      <c r="L140" s="1027"/>
      <c r="M140" s="1027"/>
      <c r="T140" s="1032"/>
    </row>
    <row r="141" spans="2:21" x14ac:dyDescent="0.2">
      <c r="B141" s="1032"/>
      <c r="C141" s="1032"/>
      <c r="D141" s="1027"/>
      <c r="E141" s="1027"/>
      <c r="F141" s="1027"/>
      <c r="G141" s="1027"/>
      <c r="H141" s="1027"/>
      <c r="I141" s="1027"/>
      <c r="J141" s="1027"/>
      <c r="K141" s="1027"/>
      <c r="L141" s="1027"/>
      <c r="M141" s="1027"/>
      <c r="T141" s="1032"/>
    </row>
    <row r="142" spans="2:21" x14ac:dyDescent="0.2">
      <c r="B142" s="1032"/>
      <c r="C142" s="1032"/>
      <c r="D142" s="1032"/>
      <c r="E142" s="1032"/>
      <c r="F142" s="1032"/>
      <c r="G142" s="1032"/>
      <c r="H142" s="1032"/>
      <c r="I142" s="1032"/>
      <c r="J142" s="1032"/>
      <c r="K142" s="1032"/>
      <c r="L142" s="1032"/>
      <c r="M142" s="1032"/>
      <c r="N142" s="1032"/>
      <c r="O142" s="1032"/>
      <c r="P142" s="1032"/>
      <c r="Q142" s="1032"/>
      <c r="R142" s="1032"/>
      <c r="S142" s="1032"/>
      <c r="T142" s="1032"/>
      <c r="U142" s="1032"/>
    </row>
    <row r="143" spans="2:21" x14ac:dyDescent="0.2">
      <c r="B143" s="1032"/>
      <c r="M143" s="1027"/>
      <c r="T143" s="1032"/>
    </row>
    <row r="144" spans="2:21" x14ac:dyDescent="0.2">
      <c r="B144" s="1032"/>
      <c r="M144" s="1027"/>
      <c r="T144" s="1032"/>
    </row>
    <row r="145" spans="2:20" x14ac:dyDescent="0.2">
      <c r="B145" s="1032"/>
      <c r="M145" s="1027"/>
      <c r="T145" s="1032"/>
    </row>
    <row r="146" spans="2:20" x14ac:dyDescent="0.2">
      <c r="B146" s="1032"/>
      <c r="M146" s="1027"/>
    </row>
    <row r="147" spans="2:20" x14ac:dyDescent="0.2">
      <c r="B147" s="1032"/>
      <c r="M147" s="1027"/>
    </row>
    <row r="148" spans="2:20" x14ac:dyDescent="0.2">
      <c r="B148" s="1032"/>
      <c r="M148" s="1027"/>
    </row>
    <row r="149" spans="2:20" x14ac:dyDescent="0.2">
      <c r="B149" s="1032"/>
      <c r="M149" s="1027"/>
    </row>
    <row r="150" spans="2:20" x14ac:dyDescent="0.2">
      <c r="B150" s="1032"/>
      <c r="M150" s="1027"/>
    </row>
    <row r="151" spans="2:20" x14ac:dyDescent="0.2">
      <c r="B151" s="1032"/>
      <c r="M151" s="1027"/>
    </row>
    <row r="152" spans="2:20" x14ac:dyDescent="0.2">
      <c r="B152" s="1032"/>
      <c r="M152" s="1027"/>
    </row>
    <row r="153" spans="2:20" x14ac:dyDescent="0.2">
      <c r="B153" s="1032"/>
      <c r="M153" s="1027"/>
    </row>
    <row r="154" spans="2:20" x14ac:dyDescent="0.2">
      <c r="B154" s="1032"/>
      <c r="M154" s="1027"/>
    </row>
    <row r="155" spans="2:20" x14ac:dyDescent="0.2">
      <c r="B155" s="1032"/>
      <c r="M155" s="1027"/>
    </row>
    <row r="156" spans="2:20" x14ac:dyDescent="0.2">
      <c r="B156" s="1032"/>
      <c r="M156" s="1027"/>
    </row>
    <row r="157" spans="2:20" x14ac:dyDescent="0.2">
      <c r="B157" s="1032"/>
      <c r="M157" s="1027"/>
    </row>
    <row r="158" spans="2:20" x14ac:dyDescent="0.2">
      <c r="B158" s="1032"/>
      <c r="M158" s="1027"/>
    </row>
    <row r="159" spans="2:20" x14ac:dyDescent="0.2">
      <c r="B159" s="1032"/>
      <c r="M159" s="1027"/>
    </row>
    <row r="160" spans="2:20" x14ac:dyDescent="0.2">
      <c r="B160" s="1032"/>
      <c r="C160" s="1032"/>
      <c r="M160" s="1027"/>
    </row>
    <row r="161" spans="2:13" x14ac:dyDescent="0.2">
      <c r="B161" s="1032"/>
      <c r="M161" s="1027"/>
    </row>
    <row r="162" spans="2:13" x14ac:dyDescent="0.2">
      <c r="B162" s="1032"/>
      <c r="M162" s="1027"/>
    </row>
    <row r="163" spans="2:13" x14ac:dyDescent="0.2">
      <c r="B163" s="1032"/>
      <c r="M163" s="1027"/>
    </row>
    <row r="164" spans="2:13" x14ac:dyDescent="0.2">
      <c r="B164" s="1032"/>
      <c r="M164" s="1027"/>
    </row>
    <row r="165" spans="2:13" x14ac:dyDescent="0.2">
      <c r="M165" s="1027"/>
    </row>
    <row r="166" spans="2:13" x14ac:dyDescent="0.2">
      <c r="M166" s="1027"/>
    </row>
    <row r="167" spans="2:13" x14ac:dyDescent="0.2">
      <c r="M167" s="1027"/>
    </row>
    <row r="168" spans="2:13" x14ac:dyDescent="0.2">
      <c r="M168" s="1027"/>
    </row>
    <row r="169" spans="2:13" x14ac:dyDescent="0.2">
      <c r="M169" s="1027"/>
    </row>
    <row r="170" spans="2:13" x14ac:dyDescent="0.2">
      <c r="M170" s="1027"/>
    </row>
    <row r="171" spans="2:13" x14ac:dyDescent="0.2">
      <c r="M171" s="1027"/>
    </row>
    <row r="172" spans="2:13" x14ac:dyDescent="0.2">
      <c r="M172" s="1027"/>
    </row>
    <row r="173" spans="2:13" x14ac:dyDescent="0.2">
      <c r="M173" s="1027"/>
    </row>
    <row r="174" spans="2:13" x14ac:dyDescent="0.2">
      <c r="M174" s="1027"/>
    </row>
    <row r="175" spans="2:13" x14ac:dyDescent="0.2">
      <c r="M175" s="1027"/>
    </row>
    <row r="176" spans="2:13" x14ac:dyDescent="0.2">
      <c r="M176" s="1027"/>
    </row>
    <row r="177" spans="13:13" x14ac:dyDescent="0.2">
      <c r="M177" s="1027"/>
    </row>
    <row r="178" spans="13:13" x14ac:dyDescent="0.2">
      <c r="M178" s="1027"/>
    </row>
    <row r="179" spans="13:13" x14ac:dyDescent="0.2">
      <c r="M179" s="1027"/>
    </row>
    <row r="180" spans="13:13" x14ac:dyDescent="0.2">
      <c r="M180" s="1027"/>
    </row>
    <row r="181" spans="13:13" x14ac:dyDescent="0.2">
      <c r="M181" s="1027"/>
    </row>
    <row r="182" spans="13:13" x14ac:dyDescent="0.2">
      <c r="M182" s="1027"/>
    </row>
    <row r="183" spans="13:13" x14ac:dyDescent="0.2">
      <c r="M183" s="1027"/>
    </row>
    <row r="184" spans="13:13" x14ac:dyDescent="0.2">
      <c r="M184" s="1027"/>
    </row>
    <row r="185" spans="13:13" x14ac:dyDescent="0.2">
      <c r="M185" s="1027"/>
    </row>
    <row r="186" spans="13:13" x14ac:dyDescent="0.2">
      <c r="M186" s="1027"/>
    </row>
    <row r="187" spans="13:13" x14ac:dyDescent="0.2">
      <c r="M187" s="1027"/>
    </row>
    <row r="188" spans="13:13" x14ac:dyDescent="0.2">
      <c r="M188" s="1027"/>
    </row>
    <row r="189" spans="13:13" x14ac:dyDescent="0.2">
      <c r="M189" s="1027"/>
    </row>
    <row r="190" spans="13:13" x14ac:dyDescent="0.2">
      <c r="M190" s="1027"/>
    </row>
    <row r="191" spans="13:13" x14ac:dyDescent="0.2">
      <c r="M191" s="1027"/>
    </row>
    <row r="192" spans="13:13" x14ac:dyDescent="0.2">
      <c r="M192" s="1027"/>
    </row>
    <row r="193" spans="13:13" x14ac:dyDescent="0.2">
      <c r="M193" s="1027"/>
    </row>
    <row r="194" spans="13:13" x14ac:dyDescent="0.2">
      <c r="M194" s="1027"/>
    </row>
    <row r="195" spans="13:13" x14ac:dyDescent="0.2">
      <c r="M195" s="1027"/>
    </row>
    <row r="196" spans="13:13" x14ac:dyDescent="0.2">
      <c r="M196" s="1027"/>
    </row>
    <row r="197" spans="13:13" x14ac:dyDescent="0.2">
      <c r="M197" s="1027"/>
    </row>
    <row r="198" spans="13:13" x14ac:dyDescent="0.2">
      <c r="M198" s="1027"/>
    </row>
    <row r="199" spans="13:13" x14ac:dyDescent="0.2">
      <c r="M199" s="1027"/>
    </row>
    <row r="200" spans="13:13" x14ac:dyDescent="0.2">
      <c r="M200" s="1027"/>
    </row>
    <row r="201" spans="13:13" x14ac:dyDescent="0.2">
      <c r="M201" s="1027"/>
    </row>
    <row r="202" spans="13:13" x14ac:dyDescent="0.2">
      <c r="M202" s="1027"/>
    </row>
    <row r="203" spans="13:13" x14ac:dyDescent="0.2">
      <c r="M203" s="1027"/>
    </row>
    <row r="204" spans="13:13" x14ac:dyDescent="0.2">
      <c r="M204" s="1027"/>
    </row>
    <row r="205" spans="13:13" x14ac:dyDescent="0.2">
      <c r="M205" s="1027"/>
    </row>
    <row r="206" spans="13:13" x14ac:dyDescent="0.2">
      <c r="M206" s="1027"/>
    </row>
    <row r="207" spans="13:13" x14ac:dyDescent="0.2">
      <c r="M207" s="1027"/>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26"/>
  <sheetViews>
    <sheetView showGridLines="0" zoomScale="85" zoomScaleNormal="85" workbookViewId="0">
      <selection activeCell="D13" sqref="D13"/>
    </sheetView>
  </sheetViews>
  <sheetFormatPr defaultRowHeight="12.75" x14ac:dyDescent="0.2"/>
  <cols>
    <col min="1" max="1" width="3.42578125" customWidth="1"/>
    <col min="2" max="2" width="43.7109375" bestFit="1" customWidth="1"/>
    <col min="3" max="3" width="26.7109375" bestFit="1" customWidth="1"/>
  </cols>
  <sheetData>
    <row r="1" spans="1:20" s="719" customFormat="1" ht="15.75" thickBot="1" x14ac:dyDescent="0.25">
      <c r="B1" s="1325" t="s">
        <v>272</v>
      </c>
      <c r="C1" s="1326"/>
      <c r="D1" s="1326"/>
      <c r="E1" s="1326"/>
      <c r="F1" s="1326"/>
      <c r="G1" s="1326"/>
      <c r="H1" s="1326"/>
      <c r="I1" s="1326"/>
      <c r="J1" s="1326"/>
      <c r="K1" s="1326"/>
      <c r="L1" s="1326"/>
      <c r="M1" s="1326"/>
      <c r="N1" s="1326"/>
      <c r="O1" s="1326"/>
      <c r="P1" s="1326"/>
      <c r="Q1" s="1326"/>
      <c r="R1" s="1326"/>
      <c r="S1" s="1326"/>
      <c r="T1" s="911"/>
    </row>
    <row r="2" spans="1:20" s="719" customFormat="1" x14ac:dyDescent="0.2">
      <c r="B2" s="894"/>
      <c r="C2" s="886"/>
      <c r="D2" s="886"/>
      <c r="E2" s="886"/>
      <c r="F2" s="886"/>
      <c r="G2" s="886"/>
      <c r="H2" s="886"/>
      <c r="I2" s="886"/>
      <c r="J2" s="886"/>
      <c r="K2" s="886"/>
      <c r="L2"/>
      <c r="M2"/>
      <c r="N2"/>
      <c r="O2"/>
      <c r="P2"/>
      <c r="Q2"/>
      <c r="R2"/>
      <c r="S2" s="1032"/>
      <c r="T2" s="896"/>
    </row>
    <row r="3" spans="1:20" s="719" customFormat="1" ht="15" x14ac:dyDescent="0.2">
      <c r="B3" s="1199" t="s">
        <v>1810</v>
      </c>
      <c r="C3" s="1170"/>
      <c r="D3" s="1170"/>
      <c r="E3" s="1170"/>
      <c r="F3" s="1170"/>
      <c r="G3" s="1170"/>
      <c r="H3" s="1170"/>
      <c r="I3" s="1170"/>
      <c r="J3" s="1170"/>
      <c r="K3" s="1170"/>
      <c r="L3" s="1170"/>
      <c r="M3" s="1170"/>
      <c r="N3" s="1170"/>
      <c r="O3" s="1170"/>
      <c r="P3" s="1170"/>
      <c r="Q3" s="1170"/>
      <c r="R3" s="1170"/>
      <c r="S3" s="1170"/>
      <c r="T3" s="1188"/>
    </row>
    <row r="4" spans="1:20" ht="15" x14ac:dyDescent="0.2">
      <c r="B4" s="1043"/>
      <c r="C4" s="450"/>
      <c r="D4" s="450"/>
      <c r="E4" s="450"/>
      <c r="F4" s="450"/>
      <c r="G4" s="450"/>
      <c r="H4" s="450"/>
      <c r="I4" s="450"/>
      <c r="J4" s="450"/>
      <c r="K4" s="450"/>
      <c r="L4" s="719"/>
      <c r="M4" s="719"/>
      <c r="N4" s="719"/>
      <c r="O4" s="719"/>
      <c r="P4" s="719"/>
      <c r="Q4" s="719"/>
      <c r="R4" s="719"/>
      <c r="S4" s="1032"/>
      <c r="T4" s="1033"/>
    </row>
    <row r="5" spans="1:20" ht="15" x14ac:dyDescent="0.2">
      <c r="B5" s="1044" t="s">
        <v>1816</v>
      </c>
      <c r="C5" s="1040" t="s">
        <v>249</v>
      </c>
      <c r="D5" s="450"/>
      <c r="E5" s="450"/>
      <c r="F5" s="450"/>
      <c r="G5" s="450"/>
      <c r="H5" s="450"/>
      <c r="I5" s="450"/>
      <c r="J5" s="450"/>
      <c r="K5" s="450"/>
      <c r="L5" s="719"/>
      <c r="M5" s="719"/>
      <c r="N5" s="719"/>
      <c r="O5" s="719"/>
      <c r="P5" s="719"/>
      <c r="Q5" s="719"/>
      <c r="R5" s="719"/>
      <c r="S5" s="1032"/>
      <c r="T5" s="1033"/>
    </row>
    <row r="6" spans="1:20" ht="15" x14ac:dyDescent="0.2">
      <c r="B6" s="1035" t="s">
        <v>1812</v>
      </c>
      <c r="C6" s="1037">
        <f>IF(calcTier1MBX&lt;&gt;0,Tier1AvgMessageSize*Tier1MessageProfile*WorkWeekDays/1024,0)</f>
        <v>73.2421875</v>
      </c>
      <c r="D6" s="450"/>
      <c r="E6" s="450"/>
      <c r="F6" s="450"/>
      <c r="G6" s="450"/>
      <c r="H6" s="450"/>
      <c r="I6" s="450"/>
      <c r="J6" s="450"/>
      <c r="K6" s="450"/>
      <c r="L6" s="719"/>
      <c r="M6" s="719"/>
      <c r="N6" s="719"/>
      <c r="O6" s="719"/>
      <c r="P6" s="719"/>
      <c r="Q6" s="719"/>
      <c r="R6" s="719"/>
      <c r="S6" s="1032"/>
      <c r="T6" s="1033"/>
    </row>
    <row r="7" spans="1:20" ht="15" x14ac:dyDescent="0.2">
      <c r="B7" s="1036" t="s">
        <v>1821</v>
      </c>
      <c r="C7" s="1038">
        <f>IF(calcTier1MBX&lt;&gt;0,calcTier1WeeklyData*52/1024,0)</f>
        <v>3.719329833984375</v>
      </c>
      <c r="D7" s="450"/>
      <c r="E7" s="450"/>
      <c r="F7" s="450"/>
      <c r="G7" s="450"/>
      <c r="H7" s="450"/>
      <c r="I7" s="450"/>
      <c r="J7" s="450"/>
      <c r="K7" s="450"/>
      <c r="L7" s="719"/>
      <c r="M7" s="719"/>
      <c r="N7" s="719"/>
      <c r="O7" s="719"/>
      <c r="P7" s="719"/>
      <c r="Q7" s="719"/>
      <c r="R7" s="719"/>
      <c r="S7" s="1032"/>
      <c r="T7" s="1033"/>
    </row>
    <row r="8" spans="1:20" ht="15" x14ac:dyDescent="0.2">
      <c r="B8" s="1035" t="s">
        <v>1813</v>
      </c>
      <c r="C8" s="1037">
        <f>IF(calcTier1MBX&lt;&gt;0,calcTier1YearlyData/12*1024,0)</f>
        <v>317.3828125</v>
      </c>
      <c r="D8" s="450"/>
      <c r="E8" s="450"/>
      <c r="F8" s="450"/>
      <c r="G8" s="450"/>
      <c r="H8" s="450"/>
      <c r="I8" s="450"/>
      <c r="J8" s="450"/>
      <c r="K8" s="450"/>
      <c r="L8" s="719"/>
      <c r="M8" s="719"/>
      <c r="N8" s="719"/>
      <c r="O8" s="719"/>
      <c r="P8" s="719"/>
      <c r="Q8" s="719"/>
      <c r="R8" s="719"/>
      <c r="S8" s="1032"/>
      <c r="T8" s="1033"/>
    </row>
    <row r="9" spans="1:20" ht="15" x14ac:dyDescent="0.2">
      <c r="B9" s="1029" t="s">
        <v>1814</v>
      </c>
      <c r="C9" s="1039">
        <f>IF(calcTier1MBX&lt;&gt;0,Tier1MBXSize/1024/(calcTier1YearlyData+calcTier1InitialMBXSize/1024),0)</f>
        <v>1.8594426154281232</v>
      </c>
      <c r="D9" s="450"/>
      <c r="E9" s="450"/>
      <c r="F9" s="450"/>
      <c r="G9" s="450"/>
      <c r="H9" s="450"/>
      <c r="I9" s="450"/>
      <c r="J9" s="450"/>
      <c r="K9" s="450"/>
      <c r="L9" s="719"/>
      <c r="M9" s="719"/>
      <c r="N9" s="719"/>
      <c r="O9" s="719"/>
      <c r="P9" s="719"/>
      <c r="Q9" s="719"/>
      <c r="R9" s="719"/>
      <c r="S9" s="1032"/>
      <c r="T9" s="1033"/>
    </row>
    <row r="10" spans="1:20" ht="15" x14ac:dyDescent="0.2">
      <c r="B10" s="1029" t="s">
        <v>1815</v>
      </c>
      <c r="C10" s="1039">
        <f>IF(calcTier1MBX&lt;&gt;0,calcTier1PredictCapYears*12,0)</f>
        <v>22.313311385137478</v>
      </c>
      <c r="D10" s="450"/>
      <c r="E10" s="450"/>
      <c r="F10" s="450"/>
      <c r="G10" s="450"/>
      <c r="H10" s="450"/>
      <c r="I10" s="450"/>
      <c r="J10" s="450"/>
      <c r="K10" s="450"/>
      <c r="L10" s="719"/>
      <c r="M10" s="719"/>
      <c r="N10" s="719"/>
      <c r="O10" s="719"/>
      <c r="P10" s="719"/>
      <c r="Q10" s="719"/>
      <c r="R10" s="719"/>
      <c r="S10" s="1032"/>
      <c r="T10" s="1033"/>
    </row>
    <row r="11" spans="1:20" ht="15" x14ac:dyDescent="0.2">
      <c r="B11" s="1029"/>
      <c r="C11" s="1039"/>
      <c r="D11" s="450"/>
      <c r="E11" s="450"/>
      <c r="F11" s="450"/>
      <c r="G11" s="450"/>
      <c r="H11" s="450"/>
      <c r="I11" s="450"/>
      <c r="J11" s="450"/>
      <c r="K11" s="450"/>
      <c r="L11" s="719"/>
      <c r="M11" s="719"/>
      <c r="N11" s="719"/>
      <c r="O11" s="719"/>
      <c r="P11" s="719"/>
      <c r="Q11" s="719"/>
      <c r="R11" s="719"/>
      <c r="S11" s="1032"/>
      <c r="T11" s="1033"/>
    </row>
    <row r="12" spans="1:20" ht="15.75" thickBot="1" x14ac:dyDescent="0.25">
      <c r="B12" s="1046" t="s">
        <v>1817</v>
      </c>
      <c r="C12" s="1042">
        <v>0</v>
      </c>
      <c r="D12" s="1042">
        <v>12</v>
      </c>
      <c r="E12" s="1042">
        <v>15</v>
      </c>
      <c r="F12" s="1042">
        <v>18</v>
      </c>
      <c r="G12" s="1042">
        <v>21</v>
      </c>
      <c r="H12" s="1042">
        <v>24</v>
      </c>
      <c r="I12" s="1042">
        <v>27</v>
      </c>
      <c r="J12" s="1042">
        <v>30</v>
      </c>
      <c r="K12" s="1042">
        <v>33</v>
      </c>
      <c r="L12" s="1042">
        <v>36</v>
      </c>
      <c r="M12" s="1048">
        <v>39</v>
      </c>
      <c r="N12" s="1047">
        <v>42</v>
      </c>
      <c r="O12" s="1047">
        <v>45</v>
      </c>
      <c r="P12" s="1047">
        <v>48</v>
      </c>
      <c r="Q12" s="1047">
        <v>51</v>
      </c>
      <c r="R12" s="1047">
        <v>54</v>
      </c>
      <c r="S12" s="1067">
        <v>57</v>
      </c>
      <c r="T12" s="1049">
        <v>60</v>
      </c>
    </row>
    <row r="13" spans="1:20" ht="15.75" thickTop="1" x14ac:dyDescent="0.2">
      <c r="B13" s="1029" t="s">
        <v>1818</v>
      </c>
      <c r="C13" s="366">
        <f>calcTier1InitialMBXSize/1024</f>
        <v>2</v>
      </c>
      <c r="D13" s="1039">
        <f>(calcTier1YearlyData+(calcTier1InitialMBXSize/1024))*0.6</f>
        <v>3.4315979003906247</v>
      </c>
      <c r="E13" s="1039">
        <f t="shared" ref="E13:T13" si="0">(calcTier1YearlyData+(calcTier1InitialMBXSize/1024))*0.6*E12/12</f>
        <v>4.2894973754882804</v>
      </c>
      <c r="F13" s="1039">
        <f t="shared" si="0"/>
        <v>5.1473968505859373</v>
      </c>
      <c r="G13" s="1039">
        <f t="shared" si="0"/>
        <v>6.0052963256835925</v>
      </c>
      <c r="H13" s="1039">
        <f t="shared" si="0"/>
        <v>6.8631958007812495</v>
      </c>
      <c r="I13" s="1039">
        <f t="shared" si="0"/>
        <v>7.7210952758789055</v>
      </c>
      <c r="J13" s="1039">
        <f t="shared" si="0"/>
        <v>8.5789947509765607</v>
      </c>
      <c r="K13" s="1039">
        <f t="shared" si="0"/>
        <v>9.4368942260742177</v>
      </c>
      <c r="L13" s="1039">
        <f t="shared" si="0"/>
        <v>10.294793701171875</v>
      </c>
      <c r="M13" s="1039">
        <f t="shared" si="0"/>
        <v>11.15269317626953</v>
      </c>
      <c r="N13" s="1039">
        <f t="shared" si="0"/>
        <v>12.010592651367185</v>
      </c>
      <c r="O13" s="1039">
        <f t="shared" si="0"/>
        <v>12.868492126464844</v>
      </c>
      <c r="P13" s="1039">
        <f t="shared" si="0"/>
        <v>13.726391601562499</v>
      </c>
      <c r="Q13" s="1039">
        <f t="shared" si="0"/>
        <v>14.584291076660156</v>
      </c>
      <c r="R13" s="1039">
        <f t="shared" si="0"/>
        <v>15.442190551757811</v>
      </c>
      <c r="S13" s="1039">
        <f t="shared" si="0"/>
        <v>16.300090026855468</v>
      </c>
      <c r="T13" s="1045">
        <f t="shared" si="0"/>
        <v>17.157989501953121</v>
      </c>
    </row>
    <row r="14" spans="1:20" ht="15" x14ac:dyDescent="0.2">
      <c r="B14" s="1029" t="s">
        <v>1819</v>
      </c>
      <c r="C14" s="366">
        <f>calcTier1InitialMBXSize/1024</f>
        <v>2</v>
      </c>
      <c r="D14" s="1039">
        <f>(calcTier1YearlyData+(calcTier1InitialMBXSize/1024))*0.8</f>
        <v>4.5754638671875005</v>
      </c>
      <c r="E14" s="1039">
        <f t="shared" ref="E14:T14" si="1">(calcTier1YearlyData+(calcTier1InitialMBXSize/1024))*0.8*E12/12</f>
        <v>5.7193298339843759</v>
      </c>
      <c r="F14" s="1039">
        <f t="shared" si="1"/>
        <v>6.8631958007812512</v>
      </c>
      <c r="G14" s="1039">
        <f t="shared" si="1"/>
        <v>8.0070617675781257</v>
      </c>
      <c r="H14" s="1039">
        <f t="shared" si="1"/>
        <v>9.1509277343750011</v>
      </c>
      <c r="I14" s="1039">
        <f t="shared" si="1"/>
        <v>10.294793701171876</v>
      </c>
      <c r="J14" s="1039">
        <f t="shared" si="1"/>
        <v>11.438659667968752</v>
      </c>
      <c r="K14" s="1039">
        <f t="shared" si="1"/>
        <v>12.582525634765625</v>
      </c>
      <c r="L14" s="1039">
        <f t="shared" si="1"/>
        <v>13.726391601562502</v>
      </c>
      <c r="M14" s="1039">
        <f t="shared" si="1"/>
        <v>14.870257568359378</v>
      </c>
      <c r="N14" s="1039">
        <f t="shared" si="1"/>
        <v>16.014123535156251</v>
      </c>
      <c r="O14" s="1039">
        <f t="shared" si="1"/>
        <v>17.157989501953129</v>
      </c>
      <c r="P14" s="1039">
        <f t="shared" si="1"/>
        <v>18.301855468750002</v>
      </c>
      <c r="Q14" s="1039">
        <f t="shared" si="1"/>
        <v>19.445721435546876</v>
      </c>
      <c r="R14" s="1039">
        <f t="shared" si="1"/>
        <v>20.589587402343753</v>
      </c>
      <c r="S14" s="1039">
        <f t="shared" si="1"/>
        <v>21.73345336914063</v>
      </c>
      <c r="T14" s="1045">
        <f t="shared" si="1"/>
        <v>22.877319335937504</v>
      </c>
    </row>
    <row r="15" spans="1:20" ht="15" x14ac:dyDescent="0.2">
      <c r="B15" s="1029" t="s">
        <v>1820</v>
      </c>
      <c r="C15" s="366">
        <f>calcTier1InitialMBXSize/1024</f>
        <v>2</v>
      </c>
      <c r="D15" s="1039">
        <f>calcTier1YearlyData+(calcTier1InitialMBXSize/1024)</f>
        <v>5.719329833984375</v>
      </c>
      <c r="E15" s="1039">
        <f t="shared" ref="E15:T15" si="2">(calcTier1YearlyData+(calcTier1InitialMBXSize/1024))*E12/12</f>
        <v>7.1491622924804687</v>
      </c>
      <c r="F15" s="1039">
        <f t="shared" si="2"/>
        <v>8.5789947509765625</v>
      </c>
      <c r="G15" s="1039">
        <f t="shared" si="2"/>
        <v>10.008827209472656</v>
      </c>
      <c r="H15" s="1039">
        <f t="shared" si="2"/>
        <v>11.43865966796875</v>
      </c>
      <c r="I15" s="1039">
        <f t="shared" si="2"/>
        <v>12.868492126464844</v>
      </c>
      <c r="J15" s="1039">
        <f t="shared" si="2"/>
        <v>14.298324584960937</v>
      </c>
      <c r="K15" s="1039">
        <f t="shared" si="2"/>
        <v>15.728157043457031</v>
      </c>
      <c r="L15" s="1039">
        <f t="shared" si="2"/>
        <v>17.157989501953125</v>
      </c>
      <c r="M15" s="1039">
        <f t="shared" si="2"/>
        <v>18.587821960449219</v>
      </c>
      <c r="N15" s="1039">
        <f t="shared" si="2"/>
        <v>20.017654418945313</v>
      </c>
      <c r="O15" s="1039">
        <f t="shared" si="2"/>
        <v>21.447486877441406</v>
      </c>
      <c r="P15" s="1039">
        <f t="shared" si="2"/>
        <v>22.8773193359375</v>
      </c>
      <c r="Q15" s="1039">
        <f t="shared" si="2"/>
        <v>24.307151794433594</v>
      </c>
      <c r="R15" s="1039">
        <f t="shared" si="2"/>
        <v>25.736984252929688</v>
      </c>
      <c r="S15" s="1039">
        <f t="shared" si="2"/>
        <v>27.166816711425781</v>
      </c>
      <c r="T15" s="1045">
        <f t="shared" si="2"/>
        <v>28.596649169921875</v>
      </c>
    </row>
    <row r="16" spans="1:20" ht="15" x14ac:dyDescent="0.2">
      <c r="A16" s="1033"/>
      <c r="B16" s="1030"/>
      <c r="C16" s="1039"/>
      <c r="D16" s="450"/>
      <c r="E16" s="450"/>
      <c r="F16" s="450"/>
      <c r="G16" s="450"/>
      <c r="H16" s="450"/>
      <c r="I16" s="450"/>
      <c r="J16" s="450"/>
      <c r="K16" s="450"/>
      <c r="L16" s="1027"/>
      <c r="M16" s="719"/>
      <c r="N16" s="719"/>
      <c r="O16" s="719"/>
      <c r="P16" s="719"/>
      <c r="Q16" s="719"/>
      <c r="R16" s="719"/>
      <c r="S16" s="1032"/>
      <c r="T16" s="1033"/>
    </row>
    <row r="17" spans="1:20" ht="15" x14ac:dyDescent="0.2">
      <c r="A17" s="1033"/>
      <c r="B17" s="218" t="s">
        <v>1817</v>
      </c>
      <c r="C17" s="1041" t="s">
        <v>1822</v>
      </c>
      <c r="D17" s="450"/>
      <c r="E17" s="450"/>
      <c r="F17" s="450"/>
      <c r="G17" s="450"/>
      <c r="H17" s="450"/>
      <c r="I17" s="450"/>
      <c r="J17" s="450"/>
      <c r="K17" s="450"/>
      <c r="L17" s="1027"/>
      <c r="M17" s="719"/>
      <c r="N17" s="719"/>
      <c r="O17" s="719"/>
      <c r="P17" s="719"/>
      <c r="Q17" s="719"/>
      <c r="R17" s="719"/>
      <c r="S17" s="1032"/>
      <c r="T17" s="1033"/>
    </row>
    <row r="18" spans="1:20" ht="15" x14ac:dyDescent="0.2">
      <c r="A18" s="1033"/>
      <c r="B18" s="1039">
        <f>calcTier1PredictCapMonths</f>
        <v>22.313311385137478</v>
      </c>
      <c r="C18" s="1039">
        <f>calcTier1PredictCapMonths</f>
        <v>22.313311385137478</v>
      </c>
      <c r="D18" s="450"/>
      <c r="E18" s="450"/>
      <c r="F18" s="450"/>
      <c r="G18" s="450"/>
      <c r="H18" s="450"/>
      <c r="I18" s="450"/>
      <c r="J18" s="450"/>
      <c r="K18" s="450"/>
      <c r="L18" s="1027"/>
      <c r="M18" s="719"/>
      <c r="N18" s="719"/>
      <c r="O18" s="719"/>
      <c r="P18" s="719"/>
      <c r="Q18" s="719"/>
      <c r="R18" s="719"/>
      <c r="S18" s="1032"/>
      <c r="T18" s="1033"/>
    </row>
    <row r="19" spans="1:20" ht="15" x14ac:dyDescent="0.2">
      <c r="A19" s="1033"/>
      <c r="B19" s="366">
        <v>0</v>
      </c>
      <c r="C19" s="1039">
        <f>Tier1MBXSize/1024</f>
        <v>10.634765625</v>
      </c>
      <c r="D19" s="450"/>
      <c r="E19" s="450"/>
      <c r="F19" s="450"/>
      <c r="G19" s="450"/>
      <c r="H19" s="450"/>
      <c r="I19" s="450"/>
      <c r="J19" s="450"/>
      <c r="K19" s="450"/>
      <c r="L19" s="1027"/>
      <c r="M19" s="719"/>
      <c r="N19" s="719"/>
      <c r="O19" s="719"/>
      <c r="P19" s="719"/>
      <c r="Q19" s="719"/>
      <c r="R19" s="719"/>
      <c r="S19" s="1032"/>
      <c r="T19" s="1033"/>
    </row>
    <row r="20" spans="1:20" x14ac:dyDescent="0.2">
      <c r="A20" s="1033"/>
      <c r="S20" s="1032"/>
      <c r="T20" s="1033"/>
    </row>
    <row r="21" spans="1:20" ht="15" x14ac:dyDescent="0.2">
      <c r="A21" s="1033"/>
      <c r="B21" s="1050" t="s">
        <v>1823</v>
      </c>
      <c r="C21" s="1050" t="s">
        <v>249</v>
      </c>
      <c r="S21" s="1032"/>
      <c r="T21" s="1033"/>
    </row>
    <row r="22" spans="1:20" ht="15" x14ac:dyDescent="0.2">
      <c r="A22" s="1033"/>
      <c r="B22" s="1065" t="s">
        <v>1812</v>
      </c>
      <c r="C22" s="1061">
        <f>IF(calcTier2MBX&lt;&gt;0,Tier2AvgMessageSize*Tier2MessageProfile*WorkWeekDays/1024,0)</f>
        <v>0</v>
      </c>
      <c r="S22" s="1032"/>
      <c r="T22" s="1033"/>
    </row>
    <row r="23" spans="1:20" ht="15" x14ac:dyDescent="0.2">
      <c r="A23" s="1033"/>
      <c r="B23" s="1065" t="s">
        <v>1821</v>
      </c>
      <c r="C23" s="1061">
        <f>IF(calcTier2MBX&lt;&gt;0,calcTier2WeeklyData*52/1024,0)</f>
        <v>0</v>
      </c>
      <c r="S23" s="1032"/>
      <c r="T23" s="1033"/>
    </row>
    <row r="24" spans="1:20" ht="15" x14ac:dyDescent="0.2">
      <c r="A24" s="1033"/>
      <c r="B24" s="1065" t="s">
        <v>1813</v>
      </c>
      <c r="C24" s="1061">
        <f>IF(calcTier2MBX&lt;&gt;0,calcTier2YearlyData/12*1024,0)</f>
        <v>0</v>
      </c>
      <c r="S24" s="1032"/>
      <c r="T24" s="1033"/>
    </row>
    <row r="25" spans="1:20" ht="15" x14ac:dyDescent="0.2">
      <c r="A25" s="1033"/>
      <c r="B25" s="1066" t="s">
        <v>1814</v>
      </c>
      <c r="C25" s="1062">
        <f>IF(calcTier2MBX&lt;&gt;0,Tier2MBXSize/1024/(calcTier2YearlyData+calcTier2InitialMBXSize/1024),0)</f>
        <v>0</v>
      </c>
      <c r="S25" s="1032"/>
      <c r="T25" s="1033"/>
    </row>
    <row r="26" spans="1:20" ht="15" x14ac:dyDescent="0.2">
      <c r="A26" s="1033"/>
      <c r="B26" s="1066" t="s">
        <v>1815</v>
      </c>
      <c r="C26" s="1062">
        <f>IF(calcTier2MBX&lt;&gt;0,calcTier2PredictCapYears*12,0)</f>
        <v>0</v>
      </c>
      <c r="S26" s="1032"/>
      <c r="T26" s="1033"/>
    </row>
    <row r="27" spans="1:20" x14ac:dyDescent="0.2">
      <c r="A27" s="1033"/>
      <c r="S27" s="1032"/>
      <c r="T27" s="1033"/>
    </row>
    <row r="28" spans="1:20" ht="15.75" thickBot="1" x14ac:dyDescent="0.25">
      <c r="A28" s="1033"/>
      <c r="B28" s="304" t="s">
        <v>1827</v>
      </c>
      <c r="C28" s="1042">
        <v>0</v>
      </c>
      <c r="D28" s="1042">
        <v>12</v>
      </c>
      <c r="E28" s="1042">
        <v>15</v>
      </c>
      <c r="F28" s="1042">
        <v>18</v>
      </c>
      <c r="G28" s="1042">
        <v>21</v>
      </c>
      <c r="H28" s="1042">
        <v>24</v>
      </c>
      <c r="I28" s="1042">
        <v>27</v>
      </c>
      <c r="J28" s="1042">
        <v>30</v>
      </c>
      <c r="K28" s="1042">
        <v>33</v>
      </c>
      <c r="L28" s="1042">
        <v>36</v>
      </c>
      <c r="M28" s="1048">
        <v>39</v>
      </c>
      <c r="N28" s="1047">
        <v>42</v>
      </c>
      <c r="O28" s="1047">
        <v>45</v>
      </c>
      <c r="P28" s="1047">
        <v>48</v>
      </c>
      <c r="Q28" s="1047">
        <v>51</v>
      </c>
      <c r="R28" s="1047">
        <v>54</v>
      </c>
      <c r="S28" s="1067">
        <v>57</v>
      </c>
      <c r="T28" s="1049">
        <v>60</v>
      </c>
    </row>
    <row r="29" spans="1:20" ht="15.75" thickTop="1" x14ac:dyDescent="0.2">
      <c r="A29" s="1033"/>
      <c r="B29" s="1034" t="s">
        <v>1818</v>
      </c>
      <c r="C29" s="1039">
        <f>IF(calcTier2MBX&lt;&gt;0,calcTier2InitialMBXSize/1024,0)</f>
        <v>0</v>
      </c>
      <c r="D29" s="1039">
        <f>(calcTier2YearlyData+(calcTier2InitialMBXSize/1024))*0.6</f>
        <v>0</v>
      </c>
      <c r="E29" s="1039">
        <f t="shared" ref="E29:T29" si="3">(calcTier2YearlyData+(calcTier2InitialMBXSize/1024))*0.6*E28/12</f>
        <v>0</v>
      </c>
      <c r="F29" s="1039">
        <f t="shared" si="3"/>
        <v>0</v>
      </c>
      <c r="G29" s="1039">
        <f t="shared" si="3"/>
        <v>0</v>
      </c>
      <c r="H29" s="1039">
        <f t="shared" si="3"/>
        <v>0</v>
      </c>
      <c r="I29" s="1039">
        <f t="shared" si="3"/>
        <v>0</v>
      </c>
      <c r="J29" s="1039">
        <f t="shared" si="3"/>
        <v>0</v>
      </c>
      <c r="K29" s="1039">
        <f t="shared" si="3"/>
        <v>0</v>
      </c>
      <c r="L29" s="1039">
        <f t="shared" si="3"/>
        <v>0</v>
      </c>
      <c r="M29" s="1039">
        <f t="shared" si="3"/>
        <v>0</v>
      </c>
      <c r="N29" s="1039">
        <f t="shared" si="3"/>
        <v>0</v>
      </c>
      <c r="O29" s="1039">
        <f t="shared" si="3"/>
        <v>0</v>
      </c>
      <c r="P29" s="1039">
        <f t="shared" si="3"/>
        <v>0</v>
      </c>
      <c r="Q29" s="1039">
        <f t="shared" si="3"/>
        <v>0</v>
      </c>
      <c r="R29" s="1039">
        <f t="shared" si="3"/>
        <v>0</v>
      </c>
      <c r="S29" s="1039">
        <f t="shared" si="3"/>
        <v>0</v>
      </c>
      <c r="T29" s="1045">
        <f t="shared" si="3"/>
        <v>0</v>
      </c>
    </row>
    <row r="30" spans="1:20" ht="15" x14ac:dyDescent="0.2">
      <c r="A30" s="1033"/>
      <c r="B30" s="1034" t="s">
        <v>1819</v>
      </c>
      <c r="C30" s="1039">
        <f>IF(calcTier2MBX&lt;&gt;0,calcTier2InitialMBXSize/1024,0)</f>
        <v>0</v>
      </c>
      <c r="D30" s="1039">
        <f>(calcTier2YearlyData+(calcTier2InitialMBXSize/1024))*0.8</f>
        <v>0</v>
      </c>
      <c r="E30" s="1039">
        <f t="shared" ref="E30:T30" si="4">(calcTier2YearlyData+(calcTier2InitialMBXSize/1024))*0.8*E28/12</f>
        <v>0</v>
      </c>
      <c r="F30" s="1039">
        <f t="shared" si="4"/>
        <v>0</v>
      </c>
      <c r="G30" s="1039">
        <f t="shared" si="4"/>
        <v>0</v>
      </c>
      <c r="H30" s="1039">
        <f t="shared" si="4"/>
        <v>0</v>
      </c>
      <c r="I30" s="1039">
        <f t="shared" si="4"/>
        <v>0</v>
      </c>
      <c r="J30" s="1039">
        <f t="shared" si="4"/>
        <v>0</v>
      </c>
      <c r="K30" s="1039">
        <f t="shared" si="4"/>
        <v>0</v>
      </c>
      <c r="L30" s="1039">
        <f t="shared" si="4"/>
        <v>0</v>
      </c>
      <c r="M30" s="1039">
        <f t="shared" si="4"/>
        <v>0</v>
      </c>
      <c r="N30" s="1039">
        <f t="shared" si="4"/>
        <v>0</v>
      </c>
      <c r="O30" s="1039">
        <f t="shared" si="4"/>
        <v>0</v>
      </c>
      <c r="P30" s="1039">
        <f t="shared" si="4"/>
        <v>0</v>
      </c>
      <c r="Q30" s="1039">
        <f t="shared" si="4"/>
        <v>0</v>
      </c>
      <c r="R30" s="1039">
        <f t="shared" si="4"/>
        <v>0</v>
      </c>
      <c r="S30" s="1039">
        <f t="shared" si="4"/>
        <v>0</v>
      </c>
      <c r="T30" s="1045">
        <f t="shared" si="4"/>
        <v>0</v>
      </c>
    </row>
    <row r="31" spans="1:20" ht="15" x14ac:dyDescent="0.2">
      <c r="A31" s="1033"/>
      <c r="B31" s="1034" t="s">
        <v>1820</v>
      </c>
      <c r="C31" s="1039">
        <f>IF(calcTier2MBX&lt;&gt;0,calcTier2InitialMBXSize/1024,0)</f>
        <v>0</v>
      </c>
      <c r="D31" s="1039">
        <f>calcTier2YearlyData+(calcTier2InitialMBXSize/1024)</f>
        <v>0</v>
      </c>
      <c r="E31" s="1039">
        <f t="shared" ref="E31:T31" si="5">(calcTier2YearlyData+(calcTier2InitialMBXSize/1024))*E28/12</f>
        <v>0</v>
      </c>
      <c r="F31" s="1039">
        <f t="shared" si="5"/>
        <v>0</v>
      </c>
      <c r="G31" s="1039">
        <f t="shared" si="5"/>
        <v>0</v>
      </c>
      <c r="H31" s="1039">
        <f t="shared" si="5"/>
        <v>0</v>
      </c>
      <c r="I31" s="1039">
        <f t="shared" si="5"/>
        <v>0</v>
      </c>
      <c r="J31" s="1039">
        <f t="shared" si="5"/>
        <v>0</v>
      </c>
      <c r="K31" s="1039">
        <f t="shared" si="5"/>
        <v>0</v>
      </c>
      <c r="L31" s="1039">
        <f t="shared" si="5"/>
        <v>0</v>
      </c>
      <c r="M31" s="1039">
        <f t="shared" si="5"/>
        <v>0</v>
      </c>
      <c r="N31" s="1039">
        <f t="shared" si="5"/>
        <v>0</v>
      </c>
      <c r="O31" s="1039">
        <f t="shared" si="5"/>
        <v>0</v>
      </c>
      <c r="P31" s="1039">
        <f t="shared" si="5"/>
        <v>0</v>
      </c>
      <c r="Q31" s="1039">
        <f t="shared" si="5"/>
        <v>0</v>
      </c>
      <c r="R31" s="1039">
        <f t="shared" si="5"/>
        <v>0</v>
      </c>
      <c r="S31" s="1039">
        <f t="shared" si="5"/>
        <v>0</v>
      </c>
      <c r="T31" s="1045">
        <f t="shared" si="5"/>
        <v>0</v>
      </c>
    </row>
    <row r="32" spans="1:20" ht="15" x14ac:dyDescent="0.2">
      <c r="A32" s="1033"/>
      <c r="B32" s="1034"/>
      <c r="C32" s="1039"/>
      <c r="D32" s="450"/>
      <c r="E32" s="450"/>
      <c r="F32" s="450"/>
      <c r="G32" s="450"/>
      <c r="H32" s="450"/>
      <c r="I32" s="450"/>
      <c r="J32" s="450"/>
      <c r="K32" s="450"/>
      <c r="L32" s="1032"/>
      <c r="M32" s="719"/>
      <c r="N32" s="719"/>
      <c r="O32" s="719"/>
      <c r="P32" s="719"/>
      <c r="Q32" s="719"/>
      <c r="R32" s="719"/>
      <c r="S32" s="1032"/>
      <c r="T32" s="1033"/>
    </row>
    <row r="33" spans="1:20" ht="15" x14ac:dyDescent="0.2">
      <c r="A33" s="1033"/>
      <c r="B33" s="218" t="s">
        <v>1827</v>
      </c>
      <c r="C33" s="1041" t="s">
        <v>1822</v>
      </c>
      <c r="D33" s="450"/>
      <c r="E33" s="450"/>
      <c r="F33" s="450"/>
      <c r="G33" s="450"/>
      <c r="H33" s="450"/>
      <c r="I33" s="450"/>
      <c r="J33" s="450"/>
      <c r="K33" s="450"/>
      <c r="L33" s="1032"/>
      <c r="M33" s="719"/>
      <c r="N33" s="719"/>
      <c r="O33" s="719"/>
      <c r="P33" s="719"/>
      <c r="Q33" s="719"/>
      <c r="R33" s="719"/>
      <c r="S33" s="1032"/>
      <c r="T33" s="1033"/>
    </row>
    <row r="34" spans="1:20" ht="15" x14ac:dyDescent="0.2">
      <c r="A34" s="1033"/>
      <c r="B34" s="1039">
        <f>calcTier2PredictCapMonths</f>
        <v>0</v>
      </c>
      <c r="C34" s="1039">
        <f>calcTier2PredictCapMonths</f>
        <v>0</v>
      </c>
      <c r="D34" s="450"/>
      <c r="E34" s="450"/>
      <c r="F34" s="450"/>
      <c r="G34" s="450"/>
      <c r="H34" s="450"/>
      <c r="I34" s="450"/>
      <c r="J34" s="450"/>
      <c r="K34" s="450"/>
      <c r="L34" s="1032"/>
      <c r="M34" s="719"/>
      <c r="N34" s="719"/>
      <c r="O34" s="719"/>
      <c r="P34" s="719"/>
      <c r="Q34" s="719"/>
      <c r="R34" s="719"/>
      <c r="S34" s="1032"/>
      <c r="T34" s="1033"/>
    </row>
    <row r="35" spans="1:20" ht="15" x14ac:dyDescent="0.2">
      <c r="A35" s="1033"/>
      <c r="B35" s="366">
        <v>0</v>
      </c>
      <c r="C35" s="1039">
        <f>Tier2MBXSize/1024</f>
        <v>0</v>
      </c>
      <c r="D35" s="450"/>
      <c r="E35" s="450"/>
      <c r="F35" s="450"/>
      <c r="G35" s="450"/>
      <c r="H35" s="450"/>
      <c r="I35" s="450"/>
      <c r="J35" s="450"/>
      <c r="K35" s="450"/>
      <c r="L35" s="1032"/>
      <c r="M35" s="719"/>
      <c r="N35" s="719"/>
      <c r="O35" s="719"/>
      <c r="P35" s="719"/>
      <c r="Q35" s="719"/>
      <c r="R35" s="719"/>
      <c r="S35" s="1032"/>
      <c r="T35" s="1033"/>
    </row>
    <row r="36" spans="1:20" x14ac:dyDescent="0.2">
      <c r="A36" s="1033"/>
      <c r="S36" s="1032"/>
      <c r="T36" s="1033"/>
    </row>
    <row r="37" spans="1:20" ht="15" x14ac:dyDescent="0.2">
      <c r="B37" s="1044" t="s">
        <v>1825</v>
      </c>
      <c r="C37" s="1050" t="s">
        <v>249</v>
      </c>
      <c r="D37" s="719"/>
      <c r="E37" s="719"/>
      <c r="F37" s="719"/>
      <c r="G37" s="719"/>
      <c r="H37" s="719"/>
      <c r="I37" s="719"/>
      <c r="J37" s="719"/>
      <c r="K37" s="719"/>
      <c r="L37" s="719"/>
      <c r="M37" s="719"/>
      <c r="N37" s="719"/>
      <c r="O37" s="719"/>
      <c r="P37" s="719"/>
      <c r="Q37" s="719"/>
      <c r="R37" s="719"/>
      <c r="S37" s="1032"/>
      <c r="T37" s="1033"/>
    </row>
    <row r="38" spans="1:20" ht="15" x14ac:dyDescent="0.2">
      <c r="B38" s="1059" t="s">
        <v>1812</v>
      </c>
      <c r="C38" s="1061">
        <f>IF(calcTier3MBX&lt;&gt;0,Tier3AvgMessageSize*Tier3MessageProfile*WorkWeekDays/1024,0)</f>
        <v>0</v>
      </c>
      <c r="D38" s="719"/>
      <c r="E38" s="719"/>
      <c r="F38" s="719"/>
      <c r="G38" s="719"/>
      <c r="H38" s="719"/>
      <c r="I38" s="719"/>
      <c r="J38" s="719"/>
      <c r="K38" s="719"/>
      <c r="L38" s="719"/>
      <c r="M38" s="719"/>
      <c r="N38" s="719"/>
      <c r="O38" s="719"/>
      <c r="P38" s="719"/>
      <c r="Q38" s="719"/>
      <c r="R38" s="719"/>
      <c r="S38" s="1032"/>
      <c r="T38" s="1033"/>
    </row>
    <row r="39" spans="1:20" ht="15" x14ac:dyDescent="0.2">
      <c r="B39" s="1059" t="s">
        <v>1821</v>
      </c>
      <c r="C39" s="1061">
        <f>IF(calcTier3MBX&lt;&gt;0,calcTier3WeeklyData*52/1024,0)</f>
        <v>0</v>
      </c>
      <c r="D39" s="719"/>
      <c r="E39" s="719"/>
      <c r="F39" s="719"/>
      <c r="G39" s="719"/>
      <c r="H39" s="719"/>
      <c r="I39" s="719"/>
      <c r="J39" s="719"/>
      <c r="K39" s="719"/>
      <c r="L39" s="719"/>
      <c r="M39" s="719"/>
      <c r="N39" s="719"/>
      <c r="O39" s="719"/>
      <c r="P39" s="719"/>
      <c r="Q39" s="719"/>
      <c r="R39" s="719"/>
      <c r="S39" s="1032"/>
      <c r="T39" s="1033"/>
    </row>
    <row r="40" spans="1:20" ht="15" x14ac:dyDescent="0.2">
      <c r="B40" s="1059" t="s">
        <v>1813</v>
      </c>
      <c r="C40" s="1061">
        <f>IF(calcTier3MBX&lt;&gt;0,calcTier3YearlyData/12*1024,0)</f>
        <v>0</v>
      </c>
      <c r="D40" s="719"/>
      <c r="E40" s="719"/>
      <c r="F40" s="719"/>
      <c r="G40" s="719"/>
      <c r="H40" s="719"/>
      <c r="I40" s="719"/>
      <c r="J40" s="719"/>
      <c r="K40" s="719"/>
      <c r="L40" s="719"/>
      <c r="M40" s="719"/>
      <c r="N40" s="719"/>
      <c r="O40" s="719"/>
      <c r="P40" s="719"/>
      <c r="Q40" s="719"/>
      <c r="R40" s="719"/>
      <c r="S40" s="1032"/>
      <c r="T40" s="1033"/>
    </row>
    <row r="41" spans="1:20" ht="15" x14ac:dyDescent="0.2">
      <c r="B41" s="1060" t="s">
        <v>1814</v>
      </c>
      <c r="C41" s="1062">
        <f>IF(calcTier3MBX&lt;&gt;0,Tier3MBXSize/1024/(calcTier3YearlyData+calcTier3InitialMBXSize/1024),0)</f>
        <v>0</v>
      </c>
      <c r="D41" s="719"/>
      <c r="E41" s="719"/>
      <c r="F41" s="719"/>
      <c r="G41" s="719"/>
      <c r="H41" s="719"/>
      <c r="I41" s="719"/>
      <c r="J41" s="719"/>
      <c r="K41" s="719"/>
      <c r="L41" s="719"/>
      <c r="M41" s="719"/>
      <c r="N41" s="719"/>
      <c r="O41" s="719"/>
      <c r="P41" s="719"/>
      <c r="Q41" s="719"/>
      <c r="R41" s="719"/>
      <c r="S41" s="1032"/>
      <c r="T41" s="1033"/>
    </row>
    <row r="42" spans="1:20" ht="15" x14ac:dyDescent="0.2">
      <c r="B42" s="1060" t="s">
        <v>1815</v>
      </c>
      <c r="C42" s="1062">
        <f>IF(calcTier3MBX&lt;&gt;0,calcTier3PredictCapYears*12,0)</f>
        <v>0</v>
      </c>
      <c r="D42" s="719"/>
      <c r="E42" s="719"/>
      <c r="F42" s="719"/>
      <c r="G42" s="719"/>
      <c r="H42" s="719"/>
      <c r="I42" s="719"/>
      <c r="J42" s="719"/>
      <c r="K42" s="719"/>
      <c r="L42" s="719"/>
      <c r="M42" s="719"/>
      <c r="N42" s="719"/>
      <c r="O42" s="719"/>
      <c r="P42" s="719"/>
      <c r="Q42" s="719"/>
      <c r="R42" s="719"/>
      <c r="S42" s="1032"/>
      <c r="T42" s="1033"/>
    </row>
    <row r="43" spans="1:20" x14ac:dyDescent="0.2">
      <c r="A43" s="1033"/>
      <c r="B43" s="719"/>
      <c r="C43" s="719"/>
      <c r="D43" s="719"/>
      <c r="E43" s="719"/>
      <c r="F43" s="719"/>
      <c r="G43" s="719"/>
      <c r="H43" s="719"/>
      <c r="I43" s="719"/>
      <c r="J43" s="719"/>
      <c r="K43" s="719"/>
      <c r="L43" s="719"/>
      <c r="M43" s="719"/>
      <c r="N43" s="719"/>
      <c r="O43" s="719"/>
      <c r="P43" s="719"/>
      <c r="Q43" s="719"/>
      <c r="R43" s="719"/>
      <c r="S43" s="1032"/>
      <c r="T43" s="1033"/>
    </row>
    <row r="44" spans="1:20" ht="15.75" thickBot="1" x14ac:dyDescent="0.25">
      <c r="A44" s="1033"/>
      <c r="B44" s="304" t="s">
        <v>1826</v>
      </c>
      <c r="C44" s="1042">
        <v>0</v>
      </c>
      <c r="D44" s="1042">
        <v>12</v>
      </c>
      <c r="E44" s="1042">
        <v>15</v>
      </c>
      <c r="F44" s="1042">
        <v>18</v>
      </c>
      <c r="G44" s="1042">
        <v>21</v>
      </c>
      <c r="H44" s="1042">
        <v>24</v>
      </c>
      <c r="I44" s="1042">
        <v>27</v>
      </c>
      <c r="J44" s="1042">
        <v>30</v>
      </c>
      <c r="K44" s="1042">
        <v>33</v>
      </c>
      <c r="L44" s="1042">
        <v>36</v>
      </c>
      <c r="M44" s="1048">
        <v>39</v>
      </c>
      <c r="N44" s="1047">
        <v>42</v>
      </c>
      <c r="O44" s="1047">
        <v>45</v>
      </c>
      <c r="P44" s="1047">
        <v>48</v>
      </c>
      <c r="Q44" s="1047">
        <v>51</v>
      </c>
      <c r="R44" s="1047">
        <v>54</v>
      </c>
      <c r="S44" s="1067">
        <v>57</v>
      </c>
      <c r="T44" s="1049">
        <v>60</v>
      </c>
    </row>
    <row r="45" spans="1:20" ht="15.75" thickTop="1" x14ac:dyDescent="0.2">
      <c r="A45" s="1033"/>
      <c r="B45" s="1034" t="s">
        <v>1818</v>
      </c>
      <c r="C45" s="1039">
        <f>IF(calcTier3MBX&lt;&gt;0,calcTier3InitialMBXSize/1024,0)</f>
        <v>0</v>
      </c>
      <c r="D45" s="1039">
        <f>(calcTier3YearlyData+(calcTier3InitialMBXSize/1024))*0.6</f>
        <v>0</v>
      </c>
      <c r="E45" s="1039">
        <f t="shared" ref="E45:T45" si="6">(calcTier3YearlyData+(calcTier3InitialMBXSize/1024))*0.6*E44/12</f>
        <v>0</v>
      </c>
      <c r="F45" s="1039">
        <f t="shared" si="6"/>
        <v>0</v>
      </c>
      <c r="G45" s="1039">
        <f t="shared" si="6"/>
        <v>0</v>
      </c>
      <c r="H45" s="1039">
        <f t="shared" si="6"/>
        <v>0</v>
      </c>
      <c r="I45" s="1039">
        <f t="shared" si="6"/>
        <v>0</v>
      </c>
      <c r="J45" s="1039">
        <f t="shared" si="6"/>
        <v>0</v>
      </c>
      <c r="K45" s="1039">
        <f t="shared" si="6"/>
        <v>0</v>
      </c>
      <c r="L45" s="1039">
        <f t="shared" si="6"/>
        <v>0</v>
      </c>
      <c r="M45" s="1039">
        <f t="shared" si="6"/>
        <v>0</v>
      </c>
      <c r="N45" s="1039">
        <f t="shared" si="6"/>
        <v>0</v>
      </c>
      <c r="O45" s="1039">
        <f t="shared" si="6"/>
        <v>0</v>
      </c>
      <c r="P45" s="1039">
        <f t="shared" si="6"/>
        <v>0</v>
      </c>
      <c r="Q45" s="1039">
        <f t="shared" si="6"/>
        <v>0</v>
      </c>
      <c r="R45" s="1039">
        <f t="shared" si="6"/>
        <v>0</v>
      </c>
      <c r="S45" s="1039">
        <f t="shared" si="6"/>
        <v>0</v>
      </c>
      <c r="T45" s="1045">
        <f t="shared" si="6"/>
        <v>0</v>
      </c>
    </row>
    <row r="46" spans="1:20" ht="15" x14ac:dyDescent="0.2">
      <c r="A46" s="1033"/>
      <c r="B46" s="1034" t="s">
        <v>1819</v>
      </c>
      <c r="C46" s="1039">
        <f>IF(calcTier3MBX&lt;&gt;0,calcTier3InitialMBXSize/1024,0)</f>
        <v>0</v>
      </c>
      <c r="D46" s="1039">
        <f>(calcTier3YearlyData+(calcTier3InitialMBXSize/1024))*0.8</f>
        <v>0</v>
      </c>
      <c r="E46" s="1039">
        <f t="shared" ref="E46:T46" si="7">(calcTier3YearlyData+(calcTier3InitialMBXSize/1024))*0.8*E44/12</f>
        <v>0</v>
      </c>
      <c r="F46" s="1039">
        <f t="shared" si="7"/>
        <v>0</v>
      </c>
      <c r="G46" s="1039">
        <f t="shared" si="7"/>
        <v>0</v>
      </c>
      <c r="H46" s="1039">
        <f t="shared" si="7"/>
        <v>0</v>
      </c>
      <c r="I46" s="1039">
        <f t="shared" si="7"/>
        <v>0</v>
      </c>
      <c r="J46" s="1039">
        <f t="shared" si="7"/>
        <v>0</v>
      </c>
      <c r="K46" s="1039">
        <f t="shared" si="7"/>
        <v>0</v>
      </c>
      <c r="L46" s="1039">
        <f t="shared" si="7"/>
        <v>0</v>
      </c>
      <c r="M46" s="1039">
        <f t="shared" si="7"/>
        <v>0</v>
      </c>
      <c r="N46" s="1039">
        <f t="shared" si="7"/>
        <v>0</v>
      </c>
      <c r="O46" s="1039">
        <f t="shared" si="7"/>
        <v>0</v>
      </c>
      <c r="P46" s="1039">
        <f t="shared" si="7"/>
        <v>0</v>
      </c>
      <c r="Q46" s="1039">
        <f t="shared" si="7"/>
        <v>0</v>
      </c>
      <c r="R46" s="1039">
        <f t="shared" si="7"/>
        <v>0</v>
      </c>
      <c r="S46" s="1039">
        <f t="shared" si="7"/>
        <v>0</v>
      </c>
      <c r="T46" s="1045">
        <f t="shared" si="7"/>
        <v>0</v>
      </c>
    </row>
    <row r="47" spans="1:20" ht="15" x14ac:dyDescent="0.2">
      <c r="A47" s="1033"/>
      <c r="B47" s="1034" t="s">
        <v>1820</v>
      </c>
      <c r="C47" s="1039">
        <f>IF(calcTier3MBX&lt;&gt;0,calcTier3InitialMBXSize/1024,0)</f>
        <v>0</v>
      </c>
      <c r="D47" s="1039">
        <f>calcTier3YearlyData+(calcTier3InitialMBXSize/1024)</f>
        <v>0</v>
      </c>
      <c r="E47" s="1039">
        <f t="shared" ref="E47:T47" si="8">(calcTier3YearlyData+(calcTier3InitialMBXSize/1024))*E44/12</f>
        <v>0</v>
      </c>
      <c r="F47" s="1039">
        <f t="shared" si="8"/>
        <v>0</v>
      </c>
      <c r="G47" s="1039">
        <f t="shared" si="8"/>
        <v>0</v>
      </c>
      <c r="H47" s="1039">
        <f t="shared" si="8"/>
        <v>0</v>
      </c>
      <c r="I47" s="1039">
        <f t="shared" si="8"/>
        <v>0</v>
      </c>
      <c r="J47" s="1039">
        <f t="shared" si="8"/>
        <v>0</v>
      </c>
      <c r="K47" s="1039">
        <f t="shared" si="8"/>
        <v>0</v>
      </c>
      <c r="L47" s="1039">
        <f t="shared" si="8"/>
        <v>0</v>
      </c>
      <c r="M47" s="1039">
        <f t="shared" si="8"/>
        <v>0</v>
      </c>
      <c r="N47" s="1039">
        <f t="shared" si="8"/>
        <v>0</v>
      </c>
      <c r="O47" s="1039">
        <f t="shared" si="8"/>
        <v>0</v>
      </c>
      <c r="P47" s="1039">
        <f t="shared" si="8"/>
        <v>0</v>
      </c>
      <c r="Q47" s="1039">
        <f t="shared" si="8"/>
        <v>0</v>
      </c>
      <c r="R47" s="1039">
        <f t="shared" si="8"/>
        <v>0</v>
      </c>
      <c r="S47" s="1039">
        <f t="shared" si="8"/>
        <v>0</v>
      </c>
      <c r="T47" s="1045">
        <f t="shared" si="8"/>
        <v>0</v>
      </c>
    </row>
    <row r="48" spans="1:20" ht="15" x14ac:dyDescent="0.2">
      <c r="A48" s="1033"/>
      <c r="B48" s="1034"/>
      <c r="C48" s="1039"/>
      <c r="D48" s="450"/>
      <c r="E48" s="450"/>
      <c r="F48" s="450"/>
      <c r="G48" s="450"/>
      <c r="H48" s="450"/>
      <c r="I48" s="450"/>
      <c r="J48" s="450"/>
      <c r="K48" s="450"/>
      <c r="L48" s="1032"/>
      <c r="M48" s="719"/>
      <c r="N48" s="719"/>
      <c r="O48" s="719"/>
      <c r="P48" s="719"/>
      <c r="Q48" s="719"/>
      <c r="R48" s="719"/>
      <c r="S48" s="1032"/>
      <c r="T48" s="1033"/>
    </row>
    <row r="49" spans="1:20" ht="15" x14ac:dyDescent="0.2">
      <c r="A49" s="1033"/>
      <c r="B49" s="218" t="s">
        <v>1826</v>
      </c>
      <c r="C49" s="1041" t="s">
        <v>1822</v>
      </c>
      <c r="D49" s="450"/>
      <c r="E49" s="450"/>
      <c r="F49" s="450"/>
      <c r="G49" s="450"/>
      <c r="H49" s="450"/>
      <c r="I49" s="450"/>
      <c r="J49" s="450"/>
      <c r="K49" s="450"/>
      <c r="L49" s="1032"/>
      <c r="M49" s="719"/>
      <c r="N49" s="719"/>
      <c r="O49" s="719"/>
      <c r="P49" s="719"/>
      <c r="Q49" s="719"/>
      <c r="R49" s="719"/>
      <c r="S49" s="1032"/>
      <c r="T49" s="1033"/>
    </row>
    <row r="50" spans="1:20" ht="15" x14ac:dyDescent="0.2">
      <c r="A50" s="1033"/>
      <c r="B50" s="1039">
        <f>calcTier3PredictCapMonths</f>
        <v>0</v>
      </c>
      <c r="C50" s="1039">
        <f>calcTier3PredictCapMonths</f>
        <v>0</v>
      </c>
      <c r="D50" s="450"/>
      <c r="E50" s="450"/>
      <c r="F50" s="450"/>
      <c r="G50" s="450"/>
      <c r="H50" s="450"/>
      <c r="I50" s="450"/>
      <c r="J50" s="450"/>
      <c r="K50" s="450"/>
      <c r="L50" s="1032"/>
      <c r="M50" s="719"/>
      <c r="N50" s="719"/>
      <c r="O50" s="719"/>
      <c r="P50" s="719"/>
      <c r="Q50" s="719"/>
      <c r="R50" s="719"/>
      <c r="S50" s="1032"/>
      <c r="T50" s="1033"/>
    </row>
    <row r="51" spans="1:20" ht="15" x14ac:dyDescent="0.2">
      <c r="A51" s="1033"/>
      <c r="B51" s="366">
        <v>0</v>
      </c>
      <c r="C51" s="1039">
        <f>Tier3MBXSize/1024</f>
        <v>0</v>
      </c>
      <c r="D51" s="450"/>
      <c r="E51" s="450"/>
      <c r="F51" s="450"/>
      <c r="G51" s="450"/>
      <c r="H51" s="450"/>
      <c r="I51" s="450"/>
      <c r="J51" s="450"/>
      <c r="K51" s="450"/>
      <c r="L51" s="1032"/>
      <c r="M51" s="719"/>
      <c r="N51" s="719"/>
      <c r="O51" s="719"/>
      <c r="P51" s="719"/>
      <c r="Q51" s="719"/>
      <c r="R51" s="719"/>
      <c r="S51" s="1032"/>
      <c r="T51" s="1033"/>
    </row>
    <row r="52" spans="1:20" x14ac:dyDescent="0.2">
      <c r="A52" s="1033"/>
      <c r="S52" s="1032"/>
      <c r="T52" s="1033"/>
    </row>
    <row r="53" spans="1:20" ht="15" x14ac:dyDescent="0.2">
      <c r="A53" s="1033"/>
      <c r="B53" s="1040" t="s">
        <v>1825</v>
      </c>
      <c r="C53" s="1050" t="s">
        <v>249</v>
      </c>
      <c r="D53" s="719"/>
      <c r="E53" s="719"/>
      <c r="F53" s="719"/>
      <c r="G53" s="719"/>
      <c r="H53" s="719"/>
      <c r="I53" s="719"/>
      <c r="J53" s="719"/>
      <c r="K53" s="719"/>
      <c r="L53" s="719"/>
      <c r="M53" s="719"/>
      <c r="N53" s="719"/>
      <c r="O53" s="719"/>
      <c r="P53" s="719"/>
      <c r="Q53" s="719"/>
      <c r="R53" s="719"/>
      <c r="S53" s="1032"/>
      <c r="T53" s="1033"/>
    </row>
    <row r="54" spans="1:20" ht="15" x14ac:dyDescent="0.2">
      <c r="A54" s="1033"/>
      <c r="B54" s="1065" t="s">
        <v>1812</v>
      </c>
      <c r="C54" s="1061">
        <f>IF(calcTier4MBX&lt;&gt;0,Tier4AvgMessageSize*Tier4MessageProfile*WorkWeekDays/1024,0)</f>
        <v>0</v>
      </c>
      <c r="D54" s="719"/>
      <c r="E54" s="719"/>
      <c r="F54" s="719"/>
      <c r="G54" s="719"/>
      <c r="H54" s="719"/>
      <c r="I54" s="719"/>
      <c r="J54" s="719"/>
      <c r="K54" s="719"/>
      <c r="L54" s="719"/>
      <c r="M54" s="719"/>
      <c r="N54" s="719"/>
      <c r="O54" s="719"/>
      <c r="P54" s="719"/>
      <c r="Q54" s="719"/>
      <c r="R54" s="719"/>
      <c r="S54" s="1032"/>
      <c r="T54" s="1033"/>
    </row>
    <row r="55" spans="1:20" ht="15" x14ac:dyDescent="0.2">
      <c r="A55" s="1033"/>
      <c r="B55" s="1065" t="s">
        <v>1821</v>
      </c>
      <c r="C55" s="1061">
        <f>IF(calcTier4MBX&lt;&gt;0,calcTier4WeeklyData*52/1024,0)</f>
        <v>0</v>
      </c>
      <c r="D55" s="719"/>
      <c r="E55" s="719"/>
      <c r="F55" s="719"/>
      <c r="G55" s="719"/>
      <c r="H55" s="719"/>
      <c r="I55" s="719"/>
      <c r="J55" s="719"/>
      <c r="K55" s="719"/>
      <c r="L55" s="719"/>
      <c r="M55" s="719"/>
      <c r="N55" s="719"/>
      <c r="O55" s="719"/>
      <c r="P55" s="719"/>
      <c r="Q55" s="719"/>
      <c r="R55" s="719"/>
      <c r="S55" s="1032"/>
      <c r="T55" s="1033"/>
    </row>
    <row r="56" spans="1:20" ht="15" x14ac:dyDescent="0.2">
      <c r="A56" s="1033"/>
      <c r="B56" s="1065" t="s">
        <v>1813</v>
      </c>
      <c r="C56" s="1061">
        <f>IF(calcTier4MBX&lt;&gt;0,calcTier4YearlyData/12*1024,0)</f>
        <v>0</v>
      </c>
      <c r="D56" s="719"/>
      <c r="E56" s="719"/>
      <c r="F56" s="719"/>
      <c r="G56" s="719"/>
      <c r="H56" s="719"/>
      <c r="I56" s="719"/>
      <c r="J56" s="719"/>
      <c r="K56" s="719"/>
      <c r="L56" s="719"/>
      <c r="M56" s="719"/>
      <c r="N56" s="719"/>
      <c r="O56" s="719"/>
      <c r="P56" s="719"/>
      <c r="Q56" s="719"/>
      <c r="R56" s="719"/>
      <c r="S56" s="1032"/>
      <c r="T56" s="1033"/>
    </row>
    <row r="57" spans="1:20" ht="15" x14ac:dyDescent="0.2">
      <c r="A57" s="1033"/>
      <c r="B57" s="1066" t="s">
        <v>1814</v>
      </c>
      <c r="C57" s="1062">
        <f>IF(calcTier4MBX&lt;&gt;0,Tier4MBXSize/1024/(calcTier4YearlyData+calcTier4InitialMBXSize/1024),0)</f>
        <v>0</v>
      </c>
      <c r="D57" s="719"/>
      <c r="E57" s="719"/>
      <c r="F57" s="719"/>
      <c r="G57" s="719"/>
      <c r="H57" s="719"/>
      <c r="I57" s="719"/>
      <c r="J57" s="719"/>
      <c r="K57" s="719"/>
      <c r="L57" s="719"/>
      <c r="M57" s="719"/>
      <c r="N57" s="719"/>
      <c r="O57" s="719"/>
      <c r="P57" s="719"/>
      <c r="Q57" s="719"/>
      <c r="R57" s="719"/>
      <c r="S57" s="1032"/>
      <c r="T57" s="1033"/>
    </row>
    <row r="58" spans="1:20" ht="15" x14ac:dyDescent="0.2">
      <c r="A58" s="1033"/>
      <c r="B58" s="1066" t="s">
        <v>1815</v>
      </c>
      <c r="C58" s="1062">
        <f>IF(calcTier4MBX&lt;&gt;0,calcTier4PredictCapYears*12,0)</f>
        <v>0</v>
      </c>
      <c r="D58" s="719"/>
      <c r="E58" s="719"/>
      <c r="F58" s="719"/>
      <c r="G58" s="719"/>
      <c r="H58" s="719"/>
      <c r="I58" s="719"/>
      <c r="J58" s="719"/>
      <c r="K58" s="719"/>
      <c r="L58" s="719"/>
      <c r="M58" s="719"/>
      <c r="N58" s="719"/>
      <c r="O58" s="719"/>
      <c r="P58" s="719"/>
      <c r="Q58" s="719"/>
      <c r="R58" s="719"/>
      <c r="S58" s="1032"/>
      <c r="T58" s="1033"/>
    </row>
    <row r="59" spans="1:20" x14ac:dyDescent="0.2">
      <c r="A59" s="1033"/>
      <c r="B59" s="719"/>
      <c r="C59" s="719"/>
      <c r="D59" s="719"/>
      <c r="E59" s="719"/>
      <c r="F59" s="719"/>
      <c r="G59" s="719"/>
      <c r="H59" s="719"/>
      <c r="I59" s="719"/>
      <c r="J59" s="719"/>
      <c r="K59" s="719"/>
      <c r="L59" s="719"/>
      <c r="M59" s="719"/>
      <c r="N59" s="719"/>
      <c r="O59" s="719"/>
      <c r="P59" s="719"/>
      <c r="Q59" s="719"/>
      <c r="R59" s="719"/>
      <c r="S59" s="1032"/>
      <c r="T59" s="1033"/>
    </row>
    <row r="60" spans="1:20" ht="15.75" thickBot="1" x14ac:dyDescent="0.25">
      <c r="A60" s="1033"/>
      <c r="B60" s="304" t="s">
        <v>1826</v>
      </c>
      <c r="C60" s="1042">
        <v>0</v>
      </c>
      <c r="D60" s="1042">
        <v>12</v>
      </c>
      <c r="E60" s="1042">
        <v>15</v>
      </c>
      <c r="F60" s="1042">
        <v>18</v>
      </c>
      <c r="G60" s="1042">
        <v>21</v>
      </c>
      <c r="H60" s="1042">
        <v>24</v>
      </c>
      <c r="I60" s="1042">
        <v>27</v>
      </c>
      <c r="J60" s="1042">
        <v>30</v>
      </c>
      <c r="K60" s="1042">
        <v>33</v>
      </c>
      <c r="L60" s="1042">
        <v>36</v>
      </c>
      <c r="M60" s="1048">
        <v>39</v>
      </c>
      <c r="N60" s="1047">
        <v>42</v>
      </c>
      <c r="O60" s="1047">
        <v>45</v>
      </c>
      <c r="P60" s="1047">
        <v>48</v>
      </c>
      <c r="Q60" s="1047">
        <v>51</v>
      </c>
      <c r="R60" s="1047">
        <v>54</v>
      </c>
      <c r="S60" s="1067">
        <v>57</v>
      </c>
      <c r="T60" s="1049">
        <v>60</v>
      </c>
    </row>
    <row r="61" spans="1:20" ht="15.75" thickTop="1" x14ac:dyDescent="0.2">
      <c r="A61" s="1033"/>
      <c r="B61" s="1034" t="s">
        <v>1818</v>
      </c>
      <c r="C61" s="1039">
        <f>IF(calcTier4MBX&lt;&gt;0,calcTier4InitialMBXSize/1024,0)</f>
        <v>0</v>
      </c>
      <c r="D61" s="1039">
        <f>(calcTier4YearlyData+(calcTier4InitialMBXSize/1024))*0.6</f>
        <v>0</v>
      </c>
      <c r="E61" s="1039">
        <f t="shared" ref="E61:T61" si="9">(calcTier4YearlyData+(calcTier4InitialMBXSize/1024))*0.6*E60/12</f>
        <v>0</v>
      </c>
      <c r="F61" s="1039">
        <f t="shared" si="9"/>
        <v>0</v>
      </c>
      <c r="G61" s="1039">
        <f t="shared" si="9"/>
        <v>0</v>
      </c>
      <c r="H61" s="1039">
        <f t="shared" si="9"/>
        <v>0</v>
      </c>
      <c r="I61" s="1039">
        <f t="shared" si="9"/>
        <v>0</v>
      </c>
      <c r="J61" s="1039">
        <f t="shared" si="9"/>
        <v>0</v>
      </c>
      <c r="K61" s="1039">
        <f t="shared" si="9"/>
        <v>0</v>
      </c>
      <c r="L61" s="1039">
        <f t="shared" si="9"/>
        <v>0</v>
      </c>
      <c r="M61" s="1039">
        <f t="shared" si="9"/>
        <v>0</v>
      </c>
      <c r="N61" s="1039">
        <f t="shared" si="9"/>
        <v>0</v>
      </c>
      <c r="O61" s="1039">
        <f t="shared" si="9"/>
        <v>0</v>
      </c>
      <c r="P61" s="1039">
        <f t="shared" si="9"/>
        <v>0</v>
      </c>
      <c r="Q61" s="1039">
        <f t="shared" si="9"/>
        <v>0</v>
      </c>
      <c r="R61" s="1039">
        <f t="shared" si="9"/>
        <v>0</v>
      </c>
      <c r="S61" s="1039">
        <f t="shared" si="9"/>
        <v>0</v>
      </c>
      <c r="T61" s="1045">
        <f t="shared" si="9"/>
        <v>0</v>
      </c>
    </row>
    <row r="62" spans="1:20" ht="15" x14ac:dyDescent="0.2">
      <c r="A62" s="1033"/>
      <c r="B62" s="1034" t="s">
        <v>1819</v>
      </c>
      <c r="C62" s="1039">
        <f>IF(calcTier4MBX&lt;&gt;0,calcTier4InitialMBXSize/1024,0)</f>
        <v>0</v>
      </c>
      <c r="D62" s="1039">
        <f>(calcTier4YearlyData+(calcTier4InitialMBXSize/1024))*0.8</f>
        <v>0</v>
      </c>
      <c r="E62" s="1039">
        <f t="shared" ref="E62:T62" si="10">(calcTier4YearlyData+(calcTier4InitialMBXSize/1024))*0.8*E60/12</f>
        <v>0</v>
      </c>
      <c r="F62" s="1039">
        <f t="shared" si="10"/>
        <v>0</v>
      </c>
      <c r="G62" s="1039">
        <f t="shared" si="10"/>
        <v>0</v>
      </c>
      <c r="H62" s="1039">
        <f t="shared" si="10"/>
        <v>0</v>
      </c>
      <c r="I62" s="1039">
        <f t="shared" si="10"/>
        <v>0</v>
      </c>
      <c r="J62" s="1039">
        <f t="shared" si="10"/>
        <v>0</v>
      </c>
      <c r="K62" s="1039">
        <f t="shared" si="10"/>
        <v>0</v>
      </c>
      <c r="L62" s="1039">
        <f t="shared" si="10"/>
        <v>0</v>
      </c>
      <c r="M62" s="1039">
        <f t="shared" si="10"/>
        <v>0</v>
      </c>
      <c r="N62" s="1039">
        <f t="shared" si="10"/>
        <v>0</v>
      </c>
      <c r="O62" s="1039">
        <f t="shared" si="10"/>
        <v>0</v>
      </c>
      <c r="P62" s="1039">
        <f t="shared" si="10"/>
        <v>0</v>
      </c>
      <c r="Q62" s="1039">
        <f t="shared" si="10"/>
        <v>0</v>
      </c>
      <c r="R62" s="1039">
        <f t="shared" si="10"/>
        <v>0</v>
      </c>
      <c r="S62" s="1039">
        <f t="shared" si="10"/>
        <v>0</v>
      </c>
      <c r="T62" s="1045">
        <f t="shared" si="10"/>
        <v>0</v>
      </c>
    </row>
    <row r="63" spans="1:20" ht="15" x14ac:dyDescent="0.2">
      <c r="A63" s="1033"/>
      <c r="B63" s="1034" t="s">
        <v>1820</v>
      </c>
      <c r="C63" s="1039">
        <f>IF(calcTier4MBX&lt;&gt;0,calcTier4InitialMBXSize/1024,0)</f>
        <v>0</v>
      </c>
      <c r="D63" s="1039">
        <f>calcTier4YearlyData+(calcTier4InitialMBXSize/1024)</f>
        <v>0</v>
      </c>
      <c r="E63" s="1039">
        <f t="shared" ref="E63:T63" si="11">(calcTier4YearlyData+(calcTier4InitialMBXSize/1024))*E60/12</f>
        <v>0</v>
      </c>
      <c r="F63" s="1039">
        <f t="shared" si="11"/>
        <v>0</v>
      </c>
      <c r="G63" s="1039">
        <f t="shared" si="11"/>
        <v>0</v>
      </c>
      <c r="H63" s="1039">
        <f t="shared" si="11"/>
        <v>0</v>
      </c>
      <c r="I63" s="1039">
        <f t="shared" si="11"/>
        <v>0</v>
      </c>
      <c r="J63" s="1039">
        <f t="shared" si="11"/>
        <v>0</v>
      </c>
      <c r="K63" s="1039">
        <f t="shared" si="11"/>
        <v>0</v>
      </c>
      <c r="L63" s="1039">
        <f t="shared" si="11"/>
        <v>0</v>
      </c>
      <c r="M63" s="1039">
        <f t="shared" si="11"/>
        <v>0</v>
      </c>
      <c r="N63" s="1039">
        <f t="shared" si="11"/>
        <v>0</v>
      </c>
      <c r="O63" s="1039">
        <f t="shared" si="11"/>
        <v>0</v>
      </c>
      <c r="P63" s="1039">
        <f t="shared" si="11"/>
        <v>0</v>
      </c>
      <c r="Q63" s="1039">
        <f t="shared" si="11"/>
        <v>0</v>
      </c>
      <c r="R63" s="1039">
        <f t="shared" si="11"/>
        <v>0</v>
      </c>
      <c r="S63" s="1039">
        <f t="shared" si="11"/>
        <v>0</v>
      </c>
      <c r="T63" s="1045">
        <f t="shared" si="11"/>
        <v>0</v>
      </c>
    </row>
    <row r="64" spans="1:20" ht="15" x14ac:dyDescent="0.2">
      <c r="A64" s="1033"/>
      <c r="B64" s="1034"/>
      <c r="C64" s="1039"/>
      <c r="D64" s="450"/>
      <c r="E64" s="450"/>
      <c r="F64" s="450"/>
      <c r="G64" s="450"/>
      <c r="H64" s="450"/>
      <c r="I64" s="450"/>
      <c r="J64" s="450"/>
      <c r="K64" s="450"/>
      <c r="L64" s="1032"/>
      <c r="M64" s="719"/>
      <c r="N64" s="719"/>
      <c r="O64" s="719"/>
      <c r="P64" s="719"/>
      <c r="Q64" s="719"/>
      <c r="R64" s="719"/>
      <c r="S64" s="1032"/>
      <c r="T64" s="1033"/>
    </row>
    <row r="65" spans="1:20" ht="15" x14ac:dyDescent="0.2">
      <c r="A65" s="1033"/>
      <c r="B65" s="218" t="s">
        <v>1826</v>
      </c>
      <c r="C65" s="1041" t="s">
        <v>1822</v>
      </c>
      <c r="D65" s="450"/>
      <c r="E65" s="450"/>
      <c r="F65" s="450"/>
      <c r="G65" s="450"/>
      <c r="H65" s="450"/>
      <c r="I65" s="450"/>
      <c r="J65" s="450"/>
      <c r="K65" s="450"/>
      <c r="L65" s="1032"/>
      <c r="M65" s="719"/>
      <c r="N65" s="719"/>
      <c r="O65" s="719"/>
      <c r="P65" s="719"/>
      <c r="Q65" s="719"/>
      <c r="R65" s="719"/>
      <c r="S65" s="1032"/>
      <c r="T65" s="1033"/>
    </row>
    <row r="66" spans="1:20" ht="15" x14ac:dyDescent="0.2">
      <c r="A66" s="1033"/>
      <c r="B66" s="1039">
        <f>calcTier4PredictCapMonths</f>
        <v>0</v>
      </c>
      <c r="C66" s="1039">
        <f>calcTier4PredictCapMonths</f>
        <v>0</v>
      </c>
      <c r="D66" s="450"/>
      <c r="E66" s="450"/>
      <c r="F66" s="450"/>
      <c r="G66" s="450"/>
      <c r="H66" s="450"/>
      <c r="I66" s="450"/>
      <c r="J66" s="450"/>
      <c r="K66" s="450"/>
      <c r="L66" s="1032"/>
      <c r="M66" s="719"/>
      <c r="N66" s="719"/>
      <c r="O66" s="719"/>
      <c r="P66" s="719"/>
      <c r="Q66" s="719"/>
      <c r="R66" s="719"/>
      <c r="S66" s="1032"/>
      <c r="T66" s="1033"/>
    </row>
    <row r="67" spans="1:20" ht="15" x14ac:dyDescent="0.2">
      <c r="A67" s="1033"/>
      <c r="B67" s="366">
        <v>0</v>
      </c>
      <c r="C67" s="1039">
        <f>Tier4MBXSize/1024</f>
        <v>0</v>
      </c>
      <c r="D67" s="450"/>
      <c r="E67" s="450"/>
      <c r="F67" s="450"/>
      <c r="G67" s="450"/>
      <c r="H67" s="450"/>
      <c r="I67" s="450"/>
      <c r="J67" s="450"/>
      <c r="K67" s="450"/>
      <c r="L67" s="1032"/>
      <c r="M67" s="719"/>
      <c r="N67" s="719"/>
      <c r="O67" s="719"/>
      <c r="P67" s="719"/>
      <c r="Q67" s="719"/>
      <c r="R67" s="719"/>
      <c r="S67" s="1032"/>
      <c r="T67" s="1033"/>
    </row>
    <row r="68" spans="1:20" ht="13.5" thickBot="1" x14ac:dyDescent="0.25">
      <c r="A68" s="1033"/>
      <c r="T68" s="1033"/>
    </row>
    <row r="69" spans="1:20" x14ac:dyDescent="0.2">
      <c r="A69" s="1032"/>
      <c r="B69" s="886"/>
      <c r="C69" s="886"/>
      <c r="D69" s="886"/>
      <c r="E69" s="886"/>
      <c r="F69" s="886"/>
      <c r="G69" s="886"/>
      <c r="H69" s="886"/>
      <c r="I69" s="886"/>
      <c r="J69" s="886"/>
      <c r="K69" s="886"/>
      <c r="L69" s="886"/>
      <c r="M69" s="886"/>
      <c r="N69" s="886"/>
      <c r="O69" s="886"/>
      <c r="P69" s="886"/>
      <c r="Q69" s="886"/>
      <c r="R69" s="886"/>
      <c r="S69" s="886"/>
      <c r="T69" s="886"/>
    </row>
    <row r="70" spans="1:20" x14ac:dyDescent="0.2">
      <c r="T70" s="1032"/>
    </row>
    <row r="71" spans="1:20" x14ac:dyDescent="0.2">
      <c r="T71" s="1032"/>
    </row>
    <row r="72" spans="1:20" x14ac:dyDescent="0.2">
      <c r="T72" s="1032"/>
    </row>
    <row r="73" spans="1:20" x14ac:dyDescent="0.2">
      <c r="T73" s="1032"/>
    </row>
    <row r="74" spans="1:20" x14ac:dyDescent="0.2">
      <c r="T74" s="1032"/>
    </row>
    <row r="75" spans="1:20" x14ac:dyDescent="0.2">
      <c r="T75" s="1032"/>
    </row>
    <row r="76" spans="1:20" x14ac:dyDescent="0.2">
      <c r="T76" s="1032"/>
    </row>
    <row r="77" spans="1:20" x14ac:dyDescent="0.2">
      <c r="T77" s="1032"/>
    </row>
    <row r="78" spans="1:20" x14ac:dyDescent="0.2">
      <c r="T78" s="1032"/>
    </row>
    <row r="79" spans="1:20" x14ac:dyDescent="0.2">
      <c r="T79" s="1032"/>
    </row>
    <row r="80" spans="1:20" x14ac:dyDescent="0.2">
      <c r="T80" s="1032"/>
    </row>
    <row r="81" spans="20:20" x14ac:dyDescent="0.2">
      <c r="T81" s="1032"/>
    </row>
    <row r="82" spans="20:20" x14ac:dyDescent="0.2">
      <c r="T82" s="1032"/>
    </row>
    <row r="83" spans="20:20" x14ac:dyDescent="0.2">
      <c r="T83" s="1032"/>
    </row>
    <row r="84" spans="20:20" x14ac:dyDescent="0.2">
      <c r="T84" s="1032"/>
    </row>
    <row r="85" spans="20:20" x14ac:dyDescent="0.2">
      <c r="T85" s="1032"/>
    </row>
    <row r="86" spans="20:20" x14ac:dyDescent="0.2">
      <c r="T86" s="1032"/>
    </row>
    <row r="87" spans="20:20" x14ac:dyDescent="0.2">
      <c r="T87" s="1032"/>
    </row>
    <row r="88" spans="20:20" x14ac:dyDescent="0.2">
      <c r="T88" s="1032"/>
    </row>
    <row r="89" spans="20:20" x14ac:dyDescent="0.2">
      <c r="T89" s="1032"/>
    </row>
    <row r="90" spans="20:20" x14ac:dyDescent="0.2">
      <c r="T90" s="1032"/>
    </row>
    <row r="91" spans="20:20" x14ac:dyDescent="0.2">
      <c r="T91" s="1032"/>
    </row>
    <row r="92" spans="20:20" x14ac:dyDescent="0.2">
      <c r="T92" s="1032"/>
    </row>
    <row r="93" spans="20:20" x14ac:dyDescent="0.2">
      <c r="T93" s="1032"/>
    </row>
    <row r="94" spans="20:20" x14ac:dyDescent="0.2">
      <c r="T94" s="1032"/>
    </row>
    <row r="95" spans="20:20" x14ac:dyDescent="0.2">
      <c r="T95" s="1032"/>
    </row>
    <row r="96" spans="20:20" x14ac:dyDescent="0.2">
      <c r="T96" s="1032"/>
    </row>
    <row r="97" spans="20:20" x14ac:dyDescent="0.2">
      <c r="T97" s="1032"/>
    </row>
    <row r="98" spans="20:20" x14ac:dyDescent="0.2">
      <c r="T98" s="1032"/>
    </row>
    <row r="99" spans="20:20" x14ac:dyDescent="0.2">
      <c r="T99" s="1032"/>
    </row>
    <row r="100" spans="20:20" x14ac:dyDescent="0.2">
      <c r="T100" s="1032"/>
    </row>
    <row r="101" spans="20:20" x14ac:dyDescent="0.2">
      <c r="T101" s="1032"/>
    </row>
    <row r="102" spans="20:20" x14ac:dyDescent="0.2">
      <c r="T102" s="1032"/>
    </row>
    <row r="103" spans="20:20" x14ac:dyDescent="0.2">
      <c r="T103" s="1032"/>
    </row>
    <row r="104" spans="20:20" x14ac:dyDescent="0.2">
      <c r="T104" s="1032"/>
    </row>
    <row r="105" spans="20:20" x14ac:dyDescent="0.2">
      <c r="T105" s="1032"/>
    </row>
    <row r="106" spans="20:20" x14ac:dyDescent="0.2">
      <c r="T106" s="1032"/>
    </row>
    <row r="107" spans="20:20" x14ac:dyDescent="0.2">
      <c r="T107" s="1032"/>
    </row>
    <row r="108" spans="20:20" x14ac:dyDescent="0.2">
      <c r="T108" s="1032"/>
    </row>
    <row r="109" spans="20:20" x14ac:dyDescent="0.2">
      <c r="T109" s="1032"/>
    </row>
    <row r="110" spans="20:20" x14ac:dyDescent="0.2">
      <c r="T110" s="1032"/>
    </row>
    <row r="111" spans="20:20" x14ac:dyDescent="0.2">
      <c r="T111" s="1032"/>
    </row>
    <row r="112" spans="20:20" x14ac:dyDescent="0.2">
      <c r="T112" s="1032"/>
    </row>
    <row r="113" spans="20:20" x14ac:dyDescent="0.2">
      <c r="T113" s="1032"/>
    </row>
    <row r="114" spans="20:20" x14ac:dyDescent="0.2">
      <c r="T114" s="1032"/>
    </row>
    <row r="115" spans="20:20" x14ac:dyDescent="0.2">
      <c r="T115" s="1032"/>
    </row>
    <row r="116" spans="20:20" x14ac:dyDescent="0.2">
      <c r="T116" s="1032"/>
    </row>
    <row r="117" spans="20:20" x14ac:dyDescent="0.2">
      <c r="T117" s="1032"/>
    </row>
    <row r="118" spans="20:20" x14ac:dyDescent="0.2">
      <c r="T118" s="1032"/>
    </row>
    <row r="119" spans="20:20" x14ac:dyDescent="0.2">
      <c r="T119" s="1032"/>
    </row>
    <row r="120" spans="20:20" x14ac:dyDescent="0.2">
      <c r="T120" s="1032"/>
    </row>
    <row r="121" spans="20:20" x14ac:dyDescent="0.2">
      <c r="T121" s="1032"/>
    </row>
    <row r="122" spans="20:20" x14ac:dyDescent="0.2">
      <c r="T122" s="1032"/>
    </row>
    <row r="123" spans="20:20" x14ac:dyDescent="0.2">
      <c r="T123" s="1032"/>
    </row>
    <row r="124" spans="20:20" x14ac:dyDescent="0.2">
      <c r="T124" s="1032"/>
    </row>
    <row r="125" spans="20:20" x14ac:dyDescent="0.2">
      <c r="T125" s="1032"/>
    </row>
    <row r="126" spans="20:20" x14ac:dyDescent="0.2">
      <c r="T126" s="1032"/>
    </row>
  </sheetData>
  <mergeCells count="2">
    <mergeCell ref="B1:S1"/>
    <mergeCell ref="B3:T3"/>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09"/>
  <sheetViews>
    <sheetView showGridLines="0" showRowColHeaders="0" zoomScale="85" zoomScaleNormal="85" workbookViewId="0">
      <selection activeCell="B1" sqref="B1:I1"/>
    </sheetView>
  </sheetViews>
  <sheetFormatPr defaultColWidth="9.140625" defaultRowHeight="15" outlineLevelRow="1" x14ac:dyDescent="0.2"/>
  <cols>
    <col min="1" max="1" width="3.42578125" style="35" customWidth="1"/>
    <col min="2" max="2" width="53.140625" style="35" bestFit="1" customWidth="1"/>
    <col min="3" max="4" width="33.28515625" style="35" bestFit="1" customWidth="1"/>
    <col min="5" max="5" width="35" style="35" customWidth="1"/>
    <col min="6" max="6" width="30.85546875" style="35" bestFit="1" customWidth="1"/>
    <col min="7" max="7" width="27.42578125" style="35" bestFit="1" customWidth="1"/>
    <col min="8" max="8" width="30.85546875" style="35" bestFit="1" customWidth="1"/>
    <col min="9" max="9" width="15.28515625" style="35" bestFit="1" customWidth="1"/>
    <col min="10" max="16384" width="9.140625" style="35"/>
  </cols>
  <sheetData>
    <row r="1" spans="1:9" x14ac:dyDescent="0.2">
      <c r="B1" s="1167" t="s">
        <v>274</v>
      </c>
      <c r="C1" s="1168"/>
      <c r="D1" s="1168"/>
      <c r="E1" s="1168"/>
      <c r="F1" s="1168"/>
      <c r="G1" s="1168"/>
      <c r="H1" s="1168"/>
      <c r="I1" s="1169"/>
    </row>
    <row r="2" spans="1:9" x14ac:dyDescent="0.2">
      <c r="B2" s="1174"/>
      <c r="C2" s="1175"/>
      <c r="D2" s="1175"/>
      <c r="E2" s="1175"/>
      <c r="F2" s="1175"/>
      <c r="G2" s="53"/>
      <c r="H2" s="53"/>
      <c r="I2" s="42"/>
    </row>
    <row r="3" spans="1:9" ht="15" customHeight="1" x14ac:dyDescent="0.2">
      <c r="A3" s="42"/>
      <c r="B3" s="1174" t="s">
        <v>571</v>
      </c>
      <c r="C3" s="1175"/>
      <c r="D3" s="1175"/>
      <c r="E3" s="1175"/>
      <c r="F3" s="1175"/>
      <c r="G3" s="1175"/>
      <c r="H3" s="1175"/>
      <c r="I3" s="1176"/>
    </row>
    <row r="4" spans="1:9" x14ac:dyDescent="0.2">
      <c r="A4" s="42"/>
      <c r="B4" s="1174"/>
      <c r="C4" s="1175"/>
      <c r="D4" s="1175"/>
      <c r="E4" s="1175"/>
      <c r="F4" s="1175"/>
      <c r="G4" s="1175"/>
      <c r="H4" s="1175"/>
      <c r="I4" s="1176"/>
    </row>
    <row r="5" spans="1:9" x14ac:dyDescent="0.2">
      <c r="A5" s="42"/>
      <c r="B5" s="98"/>
      <c r="C5" s="98"/>
      <c r="D5" s="98"/>
      <c r="E5" s="98"/>
      <c r="F5" s="460"/>
      <c r="G5" s="53"/>
      <c r="H5" s="53"/>
      <c r="I5" s="42"/>
    </row>
    <row r="6" spans="1:9" x14ac:dyDescent="0.2">
      <c r="A6" s="42"/>
      <c r="B6" s="1174" t="s">
        <v>275</v>
      </c>
      <c r="C6" s="1175"/>
      <c r="D6" s="1175"/>
      <c r="E6" s="1175"/>
      <c r="F6" s="1175"/>
      <c r="G6" s="1175"/>
      <c r="H6" s="53"/>
      <c r="I6" s="42"/>
    </row>
    <row r="7" spans="1:9" x14ac:dyDescent="0.2">
      <c r="A7" s="42"/>
      <c r="B7" s="1174"/>
      <c r="C7" s="1175"/>
      <c r="D7" s="1175"/>
      <c r="E7" s="1175"/>
      <c r="F7" s="1175"/>
      <c r="G7" s="1175"/>
      <c r="H7" s="53"/>
      <c r="I7" s="42"/>
    </row>
    <row r="8" spans="1:9" x14ac:dyDescent="0.2">
      <c r="A8" s="42"/>
      <c r="B8" s="1337" t="s">
        <v>276</v>
      </c>
      <c r="C8" s="1338"/>
      <c r="D8" s="1338"/>
      <c r="E8" s="1338"/>
      <c r="F8" s="289"/>
      <c r="G8" s="53"/>
      <c r="H8" s="53"/>
      <c r="I8" s="42"/>
    </row>
    <row r="9" spans="1:9" ht="15" customHeight="1" x14ac:dyDescent="0.2">
      <c r="A9" s="42"/>
      <c r="B9" s="1174" t="s">
        <v>277</v>
      </c>
      <c r="C9" s="1175"/>
      <c r="D9" s="1175"/>
      <c r="E9" s="1175"/>
      <c r="F9" s="1175"/>
      <c r="G9" s="1175"/>
      <c r="H9" s="53"/>
      <c r="I9" s="42"/>
    </row>
    <row r="10" spans="1:9" x14ac:dyDescent="0.2">
      <c r="A10" s="42"/>
      <c r="B10" s="1175" t="s">
        <v>278</v>
      </c>
      <c r="C10" s="1175"/>
      <c r="D10" s="1175"/>
      <c r="E10" s="1175"/>
      <c r="F10" s="460"/>
      <c r="G10" s="53"/>
      <c r="H10" s="53"/>
      <c r="I10" s="42"/>
    </row>
    <row r="11" spans="1:9" x14ac:dyDescent="0.2">
      <c r="A11" s="42"/>
      <c r="B11" s="1175" t="s">
        <v>279</v>
      </c>
      <c r="C11" s="1175"/>
      <c r="D11" s="1175"/>
      <c r="E11" s="1175"/>
      <c r="F11" s="460"/>
      <c r="G11" s="53"/>
      <c r="H11" s="53"/>
      <c r="I11" s="42"/>
    </row>
    <row r="12" spans="1:9" x14ac:dyDescent="0.2">
      <c r="A12" s="42"/>
      <c r="B12" s="99"/>
      <c r="C12" s="99"/>
      <c r="D12" s="99"/>
      <c r="E12" s="99"/>
      <c r="F12" s="454"/>
      <c r="G12" s="53"/>
      <c r="H12" s="53"/>
      <c r="I12" s="42"/>
    </row>
    <row r="13" spans="1:9" x14ac:dyDescent="0.25">
      <c r="A13" s="53"/>
      <c r="B13" s="1334" t="s">
        <v>120</v>
      </c>
      <c r="C13" s="1335"/>
      <c r="D13" s="1335"/>
      <c r="E13" s="1335"/>
      <c r="F13" s="1335"/>
      <c r="G13" s="1335"/>
      <c r="H13" s="1335"/>
      <c r="I13" s="1336"/>
    </row>
    <row r="14" spans="1:9" ht="15" customHeight="1" x14ac:dyDescent="0.2">
      <c r="A14" s="42"/>
      <c r="B14" s="1327" t="s">
        <v>346</v>
      </c>
      <c r="C14" s="1328"/>
      <c r="D14" s="1328"/>
      <c r="E14" s="1328"/>
      <c r="F14" s="1328"/>
      <c r="G14" s="1328"/>
      <c r="H14" s="1328"/>
      <c r="I14" s="1329"/>
    </row>
    <row r="15" spans="1:9" x14ac:dyDescent="0.25">
      <c r="A15" s="42"/>
      <c r="B15" s="100"/>
      <c r="C15" s="101"/>
      <c r="D15" s="101"/>
      <c r="E15" s="102"/>
      <c r="F15" s="102"/>
      <c r="G15" s="53"/>
      <c r="H15" s="53"/>
      <c r="I15" s="42"/>
    </row>
    <row r="16" spans="1:9" x14ac:dyDescent="0.2">
      <c r="A16" s="42"/>
      <c r="B16" s="204" t="s">
        <v>582</v>
      </c>
      <c r="C16" s="204" t="s">
        <v>249</v>
      </c>
      <c r="D16" s="34"/>
      <c r="E16" s="204" t="s">
        <v>853</v>
      </c>
      <c r="F16" s="204" t="s">
        <v>249</v>
      </c>
      <c r="I16" s="42"/>
    </row>
    <row r="17" spans="1:9" x14ac:dyDescent="0.2">
      <c r="A17" s="42"/>
      <c r="B17" s="91" t="s">
        <v>58</v>
      </c>
      <c r="C17" s="241" t="s">
        <v>63</v>
      </c>
      <c r="D17" s="34"/>
      <c r="E17" s="91" t="s">
        <v>58</v>
      </c>
      <c r="F17" s="241" t="s">
        <v>63</v>
      </c>
      <c r="I17" s="42"/>
    </row>
    <row r="18" spans="1:9" x14ac:dyDescent="0.2">
      <c r="A18" s="42"/>
      <c r="B18" s="215" t="s">
        <v>54</v>
      </c>
      <c r="C18" s="242" t="s">
        <v>100</v>
      </c>
      <c r="D18" s="34"/>
      <c r="E18" s="215" t="s">
        <v>54</v>
      </c>
      <c r="F18" s="242" t="s">
        <v>101</v>
      </c>
      <c r="I18" s="42"/>
    </row>
    <row r="19" spans="1:9" x14ac:dyDescent="0.2">
      <c r="A19" s="42"/>
      <c r="B19" s="215" t="s">
        <v>55</v>
      </c>
      <c r="C19" s="242" t="s">
        <v>43</v>
      </c>
      <c r="D19" s="34"/>
      <c r="E19" s="215" t="s">
        <v>55</v>
      </c>
      <c r="F19" s="242" t="s">
        <v>43</v>
      </c>
      <c r="I19" s="42"/>
    </row>
    <row r="20" spans="1:9" x14ac:dyDescent="0.2">
      <c r="A20" s="42"/>
      <c r="B20" s="33"/>
      <c r="C20" s="39"/>
      <c r="D20" s="34"/>
      <c r="E20" s="59" t="s">
        <v>853</v>
      </c>
      <c r="F20" s="245" t="s">
        <v>215</v>
      </c>
      <c r="G20" s="53"/>
      <c r="H20" s="53"/>
      <c r="I20" s="42"/>
    </row>
    <row r="21" spans="1:9" x14ac:dyDescent="0.2">
      <c r="A21" s="42"/>
      <c r="B21" s="204" t="s">
        <v>581</v>
      </c>
      <c r="C21" s="204" t="s">
        <v>249</v>
      </c>
      <c r="D21" s="34"/>
      <c r="E21" s="39"/>
      <c r="F21" s="33"/>
      <c r="G21" s="53"/>
      <c r="H21" s="53"/>
      <c r="I21" s="42"/>
    </row>
    <row r="22" spans="1:9" x14ac:dyDescent="0.2">
      <c r="A22" s="42"/>
      <c r="B22" s="215" t="s">
        <v>51</v>
      </c>
      <c r="C22" s="243">
        <v>0.35</v>
      </c>
      <c r="D22" s="34"/>
      <c r="E22" s="39"/>
      <c r="F22" s="459"/>
      <c r="G22" s="53"/>
      <c r="H22" s="53"/>
      <c r="I22" s="42"/>
    </row>
    <row r="23" spans="1:9" x14ac:dyDescent="0.2">
      <c r="A23" s="42"/>
      <c r="B23" s="215" t="s">
        <v>52</v>
      </c>
      <c r="C23" s="243">
        <v>0.5</v>
      </c>
      <c r="D23" s="34"/>
      <c r="G23" s="53"/>
      <c r="H23" s="53"/>
      <c r="I23" s="42"/>
    </row>
    <row r="24" spans="1:9" x14ac:dyDescent="0.2">
      <c r="A24" s="42"/>
      <c r="B24" s="215" t="s">
        <v>53</v>
      </c>
      <c r="C24" s="244">
        <v>0.5</v>
      </c>
      <c r="D24" s="34"/>
      <c r="E24" s="39"/>
      <c r="F24" s="33"/>
      <c r="G24" s="53"/>
      <c r="H24" s="53"/>
      <c r="I24" s="42"/>
    </row>
    <row r="25" spans="1:9" x14ac:dyDescent="0.2">
      <c r="A25" s="42"/>
      <c r="B25" s="215"/>
      <c r="C25" s="244"/>
      <c r="D25" s="289"/>
      <c r="E25" s="39"/>
      <c r="F25" s="33"/>
      <c r="G25" s="53"/>
      <c r="H25" s="53"/>
      <c r="I25" s="42"/>
    </row>
    <row r="26" spans="1:9" x14ac:dyDescent="0.2">
      <c r="A26" s="42"/>
      <c r="B26" s="204" t="s">
        <v>583</v>
      </c>
      <c r="C26" s="204" t="s">
        <v>249</v>
      </c>
      <c r="D26" s="289"/>
      <c r="E26" s="39"/>
      <c r="F26" s="33"/>
      <c r="G26" s="53"/>
      <c r="H26" s="53"/>
      <c r="I26" s="42"/>
    </row>
    <row r="27" spans="1:9" x14ac:dyDescent="0.2">
      <c r="A27" s="42"/>
      <c r="B27" s="530" t="s">
        <v>218</v>
      </c>
      <c r="C27" s="458" t="s">
        <v>9</v>
      </c>
      <c r="D27" s="289"/>
      <c r="E27" s="1183" t="s">
        <v>1857</v>
      </c>
      <c r="F27" s="1183"/>
      <c r="G27" s="53"/>
      <c r="H27" s="53"/>
      <c r="I27" s="42"/>
    </row>
    <row r="28" spans="1:9" x14ac:dyDescent="0.2">
      <c r="A28" s="42"/>
      <c r="B28" s="531" t="s">
        <v>219</v>
      </c>
      <c r="C28" s="241" t="s">
        <v>18</v>
      </c>
      <c r="D28" s="289"/>
      <c r="E28" s="1183"/>
      <c r="F28" s="1183"/>
      <c r="G28" s="53"/>
      <c r="H28" s="53"/>
      <c r="I28" s="42"/>
    </row>
    <row r="29" spans="1:9" x14ac:dyDescent="0.2">
      <c r="A29" s="42"/>
      <c r="B29" s="247"/>
      <c r="C29" s="247"/>
      <c r="D29" s="247"/>
      <c r="E29" s="247"/>
      <c r="F29" s="247"/>
      <c r="G29" s="53"/>
      <c r="H29" s="53"/>
      <c r="I29" s="42"/>
    </row>
    <row r="30" spans="1:9" x14ac:dyDescent="0.2">
      <c r="A30" s="42"/>
      <c r="B30" s="1170" t="s">
        <v>36</v>
      </c>
      <c r="C30" s="1170"/>
      <c r="D30" s="1170"/>
      <c r="E30" s="1170"/>
      <c r="F30" s="1170"/>
      <c r="G30" s="1170"/>
      <c r="H30" s="1170"/>
      <c r="I30" s="1188"/>
    </row>
    <row r="31" spans="1:9" hidden="1" outlineLevel="1" x14ac:dyDescent="0.2">
      <c r="A31" s="42"/>
      <c r="B31" s="366"/>
      <c r="C31" s="366"/>
      <c r="D31" s="366"/>
      <c r="E31" s="366"/>
      <c r="F31" s="366"/>
      <c r="G31" s="53"/>
      <c r="H31" s="59"/>
      <c r="I31" s="42"/>
    </row>
    <row r="32" spans="1:9" hidden="1" outlineLevel="1" x14ac:dyDescent="0.2">
      <c r="A32" s="42"/>
      <c r="B32" s="204" t="s">
        <v>507</v>
      </c>
      <c r="C32" s="218" t="s">
        <v>333</v>
      </c>
      <c r="D32" s="36"/>
      <c r="F32" s="53"/>
      <c r="G32" s="53"/>
      <c r="H32" s="53"/>
      <c r="I32" s="42"/>
    </row>
    <row r="33" spans="1:10" hidden="1" outlineLevel="1" x14ac:dyDescent="0.2">
      <c r="A33" s="42"/>
      <c r="B33" s="59" t="s">
        <v>504</v>
      </c>
      <c r="C33" s="208">
        <f>IF(OR(VolArchitecture="1 Volume / DB",VolArchitecture="Multiple DBs / Volume"),0,LogReadTransfers+LogWriteTransfers)</f>
        <v>0</v>
      </c>
      <c r="D33" s="36"/>
      <c r="F33" s="53"/>
      <c r="G33" s="53"/>
      <c r="H33" s="53"/>
      <c r="I33" s="40"/>
      <c r="J33" s="53"/>
    </row>
    <row r="34" spans="1:10" hidden="1" outlineLevel="1" x14ac:dyDescent="0.2">
      <c r="A34" s="42"/>
      <c r="B34" s="55" t="s">
        <v>76</v>
      </c>
      <c r="C34" s="205">
        <f>IF(OR(VolArchitecture="1 Volume / DB",VolArchitecture="Multiple DBs / Volume"),0,LogReadTransfers+(2*LogWriteTransfers))</f>
        <v>0</v>
      </c>
      <c r="D34" s="36"/>
      <c r="F34" s="53"/>
      <c r="G34" s="53"/>
      <c r="H34" s="53"/>
      <c r="I34" s="42"/>
    </row>
    <row r="35" spans="1:10" hidden="1" outlineLevel="1" x14ac:dyDescent="0.2">
      <c r="A35" s="42"/>
      <c r="B35" s="59" t="s">
        <v>718</v>
      </c>
      <c r="C35" s="208">
        <f>ReadTransfers+WriteTransfers</f>
        <v>361.8</v>
      </c>
      <c r="D35" s="36"/>
      <c r="F35" s="53"/>
      <c r="G35" s="53"/>
      <c r="H35" s="53"/>
      <c r="I35" s="42"/>
    </row>
    <row r="36" spans="1:10" hidden="1" outlineLevel="1" x14ac:dyDescent="0.2">
      <c r="A36" s="42"/>
      <c r="B36" s="59" t="s">
        <v>719</v>
      </c>
      <c r="C36" s="208">
        <f>ReadTransfers+(2*WriteTransfers)</f>
        <v>506.52</v>
      </c>
      <c r="D36" s="34"/>
      <c r="F36" s="53"/>
      <c r="G36" s="53"/>
      <c r="H36" s="53"/>
      <c r="I36" s="42"/>
    </row>
    <row r="37" spans="1:10" hidden="1" outlineLevel="1" x14ac:dyDescent="0.2">
      <c r="A37" s="42"/>
      <c r="B37" s="59" t="s">
        <v>720</v>
      </c>
      <c r="C37" s="208">
        <f>ReadTransfers+(4*WriteTransfers)</f>
        <v>795.96</v>
      </c>
      <c r="D37" s="34"/>
      <c r="E37" s="53"/>
      <c r="F37" s="53"/>
      <c r="G37" s="53"/>
      <c r="H37" s="53"/>
      <c r="I37" s="42"/>
    </row>
    <row r="38" spans="1:10" hidden="1" outlineLevel="1" x14ac:dyDescent="0.2">
      <c r="A38" s="42"/>
      <c r="B38" s="59" t="s">
        <v>721</v>
      </c>
      <c r="C38" s="208">
        <f>ReadTransfers+(6*WriteTransfers)</f>
        <v>1085.3999999999999</v>
      </c>
      <c r="D38" s="34"/>
      <c r="E38" s="33"/>
      <c r="F38" s="33"/>
      <c r="G38" s="53"/>
      <c r="H38" s="53"/>
      <c r="I38" s="42"/>
    </row>
    <row r="39" spans="1:10" hidden="1" outlineLevel="1" x14ac:dyDescent="0.2">
      <c r="A39" s="42"/>
      <c r="B39" s="55" t="s">
        <v>75</v>
      </c>
      <c r="C39" s="205">
        <f>LogR10IOPS/(1-RD10Rebuild)</f>
        <v>0</v>
      </c>
      <c r="D39" s="36"/>
      <c r="E39" s="39"/>
      <c r="F39" s="33"/>
      <c r="G39" s="53"/>
      <c r="H39" s="53"/>
      <c r="I39" s="42"/>
    </row>
    <row r="40" spans="1:10" hidden="1" outlineLevel="1" x14ac:dyDescent="0.2">
      <c r="A40" s="42"/>
      <c r="B40" s="59" t="s">
        <v>722</v>
      </c>
      <c r="C40" s="208">
        <f>RD10TotIOPS/(1-RD10Rebuild)</f>
        <v>779.26153846153841</v>
      </c>
      <c r="D40" s="34"/>
      <c r="E40" s="39"/>
      <c r="F40" s="33"/>
      <c r="G40" s="53"/>
      <c r="H40" s="53"/>
      <c r="I40" s="42"/>
    </row>
    <row r="41" spans="1:10" hidden="1" outlineLevel="1" x14ac:dyDescent="0.2">
      <c r="A41" s="42"/>
      <c r="B41" s="59" t="s">
        <v>723</v>
      </c>
      <c r="C41" s="208">
        <f>RD5TotIOPS/(1-RD5Rebuild)</f>
        <v>1591.92</v>
      </c>
      <c r="D41" s="34"/>
      <c r="E41" s="39"/>
      <c r="F41" s="53"/>
      <c r="G41" s="53"/>
      <c r="H41" s="53"/>
      <c r="I41" s="42"/>
    </row>
    <row r="42" spans="1:10" hidden="1" outlineLevel="1" x14ac:dyDescent="0.2">
      <c r="A42" s="42"/>
      <c r="B42" s="59" t="s">
        <v>724</v>
      </c>
      <c r="C42" s="208">
        <f>RD6TotIOPS/(1-RD6Rebuild)</f>
        <v>2170.7999999999997</v>
      </c>
      <c r="D42" s="34"/>
      <c r="E42" s="39"/>
      <c r="F42" s="33"/>
      <c r="G42" s="53"/>
      <c r="H42" s="53"/>
      <c r="I42" s="42"/>
    </row>
    <row r="43" spans="1:10" hidden="1" outlineLevel="1" x14ac:dyDescent="0.2">
      <c r="A43" s="42"/>
      <c r="B43" s="34"/>
      <c r="C43" s="36"/>
      <c r="D43" s="34"/>
      <c r="E43" s="39"/>
      <c r="F43" s="33"/>
      <c r="G43" s="53"/>
      <c r="H43" s="53"/>
      <c r="I43" s="42"/>
    </row>
    <row r="44" spans="1:10" hidden="1" outlineLevel="1" x14ac:dyDescent="0.2">
      <c r="A44" s="42"/>
      <c r="B44" s="206" t="s">
        <v>121</v>
      </c>
      <c r="C44" s="204" t="s">
        <v>252</v>
      </c>
      <c r="D44" s="204" t="s">
        <v>255</v>
      </c>
      <c r="E44" s="204" t="s">
        <v>256</v>
      </c>
      <c r="F44" s="53"/>
      <c r="G44" s="53"/>
      <c r="H44" s="53"/>
      <c r="I44" s="42"/>
    </row>
    <row r="45" spans="1:10" hidden="1" outlineLevel="1" x14ac:dyDescent="0.2">
      <c r="A45" s="42"/>
      <c r="B45" s="59" t="s">
        <v>2</v>
      </c>
      <c r="C45" s="57">
        <f>IF(DBDiskSizePDC="--",0,VLOOKUP(DBDiskSizePDC,tblDiskCapacity,2,FALSE))</f>
        <v>4000</v>
      </c>
      <c r="D45" s="57">
        <f>IF(DBDiskSizeSDC="--",0,VLOOKUP(DBDiskSizeSDC,tblDiskCapacity,2,FALSE))</f>
        <v>4000</v>
      </c>
      <c r="E45" s="57">
        <f>IF(DBDiskSize3="--",0,VLOOKUP(DBDiskSize3,tblDiskCapacity,2,FALSE))</f>
        <v>0</v>
      </c>
      <c r="F45" s="53"/>
      <c r="G45" s="53"/>
      <c r="H45" s="53"/>
      <c r="I45" s="42"/>
    </row>
    <row r="46" spans="1:10" hidden="1" outlineLevel="1" x14ac:dyDescent="0.2">
      <c r="A46" s="42"/>
      <c r="B46" s="59" t="s">
        <v>3</v>
      </c>
      <c r="C46" s="208">
        <f>(DBRawDiskCap1*1000*1000*1000)/1024/1024/1024</f>
        <v>3725.2902984619141</v>
      </c>
      <c r="D46" s="208">
        <f>(DBRawDiskCap2*1000*1000*1000)/1024/1024/1024</f>
        <v>3725.2902984619141</v>
      </c>
      <c r="E46" s="208">
        <f>(DBRawDiskCap3*1000*1000*1000)/1024/1024/1024</f>
        <v>0</v>
      </c>
      <c r="F46" s="53"/>
      <c r="G46" s="53"/>
      <c r="H46" s="53"/>
      <c r="I46" s="42"/>
    </row>
    <row r="47" spans="1:10" hidden="1" outlineLevel="1" x14ac:dyDescent="0.2">
      <c r="A47" s="42"/>
      <c r="B47" s="59" t="s">
        <v>10</v>
      </c>
      <c r="C47" s="246">
        <v>1</v>
      </c>
      <c r="D47" s="246">
        <v>1</v>
      </c>
      <c r="E47" s="246">
        <v>1</v>
      </c>
      <c r="F47" s="53"/>
      <c r="G47" s="53"/>
      <c r="H47" s="53"/>
      <c r="I47" s="42"/>
    </row>
    <row r="48" spans="1:10" hidden="1" outlineLevel="1" x14ac:dyDescent="0.2">
      <c r="A48" s="42"/>
      <c r="B48" s="59" t="s">
        <v>90</v>
      </c>
      <c r="C48" s="59">
        <f>IF(DBDiskRPMPDC="--",0,VLOOKUP(DBDiskRPMPDC,TblDiskType,2,FALSE))</f>
        <v>57.5</v>
      </c>
      <c r="D48" s="59">
        <f>IF(DBDiskRPMSDC="--",0,VLOOKUP(DBDiskRPMSDC,TblDiskType,2,FALSE))</f>
        <v>57.5</v>
      </c>
      <c r="E48" s="59">
        <f>IF(DBDiskRPM3="--",0,VLOOKUP(DBDiskRPM3,TblDiskType,2,FALSE))</f>
        <v>55</v>
      </c>
      <c r="F48" s="53"/>
      <c r="G48" s="53"/>
      <c r="H48" s="53"/>
      <c r="I48" s="42"/>
    </row>
    <row r="49" spans="1:9" hidden="1" outlineLevel="1" x14ac:dyDescent="0.2">
      <c r="A49" s="42"/>
      <c r="B49" s="59" t="s">
        <v>335</v>
      </c>
      <c r="C49" s="59">
        <f>IF(DBDiskRPMPDC="--",0,VLOOKUP(DBDiskRPMPDC,TblDiskType,3,FALSE))</f>
        <v>300</v>
      </c>
      <c r="D49" s="59">
        <f>IF(DBDiskRPMSDC="--",0,VLOOKUP(DBDiskRPMSDC,TblDiskType,3,FALSE))</f>
        <v>300</v>
      </c>
      <c r="E49" s="59">
        <f>IF(DBDiskRPM3="--",0,VLOOKUP(DBDiskRPM3,TblDiskType,3,FALSE))</f>
        <v>300</v>
      </c>
      <c r="F49" s="53"/>
      <c r="G49" s="53"/>
      <c r="H49" s="53"/>
      <c r="I49" s="42"/>
    </row>
    <row r="50" spans="1:9" hidden="1" outlineLevel="1" x14ac:dyDescent="0.2">
      <c r="A50" s="42"/>
      <c r="B50" s="59"/>
      <c r="C50" s="59"/>
      <c r="D50" s="59"/>
      <c r="E50" s="59"/>
      <c r="F50" s="53"/>
      <c r="G50" s="53"/>
      <c r="H50" s="53"/>
      <c r="I50" s="42"/>
    </row>
    <row r="51" spans="1:9" hidden="1" outlineLevel="1" x14ac:dyDescent="0.2">
      <c r="A51" s="42"/>
      <c r="B51" s="206" t="s">
        <v>122</v>
      </c>
      <c r="C51" s="204" t="s">
        <v>252</v>
      </c>
      <c r="D51" s="204" t="s">
        <v>255</v>
      </c>
      <c r="E51" s="204" t="s">
        <v>256</v>
      </c>
      <c r="F51" s="53"/>
      <c r="G51" s="53"/>
      <c r="H51" s="53"/>
      <c r="I51" s="42"/>
    </row>
    <row r="52" spans="1:9" hidden="1" outlineLevel="1" x14ac:dyDescent="0.2">
      <c r="A52" s="42"/>
      <c r="B52" s="59" t="s">
        <v>2</v>
      </c>
      <c r="C52" s="366">
        <f>IF(LogDiskSizePDC="--",0,VLOOKUP(LogDiskSizePDC,tblDiskCapacity,2,FALSE))</f>
        <v>4000</v>
      </c>
      <c r="D52" s="366">
        <f>IF(LogDiskSizeSDC="--",0,VLOOKUP(LogDiskSizeSDC,tblDiskCapacity,2,FALSE))</f>
        <v>4000</v>
      </c>
      <c r="E52" s="366">
        <f>IF(LogDiskSize3="--",0,VLOOKUP(LogDiskSize3,tblDiskCapacity,2,FALSE))</f>
        <v>0</v>
      </c>
      <c r="F52" s="53"/>
      <c r="G52" s="53"/>
      <c r="H52" s="53"/>
      <c r="I52" s="42"/>
    </row>
    <row r="53" spans="1:9" hidden="1" outlineLevel="1" x14ac:dyDescent="0.2">
      <c r="A53" s="42"/>
      <c r="B53" s="59" t="s">
        <v>3</v>
      </c>
      <c r="C53" s="208">
        <f>(LogRawDiskCap1*1000*1000*1000)/1024/1024/1024</f>
        <v>3725.2902984619141</v>
      </c>
      <c r="D53" s="208">
        <f>(LogRawDiskCap2*1000*1000*1000)/1024/1024/1024</f>
        <v>3725.2902984619141</v>
      </c>
      <c r="E53" s="208">
        <f>(LogRawDiskCap3*1000*1000*1000)/1024/1024/1024</f>
        <v>0</v>
      </c>
      <c r="F53" s="53"/>
      <c r="G53" s="53"/>
      <c r="H53" s="53"/>
      <c r="I53" s="42"/>
    </row>
    <row r="54" spans="1:9" hidden="1" outlineLevel="1" x14ac:dyDescent="0.2">
      <c r="A54" s="42"/>
      <c r="B54" s="59" t="s">
        <v>10</v>
      </c>
      <c r="C54" s="246">
        <v>1</v>
      </c>
      <c r="D54" s="246">
        <v>1</v>
      </c>
      <c r="E54" s="246">
        <v>1</v>
      </c>
      <c r="F54" s="53"/>
      <c r="G54" s="53"/>
      <c r="H54" s="53"/>
      <c r="I54" s="42"/>
    </row>
    <row r="55" spans="1:9" hidden="1" outlineLevel="1" x14ac:dyDescent="0.2">
      <c r="A55" s="42"/>
      <c r="B55" s="59" t="s">
        <v>335</v>
      </c>
      <c r="C55" s="59">
        <f>IF(LogDiskRPMPDC="--",0,VLOOKUP(LogDiskRPMPDC,TblDiskType,3,FALSE))</f>
        <v>300</v>
      </c>
      <c r="D55" s="59">
        <f>IF(LogDiskRPMSDC="--",0,VLOOKUP(LogDiskRPMSDC,TblDiskType,3,FALSE))</f>
        <v>300</v>
      </c>
      <c r="E55" s="59">
        <f>IF(LogDiskRPM3="--",0,VLOOKUP(LogDiskRPM3,TblDiskType,3,FALSE))</f>
        <v>300</v>
      </c>
      <c r="F55" s="53"/>
      <c r="G55" s="53"/>
      <c r="H55" s="53"/>
      <c r="I55" s="42"/>
    </row>
    <row r="56" spans="1:9" hidden="1" outlineLevel="1" x14ac:dyDescent="0.2">
      <c r="A56" s="42"/>
      <c r="B56" s="59"/>
      <c r="C56" s="59"/>
      <c r="D56" s="59"/>
      <c r="E56" s="59"/>
      <c r="F56" s="53"/>
      <c r="G56" s="53"/>
      <c r="H56" s="53"/>
      <c r="I56" s="42"/>
    </row>
    <row r="57" spans="1:9" hidden="1" outlineLevel="1" x14ac:dyDescent="0.2">
      <c r="A57" s="42"/>
      <c r="B57" s="206" t="s">
        <v>854</v>
      </c>
      <c r="C57" s="204" t="s">
        <v>252</v>
      </c>
      <c r="D57" s="204" t="s">
        <v>255</v>
      </c>
      <c r="E57" s="204" t="s">
        <v>256</v>
      </c>
      <c r="F57" s="53"/>
      <c r="G57" s="53"/>
      <c r="H57" s="53"/>
      <c r="I57" s="42"/>
    </row>
    <row r="58" spans="1:9" hidden="1" outlineLevel="1" x14ac:dyDescent="0.2">
      <c r="A58" s="42"/>
      <c r="B58" s="59" t="s">
        <v>2</v>
      </c>
      <c r="C58" s="366">
        <f>IF(ResDiskSizePDC="--",0,VLOOKUP(ResDiskSizePDC,tblDiskCapacity,2,FALSE))</f>
        <v>4000</v>
      </c>
      <c r="D58" s="366">
        <f>IF(ResDiskSizeSDC="--",0,VLOOKUP(ResDiskSizeSDC,tblDiskCapacity,2,FALSE))</f>
        <v>4000</v>
      </c>
      <c r="E58" s="366">
        <f>IF(ResDiskSize3="--",0,VLOOKUP(ResDiskSize3,tblDiskCapacity,2,FALSE))</f>
        <v>0</v>
      </c>
      <c r="F58" s="53"/>
      <c r="G58" s="53"/>
      <c r="H58" s="53"/>
      <c r="I58" s="42"/>
    </row>
    <row r="59" spans="1:9" hidden="1" outlineLevel="1" x14ac:dyDescent="0.2">
      <c r="A59" s="42"/>
      <c r="B59" s="59" t="s">
        <v>3</v>
      </c>
      <c r="C59" s="208">
        <f>(ResRawDiskCap1*1000*1000*1000)/1024/1024/1024</f>
        <v>3725.2902984619141</v>
      </c>
      <c r="D59" s="208">
        <f>(ResRawDiskCap2*1000*1000*1000)/1024/1024/1024</f>
        <v>3725.2902984619141</v>
      </c>
      <c r="E59" s="208">
        <f>(ResRawDiskCap3*1000*1000*1000)/1024/1024/1024</f>
        <v>0</v>
      </c>
      <c r="F59" s="53"/>
      <c r="G59" s="53"/>
      <c r="H59" s="53"/>
      <c r="I59" s="42"/>
    </row>
    <row r="60" spans="1:9" hidden="1" outlineLevel="1" x14ac:dyDescent="0.2">
      <c r="A60" s="42"/>
      <c r="B60" s="59" t="s">
        <v>10</v>
      </c>
      <c r="C60" s="246">
        <v>1</v>
      </c>
      <c r="D60" s="246">
        <v>1</v>
      </c>
      <c r="E60" s="246">
        <v>1</v>
      </c>
      <c r="F60" s="53"/>
      <c r="G60" s="53"/>
      <c r="H60" s="53"/>
      <c r="I60" s="42"/>
    </row>
    <row r="61" spans="1:9" hidden="1" outlineLevel="1" x14ac:dyDescent="0.2">
      <c r="A61" s="42"/>
      <c r="B61" s="59" t="s">
        <v>90</v>
      </c>
      <c r="C61" s="59">
        <f>VLOOKUP(ResDiskRPMPDC,TblDiskType,2,FALSE)</f>
        <v>57.5</v>
      </c>
      <c r="D61" s="59">
        <f>VLOOKUP(ResDiskRPMSDC,TblDiskType,2,FALSE)</f>
        <v>57.5</v>
      </c>
      <c r="E61" s="59">
        <f>VLOOKUP(ResDiskRPM3,TblDiskType,2,FALSE)</f>
        <v>55</v>
      </c>
      <c r="F61" s="53"/>
      <c r="G61" s="53"/>
      <c r="H61" s="53"/>
      <c r="I61" s="42"/>
    </row>
    <row r="62" spans="1:9" hidden="1" outlineLevel="1" x14ac:dyDescent="0.2">
      <c r="A62" s="42"/>
      <c r="B62" s="947"/>
      <c r="C62" s="947"/>
      <c r="D62" s="947"/>
      <c r="E62" s="947"/>
      <c r="F62" s="53"/>
      <c r="G62" s="53"/>
      <c r="H62" s="53"/>
      <c r="I62" s="42"/>
    </row>
    <row r="63" spans="1:9" ht="15.75" hidden="1" outlineLevel="1" thickBot="1" x14ac:dyDescent="0.25">
      <c r="A63" s="42"/>
      <c r="B63" s="963" t="s">
        <v>1402</v>
      </c>
      <c r="C63" s="306" t="s">
        <v>252</v>
      </c>
      <c r="D63" s="306" t="s">
        <v>255</v>
      </c>
      <c r="E63" s="947"/>
      <c r="F63" s="53"/>
      <c r="G63" s="53"/>
      <c r="H63" s="53"/>
      <c r="I63" s="42"/>
    </row>
    <row r="64" spans="1:9" ht="15.75" hidden="1" outlineLevel="1" thickTop="1" x14ac:dyDescent="0.2">
      <c r="A64" s="42"/>
      <c r="B64" s="951" t="s">
        <v>2</v>
      </c>
      <c r="C64" s="966">
        <f>IF(SysDiskSizePDC="--",0,VLOOKUP(SysDiskSizePDC,tblDiskCapacity,2,FALSE))</f>
        <v>4000</v>
      </c>
      <c r="D64" s="966">
        <f>IF(SysDiskSizeSDC="--",0,VLOOKUP(SysDiskSizeSDC,tblDiskCapacity,2,FALSE))</f>
        <v>4000</v>
      </c>
      <c r="E64" s="947"/>
      <c r="F64" s="53"/>
      <c r="G64" s="53"/>
      <c r="H64" s="53"/>
      <c r="I64" s="42"/>
    </row>
    <row r="65" spans="1:9" hidden="1" outlineLevel="1" x14ac:dyDescent="0.2">
      <c r="A65" s="42"/>
      <c r="B65" s="952" t="s">
        <v>3</v>
      </c>
      <c r="C65" s="964">
        <f>(SysRawDiskCapPDC*1000*1000*1000)/1024/1024/1024</f>
        <v>3725.2902984619141</v>
      </c>
      <c r="D65" s="964">
        <f>(SysRawDiskCapSDC*1000*1000*1000)/1024/1024/1024</f>
        <v>3725.2902984619141</v>
      </c>
      <c r="E65" s="947"/>
      <c r="F65" s="53"/>
      <c r="G65" s="53"/>
      <c r="H65" s="53"/>
      <c r="I65" s="42"/>
    </row>
    <row r="66" spans="1:9" hidden="1" outlineLevel="1" x14ac:dyDescent="0.2">
      <c r="A66" s="42"/>
      <c r="B66" s="951" t="s">
        <v>10</v>
      </c>
      <c r="C66" s="967">
        <v>1</v>
      </c>
      <c r="D66" s="967">
        <v>1</v>
      </c>
      <c r="E66" s="947"/>
      <c r="F66" s="53"/>
      <c r="G66" s="53"/>
      <c r="H66" s="53"/>
      <c r="I66" s="42"/>
    </row>
    <row r="67" spans="1:9" hidden="1" outlineLevel="1" x14ac:dyDescent="0.2">
      <c r="A67" s="42"/>
      <c r="B67" s="953" t="s">
        <v>90</v>
      </c>
      <c r="C67" s="965">
        <f>VLOOKUP(SysDiskRPMPDC,TblDiskType,2,FALSE)</f>
        <v>57.5</v>
      </c>
      <c r="D67" s="965">
        <f>VLOOKUP(SysDiskRPMSDC,TblDiskType,2,FALSE)</f>
        <v>57.5</v>
      </c>
      <c r="E67" s="947"/>
      <c r="F67" s="53"/>
      <c r="G67" s="53"/>
      <c r="H67" s="53"/>
      <c r="I67" s="42"/>
    </row>
    <row r="68" spans="1:9" hidden="1" outlineLevel="1" x14ac:dyDescent="0.2">
      <c r="A68" s="42"/>
      <c r="B68" s="59"/>
      <c r="C68" s="59"/>
      <c r="D68" s="59"/>
      <c r="E68" s="59"/>
      <c r="F68" s="53"/>
      <c r="G68" s="53"/>
      <c r="H68" s="53"/>
      <c r="I68" s="42"/>
    </row>
    <row r="69" spans="1:9" hidden="1" outlineLevel="1" x14ac:dyDescent="0.2">
      <c r="A69" s="451"/>
      <c r="B69" s="1199" t="s">
        <v>505</v>
      </c>
      <c r="C69" s="1170"/>
      <c r="D69" s="1170"/>
      <c r="E69" s="1170"/>
      <c r="F69" s="1170"/>
      <c r="G69" s="1170"/>
      <c r="H69" s="1170"/>
      <c r="I69" s="1188"/>
    </row>
    <row r="70" spans="1:9" hidden="1" outlineLevel="1" x14ac:dyDescent="0.2">
      <c r="A70" s="42"/>
      <c r="B70" s="366"/>
      <c r="C70" s="366"/>
      <c r="D70" s="366"/>
      <c r="E70" s="366"/>
      <c r="F70" s="366"/>
      <c r="G70" s="53"/>
      <c r="H70" s="59"/>
      <c r="I70" s="42"/>
    </row>
    <row r="71" spans="1:9" hidden="1" outlineLevel="1" x14ac:dyDescent="0.2">
      <c r="A71" s="42"/>
      <c r="B71" s="206" t="s">
        <v>123</v>
      </c>
      <c r="C71" s="204" t="s">
        <v>252</v>
      </c>
      <c r="D71" s="204" t="s">
        <v>255</v>
      </c>
      <c r="E71" s="204" t="s">
        <v>256</v>
      </c>
      <c r="F71" s="461"/>
      <c r="G71" s="53"/>
      <c r="H71" s="53"/>
      <c r="I71" s="42"/>
    </row>
    <row r="72" spans="1:9" hidden="1" outlineLevel="1" x14ac:dyDescent="0.2">
      <c r="A72" s="42"/>
      <c r="B72" s="59" t="str">
        <f>IF(OR(VolArchitecture="1 Volume / DB",VolArchitecture="Multiple DBs / Volume"),"RAID-0 Number of DB+Log Disks (Performance)","RAID-0 Number of DB Disks (Performance)")</f>
        <v>RAID-0 Number of DB+Log Disks (Performance)</v>
      </c>
      <c r="C72" s="57">
        <f>IF(DBDiskSizePDC="--","--",ROUNDUP(BaseTotIOPS/(RandDBDiskIO1*DBDiskIOCap1),0))</f>
        <v>7</v>
      </c>
      <c r="D72" s="57">
        <f>IF(DBDiskSizeSDC="--","--",ROUNDUP(BaseTotIOPS/(RandDBDiskIO2*DBDiskIOCap2),0))</f>
        <v>7</v>
      </c>
      <c r="E72" s="57" t="str">
        <f>IF(DBDiskSize3="--","--",ROUNDUP(BaseTotIOPS/(RandDBDiskIO3*DBDiskIOCap3),0))</f>
        <v>--</v>
      </c>
      <c r="F72" s="461"/>
      <c r="G72" s="53"/>
      <c r="H72" s="53"/>
      <c r="I72" s="42"/>
    </row>
    <row r="73" spans="1:9" hidden="1" outlineLevel="1" x14ac:dyDescent="0.2">
      <c r="A73" s="42"/>
      <c r="B73" s="59" t="str">
        <f>IF(OR(VolArchitecture="1 Volume / DB",VolArchitecture="Multiple DBs / Volume"),"RAID-1/0 Number of DB+Log Disks (Performance)","RAID-1/0 Number of DB Disks (Performance)")</f>
        <v>RAID-1/0 Number of DB+Log Disks (Performance)</v>
      </c>
      <c r="C73" s="57">
        <f>IF(DBDiskSizePDC="--","--",CEILING(ROUNDUP(ReqRD10TotIOPS/(RandDBDiskIO1*DBDiskIOCap1),0),VLOOKUP(RAID10Type,tblRAID10Types,4,FALSE)))</f>
        <v>14</v>
      </c>
      <c r="D73" s="57">
        <f>IF(DBDiskSizeSDC="--","--",CEILING(ROUNDUP(ReqRD10TotIOPS/(RandDBDiskIO2*DBDiskIOCap2),0),VLOOKUP(RAID10Type,tblRAID10Types,4,FALSE)))</f>
        <v>14</v>
      </c>
      <c r="E73" s="57" t="str">
        <f>IF(DBDiskSize3="--","--",CEILING(ROUNDUP(ReqRD10TotIOPS/(RandDBDiskIO3*DBDiskIOCap3),0),VLOOKUP(RAID10Type,tblRAID10Types,4,FALSE)))</f>
        <v>--</v>
      </c>
      <c r="F73" s="461"/>
      <c r="G73" s="53"/>
      <c r="H73" s="53"/>
      <c r="I73" s="42"/>
    </row>
    <row r="74" spans="1:9" hidden="1" outlineLevel="1" x14ac:dyDescent="0.2">
      <c r="A74" s="42"/>
      <c r="B74" s="59" t="str">
        <f>IF(OR(VolArchitecture="1 Volume / DB",VolArchitecture="Multiple DBs / Volume"),"RAID-5 Number of DB+Log Disks (Performance)","RAID-5 Number of DB Disks (Performance)")</f>
        <v>RAID-5 Number of DB+Log Disks (Performance)</v>
      </c>
      <c r="C74" s="205" t="str">
        <f>IF(OR(DBDiskSizePDC="--",LEFT(DBDiskRPMPDC,4)="7.2K",LEFT(DBDiskRPMPDC,4)="5.2K",LEFT(DBDiskRPMPDC,4)="5.4K",LEFT(DBDiskRPMPDC,4)="5.9K"),"--",CEILING(ROUNDUP(ReqRD5TotIOPS/(RandDBDiskIO1*DBDiskIOCap1),0),VLOOKUP(RAID5Type,TblRAID5Types,4,FALSE)))</f>
        <v>--</v>
      </c>
      <c r="D74" s="205" t="str">
        <f>IF(OR(DBDiskSizeSDC="--",LEFT(DBDiskRPMSDC,4)="7.2K",LEFT(DBDiskRPMSDC,4)="5.2K",LEFT(DBDiskRPMSDC,4)="5.4K",LEFT(DBDiskRPMSDC,4)="5.9K"),"--",CEILING(ROUNDUP(ReqRD5TotIOPS/(RandDBDiskIO2*DBDiskIOCap2),0),VLOOKUP(RAID5Type,TblRAID5Types,4,FALSE)))</f>
        <v>--</v>
      </c>
      <c r="E74" s="205" t="str">
        <f>IF(OR(DBDiskSize3="--",LEFT(DBDiskRPM3,4)="7.2K",LEFT(DBDiskRPM3,4)="5.2K",LEFT(DBDiskRPM3,4)="5.4K",LEFT(DBDiskRPM3,4)="5.9K"),"--",CEILING(ROUNDUP(ReqRD5TotIOPS/(RandDBDiskIO3*DBDiskIOCap3),0),VLOOKUP(RAID5Type,TblRAID5Types,4,FALSE)))</f>
        <v>--</v>
      </c>
      <c r="F74" s="461"/>
      <c r="G74" s="53"/>
      <c r="H74" s="53"/>
      <c r="I74" s="42"/>
    </row>
    <row r="75" spans="1:9" hidden="1" outlineLevel="1" x14ac:dyDescent="0.2">
      <c r="A75" s="42"/>
      <c r="B75" s="59" t="str">
        <f>IF(OR(VolArchitecture="1 Volume / DB",VolArchitecture="Multiple DBs / Volume"),"RAID-6 Number of DB+Log Disks (Performance)","RAID-6 Number of DB Disks (Performance)")</f>
        <v>RAID-6 Number of DB+Log Disks (Performance)</v>
      </c>
      <c r="C75" s="205" t="str">
        <f>IF(OR(DBDiskSizePDC="--",LEFT(DBDiskRPMPDC,4)="7.2K",LEFT(DBDiskRPMPDC,4)="5.2K",LEFT(DBDiskRPMPDC,4)="5.4K",LEFT(DBDiskRPMPDC,4)="5.9K"),"--",CEILING(ROUNDUP(ReqRD6TotIOPS/(RandDBDiskIO1*DBDiskIOCap1),0),VLOOKUP(RAID6Type,TblRAID6Types,4,FALSE)))</f>
        <v>--</v>
      </c>
      <c r="D75" s="205" t="str">
        <f>IF(OR(DBDiskSizeSDC="--",LEFT(DBDiskRPMSDC,4)="7.2K",LEFT(DBDiskRPMSDC,4)="5.2K",LEFT(DBDiskRPMSDC,4)="5.4K",LEFT(DBDiskRPMSDC,4)="5.9K"),"--",CEILING(ROUNDUP(ReqRD6TotIOPS/(RandDBDiskIO2*DBDiskIOCap2),0),VLOOKUP(RAID6Type,TblRAID6Types,4,FALSE)))</f>
        <v>--</v>
      </c>
      <c r="E75" s="205" t="str">
        <f>IF(OR(DBDiskSize3="--",LEFT(DBDiskRPM3,4)="7.2K",LEFT(DBDiskRPM3,4)="5.2K",LEFT(DBDiskRPM3,4)="5.4K",LEFT(DBDiskRPM3,4)="5.9K"),"--",CEILING(ROUNDUP(ReqRD6TotIOPS/(RandDBDiskIO3*DBDiskIOCap3),0),VLOOKUP(RAID6Type,TblRAID6Types,4,FALSE)))</f>
        <v>--</v>
      </c>
      <c r="F75" s="461"/>
      <c r="G75" s="53"/>
      <c r="H75" s="53"/>
      <c r="I75" s="42"/>
    </row>
    <row r="76" spans="1:9" hidden="1" outlineLevel="1" x14ac:dyDescent="0.2">
      <c r="A76" s="42"/>
      <c r="B76" s="59" t="str">
        <f>IF(OR(VolArchitecture="1 Volume / DB",VolArchitecture="Multiple DBs / Volume"),"Number of DB+Log Disks (Capacity)","Number of DB Disks (Capacity)")</f>
        <v>Number of DB+Log Disks (Capacity)</v>
      </c>
      <c r="C76" s="208">
        <f>IF(DBDiskSizePDC="--",0,ROUNDUP(DBVolDiskSpaceReplicaSS/DBForDiskCap1,0))</f>
        <v>9</v>
      </c>
      <c r="D76" s="208">
        <f>IF(DBDiskSizeSDC="--",0,ROUNDUP(DBVolDiskSpaceReplicaSS/DBForDiskCap2,0))</f>
        <v>9</v>
      </c>
      <c r="E76" s="208">
        <f>IF(DBDiskSize3="--",0,ROUNDUP(DBVolDiskSpaceReplicaSS/DBForDiskCap3,0))</f>
        <v>0</v>
      </c>
      <c r="F76" s="461"/>
      <c r="G76" s="53"/>
      <c r="H76" s="53"/>
      <c r="I76" s="42"/>
    </row>
    <row r="77" spans="1:9" hidden="1" outlineLevel="1" x14ac:dyDescent="0.2">
      <c r="A77" s="42"/>
      <c r="B77" s="59" t="str">
        <f>IF(OR(VolArchitecture="1 Volume / DB",VolArchitecture="Multiple DBs / Volume"),"RAID-1/0 Number of DB+Log Disks (Capacity)","RAID-1/0 Number of DB Disks (Capacity)")</f>
        <v>RAID-1/0 Number of DB+Log Disks (Capacity)</v>
      </c>
      <c r="C77" s="59">
        <f>CEILING(NumDBDiskCap1,VLOOKUP(RAID10Type,tblRAID10Types,2,FALSE))+((CEILING(NumDBDiskCap1,VLOOKUP(RAID10Type,tblRAID10Types,2,FALSE))/VLOOKUP(RAID10Type,tblRAID10Types,2,FALSE))*VLOOKUP(RAID10Type,tblRAID10Types,3,FALSE))</f>
        <v>18</v>
      </c>
      <c r="D77" s="59">
        <f>CEILING(NumDBDiskCap2,VLOOKUP(RAID10Type,tblRAID10Types,2,FALSE))+((CEILING(NumDBDiskCap2,VLOOKUP(RAID10Type,tblRAID10Types,2,FALSE))/VLOOKUP(RAID10Type,tblRAID10Types,2,FALSE))*VLOOKUP(RAID10Type,tblRAID10Types,3,FALSE))</f>
        <v>18</v>
      </c>
      <c r="E77" s="59">
        <f>CEILING(NumDBDiskCap3,VLOOKUP(RAID10Type,tblRAID10Types,2,FALSE))+((CEILING(NumDBDiskCap3,VLOOKUP(RAID10Type,tblRAID10Types,2,FALSE))/VLOOKUP(RAID10Type,tblRAID10Types,2,FALSE))*VLOOKUP(RAID10Type,tblRAID10Types,3,FALSE))</f>
        <v>0</v>
      </c>
      <c r="F77" s="461"/>
      <c r="G77" s="53"/>
      <c r="H77" s="53"/>
      <c r="I77" s="42"/>
    </row>
    <row r="78" spans="1:9" hidden="1" outlineLevel="1" x14ac:dyDescent="0.2">
      <c r="A78" s="42"/>
      <c r="B78" s="59" t="str">
        <f>IF(OR(VolArchitecture="1 Volume / DB",VolArchitecture="Multiple DBs / Volume"),"RAID-5 Number of DB+Log Disks (Capacity)","RAID-5 Number of DB Disks (Capacity)")</f>
        <v>RAID-5 Number of DB+Log Disks (Capacity)</v>
      </c>
      <c r="C78" s="205">
        <f>CEILING(NumDBDiskCap1,VLOOKUP(RAID5Type,TblRAID5Types,2,FALSE))+((CEILING(NumDBDiskCap1,VLOOKUP(RAID5Type,TblRAID5Types,2,FALSE))/VLOOKUP(RAID5Type,TblRAID5Types,2,FALSE))*VLOOKUP(RAID5Type,TblRAID5Types,3,FALSE))</f>
        <v>12</v>
      </c>
      <c r="D78" s="208">
        <f>CEILING(NumDBDiskCap2,VLOOKUP(RAID5Type,TblRAID5Types,2,FALSE))+((CEILING(NumDBDiskCap2,VLOOKUP(RAID5Type,TblRAID5Types,2,FALSE))/VLOOKUP(RAID5Type,TblRAID5Types,2,FALSE))*VLOOKUP(RAID5Type,TblRAID5Types,3,FALSE))</f>
        <v>12</v>
      </c>
      <c r="E78" s="208">
        <f>CEILING(NumDBDiskCap3,VLOOKUP(RAID5Type,TblRAID5Types,2,FALSE))+((CEILING(NumDBDiskCap3,VLOOKUP(RAID5Type,TblRAID5Types,2,FALSE))/VLOOKUP(RAID5Type,TblRAID5Types,2,FALSE))*VLOOKUP(RAID5Type,TblRAID5Types,3,FALSE))</f>
        <v>0</v>
      </c>
      <c r="F78" s="461"/>
      <c r="G78" s="53"/>
      <c r="H78" s="53"/>
      <c r="I78" s="42"/>
    </row>
    <row r="79" spans="1:9" hidden="1" outlineLevel="1" x14ac:dyDescent="0.2">
      <c r="A79" s="42"/>
      <c r="B79" s="59" t="str">
        <f>IF(OR(VolArchitecture="1 Volume / DB",VolArchitecture="Multiple DBs / Volume"),"RAID-6 Number of DB+Log Disks (Capacity)","RAID-6 Number of DB Disks (Capacity)")</f>
        <v>RAID-6 Number of DB+Log Disks (Capacity)</v>
      </c>
      <c r="C79" s="205">
        <f>CEILING(NumDBDiskCap1,VLOOKUP(RAID6Type,TblRAID6Types,2,FALSE))+((CEILING(NumDBDiskCap1,VLOOKUP(RAID6Type,TblRAID6Types,2,FALSE))/VLOOKUP(RAID6Type,TblRAID6Types,2,FALSE))*VLOOKUP(RAID6Type,TblRAID6Types,3,FALSE))</f>
        <v>16</v>
      </c>
      <c r="D79" s="208">
        <f>CEILING(NumDBDiskCap2,VLOOKUP(RAID6Type,TblRAID6Types,2,FALSE))+((CEILING(NumDBDiskCap2,VLOOKUP(RAID6Type,TblRAID6Types,2,FALSE))/VLOOKUP(RAID6Type,TblRAID6Types,2,FALSE))*VLOOKUP(RAID6Type,TblRAID6Types,3,FALSE))</f>
        <v>16</v>
      </c>
      <c r="E79" s="208">
        <f>CEILING(NumDBDiskCap3,VLOOKUP(RAID6Type,TblRAID6Types,2,FALSE))+((CEILING(NumDBDiskCap3,VLOOKUP(RAID6Type,TblRAID6Types,2,FALSE))/VLOOKUP(RAID6Type,TblRAID6Types,2,FALSE))*VLOOKUP(RAID6Type,TblRAID6Types,3,FALSE))</f>
        <v>0</v>
      </c>
      <c r="F79" s="461"/>
      <c r="G79" s="53"/>
      <c r="H79" s="53"/>
      <c r="I79" s="42"/>
    </row>
    <row r="80" spans="1:9" hidden="1" outlineLevel="1" x14ac:dyDescent="0.2">
      <c r="A80" s="42"/>
      <c r="B80" s="59"/>
      <c r="C80" s="53"/>
      <c r="D80" s="34"/>
      <c r="E80" s="59"/>
      <c r="F80" s="59"/>
      <c r="G80" s="53"/>
      <c r="H80" s="53"/>
      <c r="I80" s="42"/>
    </row>
    <row r="81" spans="1:9" hidden="1" outlineLevel="1" x14ac:dyDescent="0.2">
      <c r="A81" s="42"/>
      <c r="B81" s="206" t="s">
        <v>62</v>
      </c>
      <c r="C81" s="204" t="s">
        <v>252</v>
      </c>
      <c r="D81" s="204" t="s">
        <v>255</v>
      </c>
      <c r="E81" s="204" t="s">
        <v>256</v>
      </c>
      <c r="F81" s="59"/>
      <c r="G81" s="53"/>
      <c r="H81" s="53"/>
      <c r="I81" s="42"/>
    </row>
    <row r="82" spans="1:9" s="66" customFormat="1" hidden="1" outlineLevel="1" x14ac:dyDescent="0.25">
      <c r="A82" s="67"/>
      <c r="B82" s="59" t="s">
        <v>230</v>
      </c>
      <c r="C82" s="57">
        <f>IF(OR(DBDiskSizePDC="--",LogDiskSizePDC="--",VolArchitecture="1 Volume / DB",VolArchitecture="Multiple DBs / Volume"),0,ROUNDUP(LogBaseIOPS/(SeqLogDiskIO1*LogDiskIOCap1),0))</f>
        <v>0</v>
      </c>
      <c r="D82" s="57">
        <f>IF(OR(DBDiskSizeSDC="--",LogDiskSizeSDC="--",VolArchitecture="1 Volume / DB",VolArchitecture="Multiple DBs / Volume"),0,ROUNDUP(LogBaseIOPS/(SeqLogDiskIO2*LogDiskIOCap2),0))</f>
        <v>0</v>
      </c>
      <c r="E82" s="57">
        <f>IF(OR(DBDiskSize3="--",LogDiskSize3="--",VolArchitecture="1 Volume / DB",VolArchitecture="Multiple DBs / Volume"),0,ROUNDUP(LogBaseIOPS/(SeqLogDiskIO3*LogDiskIOCap2),0))</f>
        <v>0</v>
      </c>
      <c r="F82" s="35"/>
      <c r="G82" s="58"/>
      <c r="H82" s="58"/>
      <c r="I82" s="67"/>
    </row>
    <row r="83" spans="1:9" hidden="1" outlineLevel="1" x14ac:dyDescent="0.2">
      <c r="A83" s="42"/>
      <c r="B83" s="59" t="s">
        <v>390</v>
      </c>
      <c r="C83" s="57">
        <f>IF(OR(DBDiskSizePDC="--",LogDiskSizePDC="--",VolArchitecture="1 Volume / DB",VolArchitecture="Multiple DBs / Volume"),0,ROUNDUP(LogVolDiskSpaceReplicaSS/LogForDiskCap1,0))</f>
        <v>0</v>
      </c>
      <c r="D83" s="57">
        <f>IF(OR(DBDiskSizeSDC="--",LogDiskSizeSDC="--",VolArchitecture="1 Volume / DB",VolArchitecture="Multiple DBs / Volume"),0,ROUNDUP(LogVolDiskSpaceReplicaSS/LogForDiskCap2,0))</f>
        <v>0</v>
      </c>
      <c r="E83" s="57">
        <f>IF(OR(DBDiskSize3="--",LogDiskSize3="--",VolArchitecture="1 Volume / DB",VolArchitecture="Multiple DBs / Volume"),0,ROUNDUP(LogVolDiskSpaceReplicaSS/LogForDiskCap3,0))</f>
        <v>0</v>
      </c>
      <c r="F83" s="59"/>
      <c r="G83" s="53"/>
      <c r="H83" s="53"/>
      <c r="I83" s="42"/>
    </row>
    <row r="84" spans="1:9" hidden="1" outlineLevel="1" x14ac:dyDescent="0.2">
      <c r="A84" s="42"/>
      <c r="B84" s="59" t="s">
        <v>74</v>
      </c>
      <c r="C84" s="57">
        <f>IF(OR(DBDiskSizePDC="--",LogDiskSizePDC="--",VolArchitecture="1 Volume / DB",VolArchitecture="Multiple DBs / Volume"),0,CEILING(NumLogDiskCap1,VLOOKUP(RAID10Type,tblRAID10Types,2,FALSE))+((CEILING(NumLogDiskCap1,VLOOKUP(RAID10Type,tblRAID10Types,2,FALSE))/VLOOKUP(RAID10Type,tblRAID10Types,2,FALSE))*VLOOKUP(RAID10Type,tblRAID10Types,3,FALSE)))</f>
        <v>0</v>
      </c>
      <c r="D84" s="57">
        <f>IF(OR(DBDiskSizeSDC="--",LogDiskSizeSDC="--",VolArchitecture="1 Volume / DB",VolArchitecture="Multiple DBs / Volume"),0,CEILING(NumLogDiskCap2,VLOOKUP(RAID10Type,tblRAID10Types,2,FALSE))+((CEILING(NumLogDiskCap2,VLOOKUP(RAID10Type,tblRAID10Types,2,FALSE))/VLOOKUP(RAID10Type,tblRAID10Types,2,FALSE))*VLOOKUP(RAID10Type,tblRAID10Types,3,FALSE)))</f>
        <v>0</v>
      </c>
      <c r="E84" s="57">
        <f>IF(OR(DBDiskSize3="--",LogDiskSize3="--",VolArchitecture="1 Volume / DB",VolArchitecture="Multiple DBs / Volume"),0,CEILING(NumLogDiskCap3,VLOOKUP(RAID10Type,tblRAID10Types,2,FALSE))+((CEILING(NumLogDiskCap3,VLOOKUP(RAID10Type,tblRAID10Types,2,FALSE))/VLOOKUP(RAID10Type,tblRAID10Types,2,FALSE))*VLOOKUP(RAID10Type,tblRAID10Types,3,FALSE)))</f>
        <v>0</v>
      </c>
      <c r="F84" s="59"/>
      <c r="G84" s="53"/>
      <c r="H84" s="53"/>
      <c r="I84" s="42"/>
    </row>
    <row r="85" spans="1:9" hidden="1" outlineLevel="1" x14ac:dyDescent="0.2">
      <c r="A85" s="42"/>
      <c r="B85" s="59" t="s">
        <v>73</v>
      </c>
      <c r="C85" s="57">
        <f>IF(OR(DBDiskSizePDC="--",LogDiskSizePDC="--",VolArchitecture="1 Volume / DB",VolArchitecture="Multiple DBs / Volume"),0,CEILING(ROUNDUP(ReqLogR10IOPS/(SeqLogDiskIO1*LogDiskIOCap1),0),VLOOKUP(RAID10Type,tblRAID10Types,4,FALSE)))</f>
        <v>0</v>
      </c>
      <c r="D85" s="57">
        <f>IF(OR(DBDiskSizeSDC="--",LogDiskSizeSDC="--",VolArchitecture="1 Volume / DB",VolArchitecture="Multiple DBs / Volume"),0,CEILING(ROUNDUP(ReqLogR10IOPS/(SeqLogDiskIO2*LogDiskIOCap2),0),VLOOKUP(RAID10Type,tblRAID10Types,4,FALSE)))</f>
        <v>0</v>
      </c>
      <c r="E85" s="57">
        <f>IF(OR(DBDiskSize3="--",LogDiskSize3="--",VolArchitecture="1 Volume / DB",VolArchitecture="Multiple DBs / Volume"),0,CEILING(ROUNDUP(ReqLogR10IOPS/(SeqLogDiskIO3*LogDiskIOCap3),0),VLOOKUP(RAID10Type,tblRAID10Types,4,FALSE)))</f>
        <v>0</v>
      </c>
      <c r="F85" s="59"/>
      <c r="G85" s="53"/>
      <c r="H85" s="53"/>
      <c r="I85" s="42"/>
    </row>
    <row r="86" spans="1:9" hidden="1" outlineLevel="1" x14ac:dyDescent="0.2">
      <c r="A86" s="42"/>
      <c r="B86" s="59"/>
      <c r="C86" s="53"/>
      <c r="D86" s="34"/>
      <c r="E86" s="59"/>
      <c r="F86" s="59"/>
      <c r="G86" s="53"/>
      <c r="H86" s="53"/>
      <c r="I86" s="42"/>
    </row>
    <row r="87" spans="1:9" hidden="1" outlineLevel="1" x14ac:dyDescent="0.2">
      <c r="A87" s="42"/>
      <c r="B87" s="206" t="s">
        <v>855</v>
      </c>
      <c r="C87" s="204" t="s">
        <v>252</v>
      </c>
      <c r="D87" s="204" t="s">
        <v>255</v>
      </c>
      <c r="E87" s="204" t="s">
        <v>256</v>
      </c>
      <c r="F87" s="59"/>
      <c r="G87" s="53"/>
      <c r="H87" s="53"/>
      <c r="I87" s="42"/>
    </row>
    <row r="88" spans="1:9" hidden="1" outlineLevel="1" x14ac:dyDescent="0.2">
      <c r="A88" s="42"/>
      <c r="B88" s="59" t="s">
        <v>217</v>
      </c>
      <c r="C88" s="57">
        <f>IF(OR(DBDiskSizePDC="--",ResDiskSizePDC="--"),0,ROUNDUP(RestoreVolSize/ResDiskForCap1,0))</f>
        <v>1</v>
      </c>
      <c r="D88" s="57">
        <f>IF(OR(DBDiskSizeSDC="--",ResDiskSizeSDC="--"),0,ROUNDUP(RestoreVolSize/ResDiskForCap2,0))</f>
        <v>1</v>
      </c>
      <c r="E88" s="57">
        <f>IF(OR(DBDiskSize3="--",ResDiskSize3="--"),0,ROUNDUP(RestoreVolSize/ResDiskForCap3,0))</f>
        <v>0</v>
      </c>
      <c r="F88" s="59"/>
      <c r="G88" s="53"/>
      <c r="H88" s="53"/>
      <c r="I88" s="42"/>
    </row>
    <row r="89" spans="1:9" hidden="1" outlineLevel="1" x14ac:dyDescent="0.2">
      <c r="A89" s="42"/>
      <c r="B89" s="59" t="s">
        <v>856</v>
      </c>
      <c r="C89" s="57">
        <f>IF(RestoreVol="Yes",IF(OR(DBDiskSizePDC="--",ResDiskSizePDC="--"),0,CEILING(ResVolDiskCap1,VLOOKUP(RLRAID10Type,tblRAID10Types,2,FALSE))+((CEILING(ResVolDiskCap1,VLOOKUP(RLRAID10Type,tblRAID10Types,2,FALSE))/VLOOKUP(RLRAID10Type,tblRAID10Types,2,FALSE))*VLOOKUP(RLRAID10Type,tblRAID10Types,3,FALSE))),0)</f>
        <v>2</v>
      </c>
      <c r="D89" s="57">
        <f>IF(RestoreVol="Yes",IF(OR(DBDiskSizeSDC="--",ResDiskSizeSDC="--"),0,CEILING(ResVolDiskCap2,VLOOKUP(RLRAID10Type,tblRAID10Types,2,FALSE))+((CEILING(ResVolDiskCap2,VLOOKUP(RLRAID10Type,tblRAID10Types,2,FALSE))/VLOOKUP(RLRAID10Type,tblRAID10Types,2,FALSE))*VLOOKUP(RLRAID10Type,tblRAID10Types,3,FALSE))),0)</f>
        <v>2</v>
      </c>
      <c r="E89" s="57">
        <f>IF(RestoreVol="Yes",IF(OR(DBDiskSize3="--",ResDiskSize3="--"),0,CEILING(ResVolDiskCap3,VLOOKUP(RLRAID10Type,tblRAID10Types,2,FALSE))+((CEILING(ResVolDiskCap3,VLOOKUP(RLRAID10Type,tblRAID10Types,2,FALSE))/VLOOKUP(RLRAID10Type,tblRAID10Types,2,FALSE))*VLOOKUP(RLRAID10Type,tblRAID10Types,3,FALSE))),0)</f>
        <v>0</v>
      </c>
      <c r="F89" s="59"/>
      <c r="G89" s="53"/>
      <c r="H89" s="53"/>
      <c r="I89" s="42"/>
    </row>
    <row r="90" spans="1:9" hidden="1" outlineLevel="1" x14ac:dyDescent="0.2">
      <c r="A90" s="42"/>
      <c r="B90" s="59" t="s">
        <v>857</v>
      </c>
      <c r="C90" s="205">
        <f>IF(RestoreVol="Yes",IF(OR(DBDiskSizePDC="--",ResDiskSizePDC="--"),0,CEILING(ResVolDiskCap1,VLOOKUP(RLRAID5Type,TblRAID5Types,2,FALSE))+((CEILING(ResVolDiskCap1,VLOOKUP(RLRAID5Type,TblRAID5Types,2,FALSE))/VLOOKUP(RLRAID5Type,TblRAID5Types,2,FALSE))*VLOOKUP(RLRAID5Type,TblRAID5Types,3,FALSE))),0)</f>
        <v>3</v>
      </c>
      <c r="D90" s="205">
        <f>IF(RestoreVol="Yes",IF(OR(DBDiskSizeSDC="--",ResDiskSizeSDC="--"),0,CEILING(ResVolDiskCap2,VLOOKUP(RLRAID5Type,TblRAID5Types,2,FALSE))+((CEILING(ResVolDiskCap2,VLOOKUP(RLRAID5Type,TblRAID5Types,2,FALSE))/VLOOKUP(RLRAID5Type,TblRAID5Types,2,FALSE))*VLOOKUP(RLRAID5Type,TblRAID5Types,3,FALSE))),0)</f>
        <v>3</v>
      </c>
      <c r="E90" s="205">
        <f>IF(RestoreVol="Yes",IF(OR(DBDiskSize3="--",ResDiskSize3="--"),0,CEILING(ResVolDiskCap3,VLOOKUP(RLRAID5Type,TblRAID5Types,2,FALSE))+((CEILING(ResVolDiskCap3,VLOOKUP(RLRAID5Type,TblRAID5Types,2,FALSE))/VLOOKUP(RLRAID5Type,TblRAID5Types,2,FALSE))*VLOOKUP(RLRAID5Type,TblRAID5Types,3,FALSE))),0)</f>
        <v>0</v>
      </c>
      <c r="F90" s="59"/>
      <c r="G90" s="53"/>
      <c r="H90" s="53"/>
      <c r="I90" s="42"/>
    </row>
    <row r="91" spans="1:9" hidden="1" outlineLevel="1" x14ac:dyDescent="0.2">
      <c r="A91" s="42"/>
      <c r="B91" s="59" t="s">
        <v>858</v>
      </c>
      <c r="C91" s="57">
        <f>IF(RestoreVol="Yes",IF(OR(DBDiskSizePDC="--",ResDiskSizePDC="--"),0,CEILING(ResVolDiskCap1,VLOOKUP(RLRAID6Type,TblRAID6Types,2,FALSE))+((CEILING(ResVolDiskCap1,VLOOKUP(RLRAID6Type,TblRAID6Types,2,FALSE))/VLOOKUP(RLRAID6Type,TblRAID6Types,2,FALSE))*VLOOKUP(RLRAID6Type,TblRAID6Types,3,FALSE))),0)</f>
        <v>8</v>
      </c>
      <c r="D91" s="57">
        <f>IF(RestoreVol="Yes",IF(OR(DBDiskSizeSDC="--",ResDiskSizeSDC="--"),0,CEILING(ResVolDiskCap2,VLOOKUP(RLRAID6Type,TblRAID6Types,2,FALSE))+((CEILING(ResVolDiskCap2,VLOOKUP(RLRAID6Type,TblRAID6Types,2,FALSE))/VLOOKUP(RLRAID6Type,TblRAID6Types,2,FALSE))*VLOOKUP(RLRAID6Type,TblRAID6Types,3,FALSE))),0)</f>
        <v>8</v>
      </c>
      <c r="E91" s="57">
        <f>IF(RestoreVol="Yes",IF(OR(DBDiskSize3="--",ResDiskSize3="--"),0,CEILING(ResVolDiskCap3,VLOOKUP(RLRAID6Type,TblRAID6Types,2,FALSE))+((CEILING(ResVolDiskCap3,VLOOKUP(RLRAID6Type,TblRAID6Types,2,FALSE))/VLOOKUP(RLRAID6Type,TblRAID6Types,2,FALSE))*VLOOKUP(RLRAID6Type,TblRAID6Types,3,FALSE))),0)</f>
        <v>0</v>
      </c>
      <c r="F91" s="59"/>
      <c r="G91" s="53"/>
      <c r="H91" s="53"/>
      <c r="I91" s="42"/>
    </row>
    <row r="92" spans="1:9" hidden="1" outlineLevel="1" x14ac:dyDescent="0.2">
      <c r="A92" s="42"/>
      <c r="B92" s="59"/>
      <c r="C92" s="53"/>
      <c r="D92" s="53"/>
      <c r="E92" s="53"/>
      <c r="F92" s="59"/>
      <c r="G92" s="53"/>
      <c r="H92" s="53"/>
      <c r="I92" s="42"/>
    </row>
    <row r="93" spans="1:9" hidden="1" outlineLevel="1" x14ac:dyDescent="0.2">
      <c r="A93" s="42"/>
      <c r="B93" s="204" t="s">
        <v>228</v>
      </c>
      <c r="C93" s="204" t="s">
        <v>252</v>
      </c>
      <c r="D93" s="204" t="s">
        <v>255</v>
      </c>
      <c r="E93" s="204" t="s">
        <v>256</v>
      </c>
      <c r="F93" s="59"/>
      <c r="G93" s="53"/>
      <c r="H93" s="53"/>
      <c r="I93" s="42"/>
    </row>
    <row r="94" spans="1:9" hidden="1" outlineLevel="1" x14ac:dyDescent="0.2">
      <c r="A94" s="42"/>
      <c r="B94" s="59" t="s">
        <v>220</v>
      </c>
      <c r="C94" s="57">
        <f>NumDBDiskIOR01</f>
        <v>7</v>
      </c>
      <c r="D94" s="57">
        <f>NumDBDiskIOR02</f>
        <v>7</v>
      </c>
      <c r="E94" s="57" t="str">
        <f>NumDBDiskIOR03</f>
        <v>--</v>
      </c>
      <c r="F94" s="59"/>
      <c r="G94" s="53"/>
      <c r="H94" s="53"/>
      <c r="I94" s="42"/>
    </row>
    <row r="95" spans="1:9" hidden="1" outlineLevel="1" x14ac:dyDescent="0.2">
      <c r="A95" s="42"/>
      <c r="B95" s="59" t="s">
        <v>221</v>
      </c>
      <c r="C95" s="57">
        <f>NumDBDiskCap1</f>
        <v>9</v>
      </c>
      <c r="D95" s="57">
        <f>NumDBDiskCap2</f>
        <v>9</v>
      </c>
      <c r="E95" s="57">
        <f>NumDBDiskCap3</f>
        <v>0</v>
      </c>
      <c r="F95" s="59"/>
      <c r="G95" s="53"/>
      <c r="H95" s="53"/>
      <c r="I95" s="42"/>
    </row>
    <row r="96" spans="1:9" hidden="1" outlineLevel="1" x14ac:dyDescent="0.2">
      <c r="A96" s="42"/>
      <c r="B96" s="59" t="s">
        <v>222</v>
      </c>
      <c r="C96" s="57">
        <f>NumDBDiskIOR101</f>
        <v>14</v>
      </c>
      <c r="D96" s="57">
        <f>NumDBDiskIOR102</f>
        <v>14</v>
      </c>
      <c r="E96" s="57" t="str">
        <f>NumDBDiskIOR103</f>
        <v>--</v>
      </c>
      <c r="F96" s="59"/>
      <c r="G96" s="53"/>
      <c r="H96" s="53"/>
      <c r="I96" s="42"/>
    </row>
    <row r="97" spans="1:9" hidden="1" outlineLevel="1" x14ac:dyDescent="0.2">
      <c r="A97" s="42"/>
      <c r="B97" s="59" t="s">
        <v>223</v>
      </c>
      <c r="C97" s="57">
        <f>NumDBDiskCapR101</f>
        <v>18</v>
      </c>
      <c r="D97" s="57">
        <f>NumDBDiskCapR102</f>
        <v>18</v>
      </c>
      <c r="E97" s="57">
        <f>NumDBDiskCapR103</f>
        <v>0</v>
      </c>
      <c r="F97" s="59"/>
      <c r="G97" s="53"/>
      <c r="H97" s="53"/>
      <c r="I97" s="42"/>
    </row>
    <row r="98" spans="1:9" hidden="1" outlineLevel="1" x14ac:dyDescent="0.2">
      <c r="A98" s="42"/>
      <c r="B98" s="59" t="s">
        <v>224</v>
      </c>
      <c r="C98" s="57" t="str">
        <f>NumDBDiskIOR51</f>
        <v>--</v>
      </c>
      <c r="D98" s="57" t="str">
        <f>NumDBDiskIOR52</f>
        <v>--</v>
      </c>
      <c r="E98" s="57" t="str">
        <f>NumDBDiskIOR53</f>
        <v>--</v>
      </c>
      <c r="F98" s="59"/>
      <c r="G98" s="53"/>
      <c r="H98" s="53"/>
      <c r="I98" s="42"/>
    </row>
    <row r="99" spans="1:9" hidden="1" outlineLevel="1" x14ac:dyDescent="0.2">
      <c r="A99" s="42"/>
      <c r="B99" s="59" t="s">
        <v>225</v>
      </c>
      <c r="C99" s="57">
        <f>NumDBDiskCapR51</f>
        <v>12</v>
      </c>
      <c r="D99" s="57">
        <f>NumDBDiskCapR52</f>
        <v>12</v>
      </c>
      <c r="E99" s="57">
        <f>NumDBDiskCapR53</f>
        <v>0</v>
      </c>
      <c r="F99" s="59"/>
      <c r="G99" s="53"/>
      <c r="H99" s="53"/>
      <c r="I99" s="42"/>
    </row>
    <row r="100" spans="1:9" hidden="1" outlineLevel="1" x14ac:dyDescent="0.2">
      <c r="A100" s="42"/>
      <c r="B100" s="59" t="s">
        <v>226</v>
      </c>
      <c r="C100" s="57" t="str">
        <f>NumDBDiskIOR61</f>
        <v>--</v>
      </c>
      <c r="D100" s="57" t="str">
        <f>NumDBDiskIOR62</f>
        <v>--</v>
      </c>
      <c r="E100" s="57" t="str">
        <f>NumDBDiskIOR63</f>
        <v>--</v>
      </c>
      <c r="F100" s="59"/>
      <c r="G100" s="53"/>
      <c r="H100" s="53"/>
      <c r="I100" s="42"/>
    </row>
    <row r="101" spans="1:9" hidden="1" outlineLevel="1" x14ac:dyDescent="0.2">
      <c r="A101" s="42"/>
      <c r="B101" s="59" t="s">
        <v>227</v>
      </c>
      <c r="C101" s="57">
        <f>NumDBDiskCapR61</f>
        <v>16</v>
      </c>
      <c r="D101" s="57">
        <f>NumDBDiskCapR62</f>
        <v>16</v>
      </c>
      <c r="E101" s="57">
        <f>NumDBDiskCapR63</f>
        <v>0</v>
      </c>
      <c r="F101" s="59"/>
      <c r="G101" s="53"/>
      <c r="H101" s="53"/>
      <c r="I101" s="42"/>
    </row>
    <row r="102" spans="1:9" hidden="1" outlineLevel="1" x14ac:dyDescent="0.2">
      <c r="A102" s="42"/>
      <c r="B102" s="34"/>
      <c r="C102" s="34"/>
      <c r="D102" s="34"/>
      <c r="E102" s="34"/>
      <c r="F102" s="59"/>
      <c r="G102" s="53"/>
      <c r="H102" s="53"/>
      <c r="I102" s="42"/>
    </row>
    <row r="103" spans="1:9" hidden="1" outlineLevel="1" x14ac:dyDescent="0.2">
      <c r="A103" s="42"/>
      <c r="B103" s="204" t="s">
        <v>229</v>
      </c>
      <c r="C103" s="204" t="s">
        <v>252</v>
      </c>
      <c r="D103" s="204" t="s">
        <v>255</v>
      </c>
      <c r="E103" s="204" t="s">
        <v>256</v>
      </c>
      <c r="F103" s="59"/>
      <c r="G103" s="53"/>
      <c r="H103" s="53"/>
      <c r="I103" s="42"/>
    </row>
    <row r="104" spans="1:9" hidden="1" outlineLevel="1" x14ac:dyDescent="0.2">
      <c r="A104" s="42"/>
      <c r="B104" s="59" t="s">
        <v>220</v>
      </c>
      <c r="C104" s="57">
        <f>NumLogDiskIOR01</f>
        <v>0</v>
      </c>
      <c r="D104" s="57">
        <f>NumLogDiskIOR02</f>
        <v>0</v>
      </c>
      <c r="E104" s="57">
        <f>NumLogDiskIOR03</f>
        <v>0</v>
      </c>
      <c r="F104" s="59"/>
      <c r="G104" s="53"/>
      <c r="H104" s="53"/>
      <c r="I104" s="42"/>
    </row>
    <row r="105" spans="1:9" hidden="1" outlineLevel="1" x14ac:dyDescent="0.2">
      <c r="A105" s="42"/>
      <c r="B105" s="59" t="s">
        <v>221</v>
      </c>
      <c r="C105" s="57">
        <f>NumLogDiskCap1</f>
        <v>0</v>
      </c>
      <c r="D105" s="57">
        <f>NumLogDiskCap2</f>
        <v>0</v>
      </c>
      <c r="E105" s="57">
        <f>NumLogDiskCap3</f>
        <v>0</v>
      </c>
      <c r="F105" s="59"/>
      <c r="G105" s="53"/>
      <c r="H105" s="53"/>
      <c r="I105" s="42"/>
    </row>
    <row r="106" spans="1:9" hidden="1" outlineLevel="1" x14ac:dyDescent="0.2">
      <c r="A106" s="42"/>
      <c r="B106" s="59" t="s">
        <v>222</v>
      </c>
      <c r="C106" s="57">
        <f>NumLogDiskR10IO1</f>
        <v>0</v>
      </c>
      <c r="D106" s="57">
        <f>NumLogDiskR10IO2</f>
        <v>0</v>
      </c>
      <c r="E106" s="57">
        <f>NumLogDiskR10IO3</f>
        <v>0</v>
      </c>
      <c r="F106" s="59"/>
      <c r="G106" s="53"/>
      <c r="H106" s="53"/>
      <c r="I106" s="42"/>
    </row>
    <row r="107" spans="1:9" hidden="1" outlineLevel="1" x14ac:dyDescent="0.2">
      <c r="A107" s="42"/>
      <c r="B107" s="59" t="s">
        <v>223</v>
      </c>
      <c r="C107" s="57">
        <f>NumLogDiskR10Cap1</f>
        <v>0</v>
      </c>
      <c r="D107" s="57">
        <f>NumLogDiskR10Cap2</f>
        <v>0</v>
      </c>
      <c r="E107" s="57">
        <f>NumLogDiskR10Cap3</f>
        <v>0</v>
      </c>
      <c r="F107" s="59"/>
      <c r="G107" s="53"/>
      <c r="H107" s="53"/>
      <c r="I107" s="42"/>
    </row>
    <row r="108" spans="1:9" hidden="1" outlineLevel="1" x14ac:dyDescent="0.2">
      <c r="A108" s="42"/>
      <c r="B108" s="34"/>
      <c r="C108" s="34"/>
      <c r="D108" s="34"/>
      <c r="E108" s="34"/>
      <c r="F108" s="59"/>
      <c r="G108" s="53"/>
      <c r="H108" s="53"/>
      <c r="I108" s="42"/>
    </row>
    <row r="109" spans="1:9" hidden="1" outlineLevel="1" x14ac:dyDescent="0.2">
      <c r="A109" s="42"/>
      <c r="B109" s="204" t="s">
        <v>231</v>
      </c>
      <c r="C109" s="204" t="s">
        <v>232</v>
      </c>
      <c r="D109" s="204" t="s">
        <v>233</v>
      </c>
      <c r="F109" s="59"/>
      <c r="G109" s="53"/>
      <c r="H109" s="53"/>
      <c r="I109" s="42"/>
    </row>
    <row r="110" spans="1:9" hidden="1" outlineLevel="1" x14ac:dyDescent="0.2">
      <c r="A110" s="42"/>
      <c r="B110" s="57">
        <f>OptDBDisks1</f>
        <v>18</v>
      </c>
      <c r="C110" s="57" t="str">
        <f>OptDBRAIDConfig1</f>
        <v>RAID-1/0</v>
      </c>
      <c r="D110" s="57" t="s">
        <v>252</v>
      </c>
      <c r="F110" s="59"/>
      <c r="G110" s="53"/>
      <c r="H110" s="53"/>
      <c r="I110" s="42"/>
    </row>
    <row r="111" spans="1:9" hidden="1" outlineLevel="1" x14ac:dyDescent="0.2">
      <c r="A111" s="42"/>
      <c r="B111" s="57">
        <f>OptDBDisks2</f>
        <v>18</v>
      </c>
      <c r="C111" s="57" t="str">
        <f>OptDBRAIDConfig2</f>
        <v>RAID-1/0</v>
      </c>
      <c r="D111" s="57" t="s">
        <v>255</v>
      </c>
      <c r="F111" s="59"/>
      <c r="G111" s="53"/>
      <c r="H111" s="529"/>
      <c r="I111" s="42"/>
    </row>
    <row r="112" spans="1:9" hidden="1" outlineLevel="1" x14ac:dyDescent="0.2">
      <c r="A112" s="42"/>
      <c r="B112" s="57" t="str">
        <f>OptDBDisks3</f>
        <v>--</v>
      </c>
      <c r="C112" s="57" t="str">
        <f>OptDBRAIDConfig3</f>
        <v>--</v>
      </c>
      <c r="D112" s="57" t="s">
        <v>256</v>
      </c>
      <c r="F112" s="59"/>
      <c r="G112" s="53"/>
      <c r="H112" s="53"/>
      <c r="I112" s="42"/>
    </row>
    <row r="113" spans="1:9" hidden="1" outlineLevel="1" x14ac:dyDescent="0.2">
      <c r="A113" s="42"/>
      <c r="B113" s="53"/>
      <c r="C113" s="53"/>
      <c r="D113" s="53"/>
      <c r="F113" s="59"/>
      <c r="G113" s="53"/>
      <c r="H113" s="53"/>
      <c r="I113" s="42"/>
    </row>
    <row r="114" spans="1:9" hidden="1" outlineLevel="1" x14ac:dyDescent="0.2">
      <c r="A114" s="42"/>
      <c r="B114" s="204" t="s">
        <v>234</v>
      </c>
      <c r="C114" s="204" t="s">
        <v>235</v>
      </c>
      <c r="D114" s="204" t="s">
        <v>122</v>
      </c>
      <c r="F114" s="59"/>
      <c r="G114" s="53"/>
      <c r="H114" s="53"/>
      <c r="I114" s="42"/>
    </row>
    <row r="115" spans="1:9" hidden="1" outlineLevel="1" x14ac:dyDescent="0.2">
      <c r="A115" s="42"/>
      <c r="B115" s="57">
        <f>OptLogDisks1</f>
        <v>0</v>
      </c>
      <c r="C115" s="57" t="str">
        <f>OptLogRAIDConfig1</f>
        <v>--</v>
      </c>
      <c r="D115" s="57" t="s">
        <v>252</v>
      </c>
      <c r="F115" s="59"/>
      <c r="G115" s="53"/>
      <c r="H115" s="53"/>
      <c r="I115" s="42"/>
    </row>
    <row r="116" spans="1:9" hidden="1" outlineLevel="1" x14ac:dyDescent="0.2">
      <c r="A116" s="42"/>
      <c r="B116" s="57">
        <f>OptLogDisks2</f>
        <v>0</v>
      </c>
      <c r="C116" s="57" t="str">
        <f>OptLogRAIDConfig2</f>
        <v>--</v>
      </c>
      <c r="D116" s="57" t="s">
        <v>255</v>
      </c>
      <c r="F116" s="59"/>
      <c r="G116" s="53"/>
      <c r="H116" s="53"/>
      <c r="I116" s="42"/>
    </row>
    <row r="117" spans="1:9" hidden="1" outlineLevel="1" x14ac:dyDescent="0.2">
      <c r="A117" s="42"/>
      <c r="B117" s="57">
        <f>OptLogDisks3</f>
        <v>0</v>
      </c>
      <c r="C117" s="57" t="str">
        <f>OptLogRAIDConfig3</f>
        <v>--</v>
      </c>
      <c r="D117" s="57" t="s">
        <v>256</v>
      </c>
      <c r="F117" s="59"/>
      <c r="G117" s="53"/>
      <c r="H117" s="53"/>
      <c r="I117" s="42"/>
    </row>
    <row r="118" spans="1:9" hidden="1" outlineLevel="1" x14ac:dyDescent="0.2">
      <c r="A118" s="42"/>
      <c r="B118" s="626" t="s">
        <v>25</v>
      </c>
      <c r="C118" s="626" t="s">
        <v>25</v>
      </c>
      <c r="D118" s="626" t="s">
        <v>25</v>
      </c>
      <c r="F118" s="59"/>
      <c r="G118" s="53"/>
      <c r="H118" s="53"/>
      <c r="I118" s="42"/>
    </row>
    <row r="119" spans="1:9" hidden="1" outlineLevel="1" x14ac:dyDescent="0.2">
      <c r="A119" s="42"/>
      <c r="B119" s="53"/>
      <c r="C119" s="53"/>
      <c r="D119" s="53"/>
      <c r="F119" s="59"/>
      <c r="G119" s="53"/>
      <c r="H119" s="53"/>
      <c r="I119" s="42"/>
    </row>
    <row r="120" spans="1:9" hidden="1" outlineLevel="1" x14ac:dyDescent="0.2">
      <c r="A120" s="42"/>
      <c r="B120" s="204" t="s">
        <v>860</v>
      </c>
      <c r="C120" s="204" t="s">
        <v>859</v>
      </c>
      <c r="D120" s="204" t="s">
        <v>861</v>
      </c>
      <c r="F120" s="59"/>
      <c r="G120" s="53"/>
      <c r="H120" s="53"/>
      <c r="I120" s="42"/>
    </row>
    <row r="121" spans="1:9" hidden="1" outlineLevel="1" x14ac:dyDescent="0.2">
      <c r="A121" s="42"/>
      <c r="B121" s="57">
        <f>OptRLDisks1</f>
        <v>3</v>
      </c>
      <c r="C121" s="57" t="str">
        <f>OptRLRAIDConfig1</f>
        <v>RAID-5</v>
      </c>
      <c r="D121" s="57" t="s">
        <v>252</v>
      </c>
      <c r="F121" s="59"/>
      <c r="G121" s="53"/>
      <c r="H121" s="53"/>
      <c r="I121" s="42"/>
    </row>
    <row r="122" spans="1:9" hidden="1" outlineLevel="1" x14ac:dyDescent="0.2">
      <c r="A122" s="42"/>
      <c r="B122" s="57">
        <f>OptRLDisks2</f>
        <v>3</v>
      </c>
      <c r="C122" s="57" t="str">
        <f>OptRLRAIDConfig2</f>
        <v>RAID-5</v>
      </c>
      <c r="D122" s="57" t="s">
        <v>255</v>
      </c>
      <c r="F122" s="59"/>
      <c r="G122" s="53"/>
      <c r="H122" s="53"/>
      <c r="I122" s="42"/>
    </row>
    <row r="123" spans="1:9" hidden="1" outlineLevel="1" x14ac:dyDescent="0.2">
      <c r="A123" s="42"/>
      <c r="B123" s="57">
        <f>OptRLDisks3</f>
        <v>0</v>
      </c>
      <c r="C123" s="57" t="str">
        <f>OptRLRAIDConfig3</f>
        <v>--</v>
      </c>
      <c r="D123" s="57" t="s">
        <v>256</v>
      </c>
      <c r="F123" s="59"/>
      <c r="G123" s="53"/>
      <c r="H123" s="53"/>
      <c r="I123" s="42"/>
    </row>
    <row r="124" spans="1:9" hidden="1" outlineLevel="1" x14ac:dyDescent="0.2">
      <c r="A124" s="42"/>
      <c r="B124" s="626" t="s">
        <v>25</v>
      </c>
      <c r="C124" s="626" t="s">
        <v>25</v>
      </c>
      <c r="D124" s="626" t="s">
        <v>25</v>
      </c>
      <c r="F124" s="59"/>
      <c r="G124" s="53"/>
      <c r="H124" s="53"/>
      <c r="I124" s="42"/>
    </row>
    <row r="125" spans="1:9" hidden="1" outlineLevel="1" x14ac:dyDescent="0.2">
      <c r="A125" s="42"/>
      <c r="B125" s="33"/>
      <c r="C125" s="38"/>
      <c r="D125" s="34"/>
      <c r="E125" s="39"/>
      <c r="F125" s="33"/>
      <c r="G125" s="53"/>
      <c r="H125" s="59"/>
      <c r="I125" s="42"/>
    </row>
    <row r="126" spans="1:9" hidden="1" outlineLevel="1" x14ac:dyDescent="0.2">
      <c r="A126" s="42"/>
      <c r="B126" s="204" t="s">
        <v>258</v>
      </c>
      <c r="C126" s="204" t="s">
        <v>231</v>
      </c>
      <c r="D126" s="204" t="s">
        <v>234</v>
      </c>
      <c r="E126" s="204" t="s">
        <v>860</v>
      </c>
      <c r="F126" s="309" t="s">
        <v>550</v>
      </c>
      <c r="G126" s="309" t="s">
        <v>551</v>
      </c>
      <c r="H126" s="204" t="s">
        <v>552</v>
      </c>
      <c r="I126" s="211" t="s">
        <v>259</v>
      </c>
    </row>
    <row r="127" spans="1:9" hidden="1" outlineLevel="1" x14ac:dyDescent="0.2">
      <c r="A127" s="42"/>
      <c r="B127" s="57">
        <f>IF(DBDiskSizePDC="--","--",SUM(OptDBDisks1,OptLogDisks1,OptRLDisks1))</f>
        <v>21</v>
      </c>
      <c r="C127" s="57">
        <f>OptDBDisks1</f>
        <v>18</v>
      </c>
      <c r="D127" s="57">
        <f>OptLogDisks1</f>
        <v>0</v>
      </c>
      <c r="E127" s="57">
        <f>OptRLDisks1</f>
        <v>3</v>
      </c>
      <c r="F127" s="287" t="str">
        <f>IF(DBDiskSizePDC&lt;&gt;"--",DBDiskSizePDC &amp; " / " &amp; DBDiskRPMPDC,"--")</f>
        <v>4000 GB / 7.2K RPM SAS 3.5"</v>
      </c>
      <c r="G127" s="287" t="str">
        <f>IF(AND(VolArchitecture&lt;&gt;"1 Volume / DB",DBDiskSizePDC&lt;&gt;"--"),LogDiskSizePDC &amp; " / " &amp; LogDiskRPMPDC,"--")</f>
        <v>4000 GB / 7.2K RPM SAS 3.5"</v>
      </c>
      <c r="H127" s="77" t="str">
        <f>IF(AND(RestoreVol&lt;&gt;"No",DBDiskSizePDC&lt;&gt;"--"),ResDiskSizePDC &amp; " / " &amp; ResDiskRPMPDC,"--")</f>
        <v>4000 GB / 7.2K RPM SAS 3.5"</v>
      </c>
      <c r="I127" s="146" t="s">
        <v>252</v>
      </c>
    </row>
    <row r="128" spans="1:9" hidden="1" outlineLevel="1" x14ac:dyDescent="0.2">
      <c r="A128" s="42"/>
      <c r="B128" s="366"/>
      <c r="C128" s="366"/>
      <c r="D128" s="366"/>
      <c r="E128" s="366"/>
      <c r="F128" s="287"/>
      <c r="G128" s="287"/>
      <c r="H128" s="77"/>
      <c r="I128" s="146"/>
    </row>
    <row r="129" spans="1:9" hidden="1" outlineLevel="1" x14ac:dyDescent="0.2">
      <c r="A129" s="42"/>
      <c r="B129" s="204" t="s">
        <v>258</v>
      </c>
      <c r="C129" s="204" t="s">
        <v>231</v>
      </c>
      <c r="D129" s="204" t="s">
        <v>234</v>
      </c>
      <c r="E129" s="204" t="s">
        <v>860</v>
      </c>
      <c r="F129" s="309" t="s">
        <v>550</v>
      </c>
      <c r="G129" s="309" t="s">
        <v>551</v>
      </c>
      <c r="H129" s="204" t="s">
        <v>552</v>
      </c>
      <c r="I129" s="211" t="s">
        <v>259</v>
      </c>
    </row>
    <row r="130" spans="1:9" hidden="1" outlineLevel="1" x14ac:dyDescent="0.2">
      <c r="A130" s="42"/>
      <c r="B130" s="57">
        <f>IF(DBDiskSizeSDC="--","--",SUM(OptDBDisks2,OptLogDisks2,OptRLDisks2))</f>
        <v>21</v>
      </c>
      <c r="C130" s="57">
        <f>OptDBDisks2</f>
        <v>18</v>
      </c>
      <c r="D130" s="57">
        <f>OptLogDisks2</f>
        <v>0</v>
      </c>
      <c r="E130" s="57">
        <f>OptRLDisks2</f>
        <v>3</v>
      </c>
      <c r="F130" s="287" t="str">
        <f>IF(DBDiskSizeSDC&lt;&gt;"--",DBDiskSizeSDC &amp; " / " &amp; DBDiskRPMSDC,"--")</f>
        <v>4000 GB / 7.2K RPM SAS 3.5"</v>
      </c>
      <c r="G130" s="287" t="str">
        <f>IF(AND(VolArchitecture&lt;&gt;"1 Volume / DB",DBDiskSizeSDC&lt;&gt;"--"),LogDiskSizeSDC &amp; " / " &amp; LogDiskRPMSDC,"--")</f>
        <v>4000 GB / 7.2K RPM SAS 3.5"</v>
      </c>
      <c r="H130" s="77" t="str">
        <f>IF(AND(RestoreVol&lt;&gt;"No",DBDiskSizeSDC&lt;&gt;"--"),ResDiskSizeSDC &amp; " / " &amp; ResDiskRPMSDC,"--")</f>
        <v>4000 GB / 7.2K RPM SAS 3.5"</v>
      </c>
      <c r="I130" s="146" t="s">
        <v>255</v>
      </c>
    </row>
    <row r="131" spans="1:9" hidden="1" outlineLevel="1" x14ac:dyDescent="0.2">
      <c r="A131" s="42"/>
      <c r="B131" s="358"/>
      <c r="C131" s="358"/>
      <c r="D131" s="358"/>
      <c r="E131" s="358"/>
      <c r="F131" s="366"/>
      <c r="G131" s="53"/>
      <c r="H131" s="59"/>
      <c r="I131" s="42"/>
    </row>
    <row r="132" spans="1:9" hidden="1" outlineLevel="1" x14ac:dyDescent="0.2">
      <c r="A132" s="42"/>
      <c r="B132" s="204" t="s">
        <v>503</v>
      </c>
      <c r="C132" s="204" t="s">
        <v>252</v>
      </c>
      <c r="D132" s="204" t="s">
        <v>255</v>
      </c>
      <c r="E132" s="204" t="s">
        <v>256</v>
      </c>
      <c r="F132" s="366"/>
      <c r="G132" s="53"/>
      <c r="H132" s="59"/>
      <c r="I132" s="42"/>
    </row>
    <row r="133" spans="1:9" hidden="1" outlineLevel="1" x14ac:dyDescent="0.2">
      <c r="A133" s="42"/>
      <c r="B133" s="59" t="str">
        <f>IF(OR(VolArchitecture="1 Volume / DB",VolArchitecture="Multiple DBs / Volume"),"Database+Log RAID Configuration","Database RAID Configuration")</f>
        <v>Database+Log RAID Configuration</v>
      </c>
      <c r="C133" s="358" t="str">
        <f>IF(DBDiskSizePDC="--","--",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3" s="358" t="str">
        <f>IF(DBDiskSizeSDC="--","--",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3" s="358" t="str">
        <f>IF(DBDiskSize3="--","--",IF(OverrideRAID="No",IF(IF(NumDBDiskIOR103&lt;NumDBDiskCapR103,NumDBDiskCapR103,NumDBDiskIOR103)&lt;=IF(NumDBDiskIOR53&lt;NumDBDiskCapR53,NumDBDiskCapR53,NumDBDiskIOR53),"RAID-1/0","RAID-5"),IF(AND(OR(LEFT(DBDiskRPM3,4)="7.2K",LEFT(DBDiskRPM3,4)="5.2K",LEFT(DBDiskRPM3,4)="5.4K",LEFT(DBDiskRPM3,4)="5.9K"),OR(DesiredStorageArch="RAID-5",DesiredStorageArch="RAID-6")),"RAID-1/0",DesiredStorageArch)))</f>
        <v>--</v>
      </c>
      <c r="F133" s="366"/>
      <c r="G133" s="53"/>
      <c r="H133" s="59"/>
      <c r="I133" s="42"/>
    </row>
    <row r="134" spans="1:9" hidden="1" outlineLevel="1" x14ac:dyDescent="0.2">
      <c r="A134" s="42"/>
      <c r="B134" s="59" t="str">
        <f>IF(OR(VolArchitecture="1 Volume / DB",VolArchitecture="Multiple DBs / Volume"),"Database+Log Number of Disks","Database Number of Disks")</f>
        <v>Database+Log Number of Disks</v>
      </c>
      <c r="C134" s="358">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18</v>
      </c>
      <c r="D134" s="358">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18</v>
      </c>
      <c r="E134" s="358" t="str">
        <f>IF(OptDBRAIDConfig3="RAID-6",IF(NumDBDiskIOR63&lt;NumDBDiskCapR63,NumDBDiskCapR63,NumDBDiskIOR63),IF(OptDBRAIDConfig3="RAID-1/0",IF(NumDBDiskIOR103&lt;NumDBDiskCapR103,NumDBDiskCapR103,NumDBDiskIOR103),IF(OptDBRAIDConfig3="RAID-0",IF(NumDBDiskIOR03&lt;NumDBDiskCap3,NumDBDiskCap3,NumDBDiskIOR03),IF(NumDBDiskIOR53&lt;NumDBDiskCapR53,NumDBDiskCapR53,NumDBDiskIOR53))))</f>
        <v>--</v>
      </c>
      <c r="F134" s="366"/>
      <c r="G134" s="53"/>
      <c r="H134" s="59"/>
      <c r="I134" s="42"/>
    </row>
    <row r="135" spans="1:9" hidden="1" outlineLevel="1" x14ac:dyDescent="0.2">
      <c r="A135" s="42"/>
      <c r="B135" s="59" t="s">
        <v>345</v>
      </c>
      <c r="C135" s="358" t="str">
        <f>IF(OR(DBDiskSizePDC="--",LogDiskSizePDC="--",VolArchitecture="1 Volume / DB",VolArchitecture="Multiple DBs / Volume"),"--",IF(OverrideRAID="Yes",IF(DesiredStorageArch="RAID-0","RAID-0","RAID-1/0"),"RAID-1/0"))</f>
        <v>--</v>
      </c>
      <c r="D135" s="358" t="str">
        <f>IF(OR(DBDiskSizeSDC="--",LogDiskSizeSDC="--",VolArchitecture="1 Volume / DB",VolArchitecture="Multiple DBs / Volume"),"--",IF(OverrideRAID="Yes",IF(DesiredStorageArch="RAID-0","RAID-0","RAID-1/0"),"RAID-1/0"))</f>
        <v>--</v>
      </c>
      <c r="E135" s="358" t="str">
        <f>IF(OR(DBDiskSize3="--",LogDiskSize3="--",VolArchitecture="1 Volume / DB",VolArchitecture="Multiple DBs / Volume"),"--",IF(OverrideRAID="Yes",IF(DesiredStorageArch="RAID-0","RAID-0","RAID-1/0"),"RAID-1/0"))</f>
        <v>--</v>
      </c>
      <c r="F135" s="366"/>
      <c r="G135" s="53"/>
      <c r="H135" s="59"/>
      <c r="I135" s="42"/>
    </row>
    <row r="136" spans="1:9" hidden="1" outlineLevel="1" x14ac:dyDescent="0.2">
      <c r="A136" s="42"/>
      <c r="B136" s="59" t="s">
        <v>248</v>
      </c>
      <c r="C136" s="358">
        <f>IF(OptLogRAIDConfig1="RAID-1/0",IF(NumLogDiskR10Cap1&gt;=NumLogDiskR10IO1,NumLogDiskR10Cap1,NumLogDiskR10IO1),IF(NumLogDiskCap1&gt;=NumLogDiskIOR01,NumLogDiskCap1,NumLogDiskIOR01))</f>
        <v>0</v>
      </c>
      <c r="D136" s="358">
        <f>IF(OptLogRAIDConfig2="RAID-1/0",IF(NumLogDiskR10Cap2&gt;=NumLogDiskR10IO2,NumLogDiskR10Cap2,NumLogDiskR10IO2),IF(NumLogDiskCap2&gt;=NumLogDiskIOR02,NumLogDiskCap2,NumLogDiskIOR02))</f>
        <v>0</v>
      </c>
      <c r="E136" s="358">
        <f>IF(OptLogRAIDConfig3="RAID-1/0",IF(NumLogDiskR10Cap3&gt;=NumLogDiskR10IO3,NumLogDiskR10Cap3,NumLogDiskR10IO3),IF(NumLogDiskCap3&gt;=NumLogDiskIOR03,NumLogDiskCap3,NumLogDiskIOR03))</f>
        <v>0</v>
      </c>
      <c r="F136" s="366"/>
      <c r="G136" s="53"/>
      <c r="H136" s="59"/>
      <c r="I136" s="42"/>
    </row>
    <row r="137" spans="1:9" hidden="1" outlineLevel="1" x14ac:dyDescent="0.2">
      <c r="A137" s="42"/>
      <c r="B137" s="59" t="s">
        <v>853</v>
      </c>
      <c r="C137" s="358" t="str">
        <f>IF(RestoreVol="Yes",IF(DBDiskSizePDC="--","--",DesResVolRAID),"--")</f>
        <v>RAID-5</v>
      </c>
      <c r="D137" s="358" t="str">
        <f>IF(RestoreVol="Yes",IF(OR(DBDiskSizeSDC="--",ResDiskSizeSDC="--"),"--",DesResVolRAID),"--")</f>
        <v>RAID-5</v>
      </c>
      <c r="E137" s="358" t="str">
        <f>IF(RestoreVol="Yes",IF(OR(DBDiskSize3="--",ResDiskSize3="--"),"--",DesResVolRAID),"--")</f>
        <v>--</v>
      </c>
      <c r="F137" s="366"/>
      <c r="G137" s="53"/>
      <c r="H137" s="59"/>
      <c r="I137" s="42"/>
    </row>
    <row r="138" spans="1:9" hidden="1" outlineLevel="1" x14ac:dyDescent="0.2">
      <c r="A138" s="42"/>
      <c r="B138" s="59" t="s">
        <v>862</v>
      </c>
      <c r="C138" s="358">
        <f>IF(OptRLRAIDConfig1="RAID-0",ResVolDiskCap1,IF(OptRLRAIDConfig1="RAID-1/0",ResVolDisksR101,IF(OptRLRAIDConfig1="RAID-5",ResVolDisksR51,ResVolDisksR61)))</f>
        <v>3</v>
      </c>
      <c r="D138" s="358">
        <f>IF(OptRLRAIDConfig2="RAID-0",ResVolDiskCap2,IF(OptRLRAIDConfig2="RAID-1/0",ResVolDisksR102,IF(OptRLRAIDConfig2="RAID-5",ResVolDisksR52,ResVolDisksR62)))</f>
        <v>3</v>
      </c>
      <c r="E138" s="358">
        <f>IF(OptRLRAIDConfig3="RAID-0",ResVolDiskCap3,IF(OptRLRAIDConfig3="RAID-1/0",ResVolDisksR103,IF(OptRLRAIDConfig3="RAID-5",ResVolDisksR53,ResVolDisksR63)))</f>
        <v>0</v>
      </c>
      <c r="F138" s="366"/>
      <c r="G138" s="53"/>
      <c r="H138" s="59"/>
      <c r="I138" s="42"/>
    </row>
    <row r="139" spans="1:9" hidden="1" outlineLevel="1" x14ac:dyDescent="0.2">
      <c r="A139" s="42"/>
      <c r="B139" s="59"/>
      <c r="C139" s="366"/>
      <c r="D139" s="366"/>
      <c r="E139" s="366"/>
      <c r="F139" s="366"/>
      <c r="G139" s="53"/>
      <c r="H139" s="59"/>
      <c r="I139" s="42"/>
    </row>
    <row r="140" spans="1:9" hidden="1" outlineLevel="1" x14ac:dyDescent="0.2">
      <c r="A140" s="42"/>
      <c r="B140" s="1199" t="s">
        <v>502</v>
      </c>
      <c r="C140" s="1170"/>
      <c r="D140" s="1170"/>
      <c r="E140" s="1170"/>
      <c r="F140" s="1170"/>
      <c r="G140" s="1170"/>
      <c r="H140" s="1170"/>
      <c r="I140" s="1188"/>
    </row>
    <row r="141" spans="1:9" hidden="1" outlineLevel="1" x14ac:dyDescent="0.2">
      <c r="A141" s="42"/>
      <c r="B141" s="288"/>
      <c r="C141" s="288"/>
      <c r="D141" s="288"/>
      <c r="E141" s="288"/>
      <c r="F141" s="366"/>
      <c r="G141" s="53"/>
      <c r="H141" s="59"/>
      <c r="I141" s="42"/>
    </row>
    <row r="142" spans="1:9" hidden="1" outlineLevel="1" x14ac:dyDescent="0.2">
      <c r="A142" s="42"/>
      <c r="B142" s="305" t="s">
        <v>502</v>
      </c>
      <c r="C142" s="305" t="s">
        <v>252</v>
      </c>
      <c r="D142" s="305" t="s">
        <v>255</v>
      </c>
      <c r="E142" s="305" t="s">
        <v>256</v>
      </c>
      <c r="F142" s="366"/>
      <c r="G142" s="53"/>
      <c r="H142" s="59"/>
      <c r="I142" s="42"/>
    </row>
    <row r="143" spans="1:9" hidden="1" outlineLevel="1" x14ac:dyDescent="0.2">
      <c r="A143" s="42"/>
      <c r="B143" s="296" t="s">
        <v>338</v>
      </c>
      <c r="C143" s="77" t="b">
        <f>IF(OR(VolArchitecture="1 Volume / DB",VolArchitecture="Multiple DBs / Volume"),IF(DBVolSize&lt;=DBForDiskCap1,TRUE,FALSE),FALSE)</f>
        <v>1</v>
      </c>
      <c r="D143" s="77" t="b">
        <f>IF(OR(VolArchitecture="1 Volume / DB",VolArchitecture="Multiple DBs / Volume"),IF(DBVolSize&lt;=DBForDiskCap2,TRUE,FALSE),FALSE)</f>
        <v>1</v>
      </c>
      <c r="E143" s="77" t="b">
        <f>IF(OR(VolArchitecture="1 Volume / DB",VolArchitecture="Multiple DBs / Volume"),IF(DBVolSize&lt;=DBForDiskCap3,TRUE,FALSE),FALSE)</f>
        <v>0</v>
      </c>
      <c r="F143" s="366"/>
      <c r="G143" s="53"/>
      <c r="H143" s="59"/>
      <c r="I143" s="42"/>
    </row>
    <row r="144" spans="1:9" hidden="1" outlineLevel="1" x14ac:dyDescent="0.2">
      <c r="A144" s="42"/>
      <c r="B144" s="295" t="s">
        <v>339</v>
      </c>
      <c r="C144" s="77" t="b">
        <f>IF(C143=FALSE,"--",IF(ROUND(BaseTotIOPS/TotNumDBCopiesServer*IF(VolArchitecture="Multiple DBs / Volume",RecDBperVolume,1),0)&lt;=RandDBDiskIO1,TRUE,FALSE))</f>
        <v>1</v>
      </c>
      <c r="D144" s="77" t="b">
        <f>IF(D143=FALSE,"--",IF(ROUND(BaseTotIOPS/TotNumDBCopiesServer*IF(VolArchitecture="Multiple DBs / Volume",RecDBperVolume,1),0)&lt;=RandDBDiskIO2,TRUE,FALSE))</f>
        <v>1</v>
      </c>
      <c r="E144" s="77" t="str">
        <f>IF(E143=FALSE,"--",IF(ROUND(BaseTotIOPS/TotNumDBCopiesServer*IF(VolArchitecture="1 Volume / DB",(calcTotNumHACopies+calcTotNumLagCopies),1),0)&lt;=RandDBDiskIO3,TRUE,FALSE))</f>
        <v>--</v>
      </c>
      <c r="F144" s="366"/>
      <c r="G144" s="53"/>
      <c r="H144" s="59"/>
      <c r="I144" s="42"/>
    </row>
    <row r="145" spans="1:9" hidden="1" outlineLevel="1" x14ac:dyDescent="0.2">
      <c r="A145" s="42"/>
      <c r="B145" s="296" t="s">
        <v>341</v>
      </c>
      <c r="C145" s="77">
        <f>IF(OR(JBODEvaluation="No",DBLogIsolation="Yes"),"--",IF(AND(C143=FALSE,OR(VolArchitecture="1 Volume / DB",VolArchitecture="Multiple DBs / Volume")),"Insufficient Disk Capacity",IF(C144=TRUE,IF(VolArchitecture="1 Volume / DB",TotNumDBCopiesServer,NumDBVol),"Insufficient Disk IO Capacity")))</f>
        <v>9</v>
      </c>
      <c r="D145" s="77">
        <f>IF(OR(JBODEvaluation="No",DBLogIsolation="Yes"),"--",IF(AND(D143=FALSE,OR(VolArchitecture="1 Volume / DB",VolArchitecture="Multiple DBs / Volume")),"Insufficient Disk Capacity",IF(D144=TRUE,IF(VolArchitecture="1 Volume / DB",TotNumDBCopiesServer,NumDBVol),"Insufficient Disk IO Capacity")))</f>
        <v>9</v>
      </c>
      <c r="E145" s="77" t="str">
        <f>IF(AND(E143=FALSE,OR(VolArchitecture="1 Volume / DB",VolArchitecture="Multiple DBs / Volume")),"Insufficient Disk Capacity",IF(E144=TRUE,TotNumDBCopiesServer,"--"))</f>
        <v>Insufficient Disk Capacity</v>
      </c>
      <c r="F145" s="366"/>
      <c r="G145" s="53"/>
      <c r="H145" s="59"/>
      <c r="I145" s="42"/>
    </row>
    <row r="146" spans="1:9" hidden="1" outlineLevel="1" x14ac:dyDescent="0.2">
      <c r="A146" s="42"/>
      <c r="B146" s="296" t="s">
        <v>863</v>
      </c>
      <c r="C146" s="77" t="b">
        <f>IF(AND(OR(VolArchitecture="1 Volume / DB",VolArchitecture="Multiple DBs / Volume"),RestoreVol="Yes"),IF(RestoreVolSize&lt;=ResDiskForCap1,TRUE,FALSE),FALSE)</f>
        <v>1</v>
      </c>
      <c r="D146" s="77" t="b">
        <f>IF(AND(OR(VolArchitecture="1 Volume / DB",VolArchitecture="Multiple DBs / Volume"),RestoreVol="Yes"),IF(RestoreVolSize&lt;=ResDiskForCap2,TRUE,FALSE),FALSE)</f>
        <v>1</v>
      </c>
      <c r="E146" s="77" t="b">
        <f>IF(AND(OR(VolArchitecture="1 Volume / DB",VolArchitecture="Multiple DBs / Volume"),RestoreVol="Yes"),IF(RestoreVolSize&lt;=ResDiskForCap3,TRUE,FALSE),FALSE)</f>
        <v>0</v>
      </c>
      <c r="F146" s="366"/>
      <c r="G146" s="53"/>
      <c r="H146" s="59"/>
      <c r="I146" s="42"/>
    </row>
    <row r="147" spans="1:9" hidden="1" outlineLevel="1" x14ac:dyDescent="0.2">
      <c r="A147" s="42"/>
      <c r="B147" s="288"/>
      <c r="C147" s="288"/>
      <c r="D147" s="288"/>
      <c r="E147" s="288"/>
      <c r="F147" s="366"/>
      <c r="G147" s="53"/>
      <c r="H147" s="59"/>
      <c r="I147" s="42"/>
    </row>
    <row r="148" spans="1:9" ht="15.75" hidden="1" outlineLevel="1" thickBot="1" x14ac:dyDescent="0.25">
      <c r="A148" s="42"/>
      <c r="B148" s="306" t="s">
        <v>340</v>
      </c>
      <c r="C148" s="304" t="s">
        <v>860</v>
      </c>
      <c r="D148" s="463" t="s">
        <v>549</v>
      </c>
      <c r="E148" s="463" t="s">
        <v>864</v>
      </c>
      <c r="F148" s="307" t="s">
        <v>259</v>
      </c>
      <c r="G148" s="53"/>
      <c r="H148" s="59"/>
      <c r="I148" s="42"/>
    </row>
    <row r="149" spans="1:9" ht="15.75" hidden="1" outlineLevel="1" thickTop="1" x14ac:dyDescent="0.2">
      <c r="A149" s="42"/>
      <c r="B149" s="464">
        <f>OptJBODDisksConfigPDC</f>
        <v>9</v>
      </c>
      <c r="C149" s="524">
        <f>IF(AND(JBODEvaluation="Yes",OR(VolArchitecture="1 Volume / DB",VolArchitecture="Multiple DBs / Volume"),ResDiskSizePDC&lt;&gt;"--"),IF(JBODResVolAchConfig1&lt;&gt;FALSE,IF(RestoreVol="Yes",1,0),"Insufficient Disk Capacity"),"--")</f>
        <v>1</v>
      </c>
      <c r="D149" s="524" t="str">
        <f>IF(DBDiskSizePDC&lt;&gt;"--",DBDiskSizePDC &amp; " / " &amp; DBDiskRPMPDC,"--")</f>
        <v>4000 GB / 7.2K RPM SAS 3.5"</v>
      </c>
      <c r="E149" s="465" t="str">
        <f>IF(AND(RestoreVol&lt;&gt;"No",DBDiskSizePDC&lt;&gt;"--",ResDiskSizePDC&lt;&gt;"--"),ResDiskSizePDC &amp; " / " &amp; ResDiskRPMPDC,"--")</f>
        <v>4000 GB / 7.2K RPM SAS 3.5"</v>
      </c>
      <c r="F149" s="466" t="s">
        <v>252</v>
      </c>
      <c r="G149" s="53"/>
      <c r="H149" s="59"/>
      <c r="I149" s="42"/>
    </row>
    <row r="150" spans="1:9" hidden="1" outlineLevel="1" x14ac:dyDescent="0.2">
      <c r="A150" s="42"/>
      <c r="B150" s="467">
        <f>OptJBODDisksConfigSDC</f>
        <v>9</v>
      </c>
      <c r="C150" s="467">
        <f>IF(AND(JBODEvaluation="Yes",OR(VolArchitecture="1 Volume / DB",VolArchitecture="Multiple DBs / Volume"),ResDiskSizePDC&lt;&gt;"--"),IF(JBODResVolAchConfig2&lt;&gt;FALSE,IF(RestoreVol="Yes",1,0),"Insufficient Disk Capacity"),"--")</f>
        <v>1</v>
      </c>
      <c r="D150" s="525" t="str">
        <f>IF(DBDiskSizeSDC&lt;&gt;"--",DBDiskSizeSDC &amp; " / " &amp; DBDiskRPMSDC,"--")</f>
        <v>4000 GB / 7.2K RPM SAS 3.5"</v>
      </c>
      <c r="E150" s="468" t="str">
        <f>IF(AND(RestoreVol&lt;&gt;"No",DBDiskSizeSDC&lt;&gt;"--",ResDiskSizeSDC&lt;&gt;"--"),ResDiskSizeSDC &amp; " / " &amp; ResDiskRPMSDC,"--")</f>
        <v>4000 GB / 7.2K RPM SAS 3.5"</v>
      </c>
      <c r="F150" s="469" t="s">
        <v>255</v>
      </c>
      <c r="G150" s="53"/>
      <c r="H150" s="59"/>
      <c r="I150" s="42"/>
    </row>
    <row r="151" spans="1:9" hidden="1" outlineLevel="1" x14ac:dyDescent="0.2">
      <c r="A151" s="42"/>
      <c r="B151" s="470" t="str">
        <f>OptJBODDisksConfig3</f>
        <v>Insufficient Disk Capacity</v>
      </c>
      <c r="C151" s="457" t="str">
        <f>IF(OR(VolArchitecture="1 Volume / DB",VolArchitecture="Multiple DBs / Volume"),IF(JBODResVolAchConfig3&lt;&gt;FALSE,IF(RestoreVol="Yes",1,0),"Insufficient Disk Capacity"),"--")</f>
        <v>Insufficient Disk Capacity</v>
      </c>
      <c r="D151" s="526" t="str">
        <f>IF(DBDiskSize3&lt;&gt;"--",DBDiskSize3 &amp; " / " &amp; DBDiskRPM3,"--")</f>
        <v>--</v>
      </c>
      <c r="E151" s="471" t="str">
        <f>IF(AND(RestoreVol&lt;&gt;"No",DBDiskSize3&lt;&gt;"--"),ResDiskSize3 &amp; " / " &amp; ResDiskRPM3,"--")</f>
        <v>--</v>
      </c>
      <c r="F151" s="472" t="s">
        <v>256</v>
      </c>
      <c r="G151" s="53"/>
      <c r="H151" s="59"/>
      <c r="I151" s="42"/>
    </row>
    <row r="152" spans="1:9" hidden="1" outlineLevel="1" x14ac:dyDescent="0.2">
      <c r="A152" s="42"/>
      <c r="B152" s="522"/>
      <c r="C152" s="527"/>
      <c r="D152" s="523"/>
      <c r="E152" s="522"/>
      <c r="F152" s="366"/>
      <c r="G152" s="53"/>
      <c r="H152" s="59"/>
      <c r="I152" s="42"/>
    </row>
    <row r="153" spans="1:9" hidden="1" outlineLevel="1" x14ac:dyDescent="0.2">
      <c r="A153" s="42"/>
      <c r="B153" s="204" t="s">
        <v>501</v>
      </c>
      <c r="C153" s="204" t="s">
        <v>252</v>
      </c>
      <c r="D153" s="204" t="s">
        <v>255</v>
      </c>
      <c r="E153" s="204" t="s">
        <v>256</v>
      </c>
      <c r="F153" s="366"/>
      <c r="G153" s="53"/>
      <c r="H153" s="59"/>
      <c r="I153" s="42"/>
    </row>
    <row r="154" spans="1:9" hidden="1" outlineLevel="1" x14ac:dyDescent="0.2">
      <c r="A154" s="42"/>
      <c r="B154" s="59" t="s">
        <v>399</v>
      </c>
      <c r="C154" s="358">
        <f>IF(OR(VolArchitecture="1 Volume / DB",VolArchitecture="Multiple DBs / Volume"),IF(JBODEvaluation="Yes",IF(OR(PreferredStorageArch="JBOD",PreferredStorageArchSDC="JBOD",LaggedCopySvrPrefStorageArch="JBOD"),OptJBODDisksConfigPDC,"Insufficient Database Copies"),"RAID Required"),"Incorrect Volume Architecture")</f>
        <v>9</v>
      </c>
      <c r="D154" s="358">
        <f>IF(OR(VolArchitecture="1 Volume / DB",VolArchitecture="Multiple DBs / Volume"),IF(JBODEvaluation="Yes",IF(OR(PreferredStorageArch="JBOD",PreferredStorageArchSDC="JBOD",LaggedCopySvrPrefStorageArch="JBOD"),OptJBODDisksConfigSDC,"Insufficient Database Copies"),"RAID Required"),"Incorrect Volume Architecture")</f>
        <v>9</v>
      </c>
      <c r="E154" s="358" t="str">
        <f>IF(OR(VolArchitecture="1 Volume / DB",VolArchitecture="Multiple DBs / Volume"),IF(JBODEvaluation="Yes",IF(OR(PreferredStorageArch="JBOD",PreferredStorageArchSDC="JBOD",LaggedCopySvrPrefStorageArch="JBOD"),OptJBODDisksConfig3,"Insufficient Database Copies"),"RAID Required"),"Incorrect Volume Architecture")</f>
        <v>Insufficient Disk Capacity</v>
      </c>
      <c r="F154" s="366"/>
      <c r="G154" s="53"/>
      <c r="H154" s="59"/>
      <c r="I154" s="42"/>
    </row>
    <row r="155" spans="1:9" hidden="1" outlineLevel="1" x14ac:dyDescent="0.2">
      <c r="A155" s="42"/>
      <c r="B155" s="59" t="s">
        <v>862</v>
      </c>
      <c r="C155" s="358">
        <f>IF(OR(PreferredStorageArch="JBOD",PreferredStorageArchSDC="JBOD",LaggedCopySvrPrefStorageArch="JBOD"),OptJBODRLDisksConfigPDC,"--")</f>
        <v>1</v>
      </c>
      <c r="D155" s="358">
        <f>IF(OR(PreferredStorageArch="JBOD",PreferredStorageArchSDC="JBOD",LaggedCopySvrPrefStorageArch="JBOD"),OptJBODRLDisksConfigSDC,"--")</f>
        <v>1</v>
      </c>
      <c r="E155" s="358" t="str">
        <f>IF(OR(PreferredStorageArch="JBOD",PreferredStorageArchSDC="JBOD",LaggedCopySvrPrefStorageArch="JBOD"),OptJBODRLDisksConfig3,"--")</f>
        <v>Insufficient Disk Capacity</v>
      </c>
      <c r="F155" s="366"/>
      <c r="G155" s="53"/>
      <c r="H155" s="59"/>
      <c r="I155" s="42"/>
    </row>
    <row r="156" spans="1:9" collapsed="1" x14ac:dyDescent="0.2">
      <c r="A156" s="42"/>
      <c r="B156" s="22"/>
      <c r="C156" s="18"/>
      <c r="D156" s="5"/>
      <c r="E156" s="5"/>
      <c r="F156" s="18"/>
      <c r="G156" s="18"/>
      <c r="H156" s="18"/>
      <c r="I156" s="19"/>
    </row>
    <row r="157" spans="1:9" x14ac:dyDescent="0.2">
      <c r="A157" s="42"/>
      <c r="B157" s="1172" t="s">
        <v>499</v>
      </c>
      <c r="C157" s="1171"/>
      <c r="D157" s="1171"/>
      <c r="E157" s="1171"/>
      <c r="F157" s="1171"/>
      <c r="G157" s="1171"/>
      <c r="H157" s="1171"/>
      <c r="I157" s="1173"/>
    </row>
    <row r="158" spans="1:9" customFormat="1" ht="15" customHeight="1" x14ac:dyDescent="0.2">
      <c r="A158" s="856"/>
      <c r="F158" s="1"/>
      <c r="G158" s="1"/>
      <c r="H158" s="1"/>
      <c r="I158" s="521"/>
    </row>
    <row r="159" spans="1:9" s="436" customFormat="1" ht="15" customHeight="1" thickBot="1" x14ac:dyDescent="0.25">
      <c r="A159" s="437"/>
      <c r="B159" s="300" t="s">
        <v>621</v>
      </c>
      <c r="C159" s="300" t="str">
        <f>IF(AND(HAOption="Yes",SiteResilienceEnabled="Yes",OR(SRModel="Active/Active (Single DAG)",SRModel="Active/Active (Multiple DAGs)")),"Datacenter 1","Primary Datacenter") &amp; " Servers"</f>
        <v>Datacenter 1 Servers</v>
      </c>
      <c r="D159" s="300" t="str">
        <f>IF(AND(HAOption="Yes",SiteResilienceEnabled="Yes",OR(SRModel="Active/Active (Single DAG)",SRModel="Active/Active (Multiple DAGs)")),"Datacenter 2","Secondary Datacenter") &amp; " Servers"</f>
        <v>Datacenter 2 Servers</v>
      </c>
      <c r="E159" s="859" t="s">
        <v>498</v>
      </c>
      <c r="F159" s="1"/>
      <c r="G159" s="1"/>
      <c r="H159" s="1"/>
      <c r="I159" s="521"/>
    </row>
    <row r="160" spans="1:9" customFormat="1" ht="15" customHeight="1" thickTop="1" x14ac:dyDescent="0.2">
      <c r="A160" s="437"/>
      <c r="B160" s="3" t="s">
        <v>614</v>
      </c>
      <c r="C160" s="449" t="str">
        <f>IF(ValidationCheck=FALSE,IF(OR(PreferredStorageArch="RAID",tblJBODStorageArch[Primary Datacenter Servers]="No"),"Yes","No"),"--")</f>
        <v>No</v>
      </c>
      <c r="D160" s="449" t="str">
        <f>IF(PreferredStorageArchSDC="--","--",IF(OR(PreferredStorageArchSDC="RAID",tblJBODStorageArch[Secondary Datacenter Servers]="No"),"Yes","No"))</f>
        <v>No</v>
      </c>
      <c r="E160" s="449" t="str">
        <f>IF(LaggedCopySvrPrefStorageArch="--","--",IF(OR(LaggedCopySvrPrefStorageArch="RAID",tblJBODStorageArch[Lagged Copy Servers]="No"),"Yes","No"))</f>
        <v>--</v>
      </c>
      <c r="F160" s="1"/>
      <c r="G160" s="1"/>
      <c r="H160" s="1"/>
      <c r="I160" s="521"/>
    </row>
    <row r="161" spans="1:9" x14ac:dyDescent="0.2">
      <c r="A161" s="42"/>
      <c r="B161" s="34"/>
      <c r="C161" s="36"/>
      <c r="D161" s="36"/>
      <c r="E161" s="36"/>
      <c r="F161" s="289"/>
      <c r="G161" s="53"/>
      <c r="H161" s="53"/>
      <c r="I161" s="42"/>
    </row>
    <row r="162" spans="1:9" ht="15.75" thickBot="1" x14ac:dyDescent="0.25">
      <c r="A162" s="42"/>
      <c r="B162" s="300" t="s">
        <v>740</v>
      </c>
      <c r="C162" s="300" t="str">
        <f>IF(OR(VolArchitecture="1 Volume / DB",VolArchitecture="Multiple DBs / Volume"),"Database+Log","Database")</f>
        <v>Database+Log</v>
      </c>
      <c r="D162" s="300" t="s">
        <v>204</v>
      </c>
      <c r="E162" s="298" t="s">
        <v>829</v>
      </c>
      <c r="F162" s="289"/>
      <c r="G162" s="53"/>
      <c r="H162" s="53"/>
      <c r="I162" s="42"/>
    </row>
    <row r="163" spans="1:9" ht="15.75" thickTop="1" x14ac:dyDescent="0.2">
      <c r="A163" s="42"/>
      <c r="B163" s="473" t="s">
        <v>511</v>
      </c>
      <c r="C163" s="314" t="str">
        <f>VLOOKUP(ConfigPDCTotDisks,tblRecRAIDPDCDiskLookup,5,FALSE)</f>
        <v>4000 GB / 7.2K RPM SAS 3.5"</v>
      </c>
      <c r="D163" s="314" t="str">
        <f>IF(OR(LogDiskSizePDC="--",VolArchitecture="1 Volume / DB",VolArchitecture="Multiple DBs / Volume"),"--",VLOOKUP(ConfigPDCTotDisks,tblRecRAIDPDCDiskLookup,6,FALSE))</f>
        <v>--</v>
      </c>
      <c r="E163" s="315" t="str">
        <f>IF(RestoreVol="Yes",VLOOKUP(ConfigPDCTotDisks,tblRecRAIDPDCDiskLookup,7,FALSE),"--")</f>
        <v>4000 GB / 7.2K RPM SAS 3.5"</v>
      </c>
      <c r="F163" s="289"/>
      <c r="G163" s="53"/>
      <c r="H163" s="53"/>
      <c r="I163" s="42"/>
    </row>
    <row r="164" spans="1:9" x14ac:dyDescent="0.2">
      <c r="A164" s="42"/>
      <c r="B164" s="316" t="s">
        <v>344</v>
      </c>
      <c r="C164" s="317" t="str">
        <f>VLOOKUP(RecDBDisksPDC,tblRecDBDisks,2,FALSE)</f>
        <v>RAID-1/0</v>
      </c>
      <c r="D164" s="317" t="str">
        <f>VLOOKUP(RecLogDisksPDC,tblRecLogDisks,2,FALSE)</f>
        <v>--</v>
      </c>
      <c r="E164" s="318" t="str">
        <f>IF(RestoreVol="Yes",VLOOKUP(RecRLDisksPDC,tblRecRLDisks,2,FALSE),"--")</f>
        <v>RAID-5</v>
      </c>
      <c r="F164" s="289"/>
      <c r="G164" s="53"/>
      <c r="H164" s="53"/>
      <c r="I164" s="42"/>
    </row>
    <row r="165" spans="1:9" x14ac:dyDescent="0.2">
      <c r="A165" s="42"/>
      <c r="B165" s="319" t="s">
        <v>342</v>
      </c>
      <c r="C165" s="320">
        <f>IF(ValidationCheck=FALSE,VLOOKUP(ConfigPDCTotDisks,tblRecRAIDPDCDiskLookup,2,FALSE),"--")</f>
        <v>18</v>
      </c>
      <c r="D165" s="320">
        <f>IF(ValidationCheck=FALSE,VLOOKUP(ConfigPDCTotDisks,tblRecRAIDPDCDiskLookup,3,FALSE),"--")</f>
        <v>0</v>
      </c>
      <c r="E165" s="321">
        <f>IF(ValidationCheck=FALSE,VLOOKUP(ConfigPDCTotDisks,tblRecRAIDPDCDiskLookup,4,FALSE),"--")</f>
        <v>3</v>
      </c>
      <c r="F165" s="289"/>
      <c r="G165" s="53"/>
      <c r="H165" s="53"/>
      <c r="I165" s="42"/>
    </row>
    <row r="166" spans="1:9" x14ac:dyDescent="0.2">
      <c r="A166" s="42"/>
      <c r="B166" s="680"/>
      <c r="C166" s="681"/>
      <c r="D166" s="681"/>
      <c r="E166" s="681"/>
      <c r="F166" s="289"/>
      <c r="G166" s="53"/>
      <c r="H166" s="53"/>
      <c r="I166" s="42"/>
    </row>
    <row r="167" spans="1:9" ht="15.75" thickBot="1" x14ac:dyDescent="0.25">
      <c r="A167" s="42"/>
      <c r="B167" s="300" t="s">
        <v>741</v>
      </c>
      <c r="C167" s="300" t="str">
        <f>IF(OR(VolArchitecture="1 Volume / DB",VolArchitecture="Multiple DBs / Volume"),"Database+Log","Database")</f>
        <v>Database+Log</v>
      </c>
      <c r="D167" s="300" t="s">
        <v>204</v>
      </c>
      <c r="E167" s="674" t="s">
        <v>829</v>
      </c>
      <c r="F167" s="289"/>
      <c r="G167" s="53"/>
      <c r="H167" s="53"/>
      <c r="I167" s="42"/>
    </row>
    <row r="168" spans="1:9" ht="15.75" thickTop="1" x14ac:dyDescent="0.2">
      <c r="A168" s="42"/>
      <c r="B168" s="473" t="s">
        <v>511</v>
      </c>
      <c r="C168" s="314" t="str">
        <f>IF(AND(HAOption="Yes",SiteResilienceEnabled="Yes"),VLOOKUP(ConfigSDCTotDisks,tblRecRAIDSDCDiskLookup,5,FALSE),"--")</f>
        <v>4000 GB / 7.2K RPM SAS 3.5"</v>
      </c>
      <c r="D168" s="314" t="str">
        <f>IF(AND(HAOption="Yes",SiteResilienceEnabled="Yes"),IF(OR(LogDiskSizePDC="--",VolArchitecture="1 Volume / DB",VolArchitecture="Multiple DBs / Volume"),"--",VLOOKUP(ConfigSDCTotDisks,tblRecRAIDSDCDiskLookup,6,FALSE)),"--")</f>
        <v>--</v>
      </c>
      <c r="E168" s="315" t="str">
        <f>IF(AND(HAOption="Yes",SiteResilienceEnabled="Yes"),IF(RestoreVol="Yes",VLOOKUP(ConfigSDCTotDisks,tblRecRAIDSDCDiskLookup,7,FALSE),"--"),"--")</f>
        <v>4000 GB / 7.2K RPM SAS 3.5"</v>
      </c>
      <c r="F168" s="289"/>
      <c r="G168" s="53"/>
      <c r="H168" s="53"/>
      <c r="I168" s="42"/>
    </row>
    <row r="169" spans="1:9" x14ac:dyDescent="0.2">
      <c r="A169" s="42"/>
      <c r="B169" s="316" t="s">
        <v>344</v>
      </c>
      <c r="C169" s="317" t="str">
        <f>IF(AND(HAOption="Yes",SiteResilienceEnabled="Yes"),VLOOKUP(RecDBDisksSDC,tblRecDBDisks,2,FALSE),"--")</f>
        <v>RAID-1/0</v>
      </c>
      <c r="D169" s="317" t="str">
        <f>IF(AND(HAOption="Yes",SiteResilienceEnabled="Yes"),VLOOKUP(RecLogDisksSDC,tblRecLogDisks,2,FALSE),"--")</f>
        <v>--</v>
      </c>
      <c r="E169" s="318" t="str">
        <f>IF(AND(HAOption="Yes",SiteResilienceEnabled="Yes"),IF(RestoreVol="Yes",VLOOKUP(RecRLDisksSDC,tblRecRLDisks,2,FALSE),"--"),"--")</f>
        <v>RAID-5</v>
      </c>
      <c r="F169" s="289"/>
      <c r="G169" s="53"/>
      <c r="H169" s="53"/>
      <c r="I169" s="42"/>
    </row>
    <row r="170" spans="1:9" x14ac:dyDescent="0.2">
      <c r="A170" s="42"/>
      <c r="B170" s="319" t="s">
        <v>342</v>
      </c>
      <c r="C170" s="320">
        <f>IF(ValidationCheck=FALSE,IF(AND(HAOption="Yes",SiteResilienceEnabled="Yes"),VLOOKUP(ConfigSDCTotDisks,tblRecRAIDSDCDiskLookup,2,FALSE),0),"--")</f>
        <v>18</v>
      </c>
      <c r="D170" s="320">
        <f>IF(ValidationCheck=FALSE,IF(AND(HAOption="Yes",SiteResilienceEnabled="Yes"),VLOOKUP(ConfigSDCTotDisks,tblRecRAIDSDCDiskLookup,3,FALSE),0),"--")</f>
        <v>0</v>
      </c>
      <c r="E170" s="321">
        <f>IF(ValidationCheck=FALSE,IF(AND(HAOption="Yes",SiteResilienceEnabled="Yes"),VLOOKUP(ConfigSDCTotDisks,tblRecRAIDSDCDiskLookup,4,FALSE),0),"--")</f>
        <v>3</v>
      </c>
      <c r="F170" s="289"/>
      <c r="G170" s="53"/>
      <c r="H170" s="53"/>
      <c r="I170" s="42"/>
    </row>
    <row r="171" spans="1:9" x14ac:dyDescent="0.2">
      <c r="A171" s="42"/>
      <c r="B171" s="59"/>
      <c r="C171" s="205"/>
      <c r="D171" s="313"/>
      <c r="E171" s="205"/>
      <c r="F171" s="205"/>
      <c r="G171" s="53"/>
      <c r="H171" s="59"/>
      <c r="I171" s="42"/>
    </row>
    <row r="172" spans="1:9" ht="15.75" thickBot="1" x14ac:dyDescent="0.25">
      <c r="A172" s="42"/>
      <c r="B172" s="1330" t="s">
        <v>518</v>
      </c>
      <c r="C172" s="1331"/>
      <c r="D172" s="1331"/>
      <c r="E172" s="1331"/>
      <c r="F172" s="205"/>
      <c r="G172" s="53"/>
      <c r="H172" s="59"/>
      <c r="I172" s="42"/>
    </row>
    <row r="173" spans="1:9" ht="15.75" thickTop="1" x14ac:dyDescent="0.2">
      <c r="A173" s="42"/>
      <c r="B173" s="1332" t="s">
        <v>519</v>
      </c>
      <c r="C173" s="1333"/>
      <c r="D173" s="1333"/>
      <c r="E173" s="1333"/>
      <c r="F173" s="205"/>
      <c r="G173" s="53"/>
      <c r="H173" s="59"/>
      <c r="I173" s="42"/>
    </row>
    <row r="174" spans="1:9" x14ac:dyDescent="0.2">
      <c r="A174" s="42"/>
      <c r="B174" s="289"/>
      <c r="C174" s="289"/>
      <c r="D174" s="289"/>
      <c r="E174" s="289"/>
      <c r="F174" s="289"/>
      <c r="G174" s="53"/>
      <c r="H174" s="53"/>
      <c r="I174" s="42"/>
    </row>
    <row r="175" spans="1:9" x14ac:dyDescent="0.2">
      <c r="A175" s="42"/>
      <c r="B175" s="1172" t="s">
        <v>500</v>
      </c>
      <c r="C175" s="1171"/>
      <c r="D175" s="1171"/>
      <c r="E175" s="1171"/>
      <c r="F175" s="1171"/>
      <c r="G175" s="1171"/>
      <c r="H175" s="1171"/>
      <c r="I175" s="1173"/>
    </row>
    <row r="176" spans="1:9" s="45" customFormat="1" x14ac:dyDescent="0.2">
      <c r="A176" s="48"/>
      <c r="B176" s="450"/>
      <c r="C176" s="450"/>
      <c r="D176" s="450"/>
      <c r="E176" s="450"/>
      <c r="F176" s="450"/>
      <c r="G176" s="59"/>
      <c r="H176" s="59"/>
      <c r="I176" s="48"/>
    </row>
    <row r="177" spans="1:9" s="45" customFormat="1" ht="15.75" thickBot="1" x14ac:dyDescent="0.25">
      <c r="A177" s="48"/>
      <c r="B177" s="300" t="s">
        <v>622</v>
      </c>
      <c r="C177" s="300" t="str">
        <f>IF(AND(HAOption="Yes",SiteResilienceEnabled="Yes",OR(SRModel="Active/Active (Single DAG)",SRModel="Active/Active (Multiple DAGs)")),"Datacenter 1","Primary Datacenter") &amp; " Servers"</f>
        <v>Datacenter 1 Servers</v>
      </c>
      <c r="D177" s="300" t="str">
        <f>IF(AND(HAOption="Yes",SiteResilienceEnabled="Yes",OR(SRModel="Active/Active (Single DAG)",SRModel="Active/Active (Multiple DAGs)")),"Datacenter 2","Secondary Datacenter") &amp; " Servers"</f>
        <v>Datacenter 2 Servers</v>
      </c>
      <c r="E177" s="859" t="s">
        <v>498</v>
      </c>
      <c r="F177" s="450"/>
      <c r="G177" s="59"/>
      <c r="H177" s="59"/>
      <c r="I177" s="48"/>
    </row>
    <row r="178" spans="1:9" s="45" customFormat="1" ht="15.75" thickTop="1" x14ac:dyDescent="0.2">
      <c r="A178" s="48"/>
      <c r="B178" s="3" t="s">
        <v>613</v>
      </c>
      <c r="C178" s="449" t="str">
        <f>IF(AND(HAOption="Yes",ValidationCheck=FALSE),IF(AND(PreferredStorageArch="JBOD",RecJBODDiskTypePDC&lt;&gt;"RAID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Yes</v>
      </c>
      <c r="D178" s="449" t="str">
        <f>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f>
        <v>Yes</v>
      </c>
      <c r="E178" s="189" t="str">
        <f>IF(LaggedCopySvrPrefStorageArch="--","--",IF(AND(LaggedCopySvrPrefStorageArch="JBOD",RecJBODDiskTypePDC&lt;&gt;"RAID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F178" s="450"/>
      <c r="G178" s="59"/>
      <c r="H178" s="59"/>
      <c r="I178" s="48"/>
    </row>
    <row r="179" spans="1:9" x14ac:dyDescent="0.25">
      <c r="A179" s="42"/>
      <c r="B179" s="58"/>
      <c r="C179" s="66"/>
      <c r="D179" s="66"/>
      <c r="E179" s="90"/>
      <c r="F179" s="59"/>
      <c r="G179" s="53"/>
      <c r="H179" s="53"/>
      <c r="I179" s="42"/>
    </row>
    <row r="180" spans="1:9" x14ac:dyDescent="0.2">
      <c r="A180" s="42"/>
      <c r="B180" s="204" t="s">
        <v>742</v>
      </c>
      <c r="C180" s="204" t="s">
        <v>343</v>
      </c>
      <c r="D180" s="204" t="s">
        <v>829</v>
      </c>
      <c r="E180" s="309" t="s">
        <v>1384</v>
      </c>
      <c r="F180" s="289"/>
      <c r="G180" s="53"/>
      <c r="H180" s="53"/>
      <c r="I180" s="528"/>
    </row>
    <row r="181" spans="1:9" x14ac:dyDescent="0.2">
      <c r="A181" s="42"/>
      <c r="B181" s="59" t="s">
        <v>511</v>
      </c>
      <c r="C181" s="311" t="str">
        <f>IF(OR(VolArchitecture="1 Volume / DB",VolArchitecture="Multiple DBs / Volume"),IF(JBODEvaluation="Yes",IF(OR(PreferredStorageArch="JBOD",PreferredStorageArchSDC="JBOD",LaggedCopySvrPrefStorageArch="JBOD"),IFERROR(IF(OR(VolArchitecture="1 Volume / DB",VolArchitecture="Multiple DBs / Volume"),VLOOKUP(OptJBODDisksConfigPDC,tblRecJBODDiskLookup,3,FALSE),"Database and Log Isolation Enabled"),IF(JBODCapAchDisk1&lt;&gt;TRUE,"Insufficient Disk Capacity","Insufficient Disk IO Capacity")),IF(AND(HAOption="Yes",OR(VolArchitecture="1 Volume / DB",VolArchitecture="Multiple DBs / Volume"),NumDBCopies&lt;3),"Insufficient Database Copies","RAID Required")),"RAID Required"),"Incorrect Volume Architecture")</f>
        <v>4000 GB / 7.2K RPM SAS 3.5"</v>
      </c>
      <c r="D181" s="311" t="str">
        <f>IF(OR(VolArchitecture="1 Volume / DB",VolArchitecture="Multiple DBs / Volume"),IF(JBODEvaluation="Yes",IF(OR(PreferredStorageArch="JBOD",PreferredStorageArchSDC="JBOD",LaggedCopySvrPrefStorageArch="JBOD"),IFERROR(IF(OR(VolArchitecture="1 Volume / DB",VolArchitecture="Multiple DBs / Volume"),IF(RestoreVol="Yes",VLOOKUP(OptJBODDisksConfigPDC,tblRecJBODDiskLookupPDC,4,FALSE),"--"),"Database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1" s="265" t="str">
        <f>RecJBODDiskTypePDC</f>
        <v>4000 GB / 7.2K RPM SAS 3.5"</v>
      </c>
      <c r="F181" s="59"/>
      <c r="G181" s="53"/>
      <c r="H181" s="53"/>
      <c r="I181" s="42"/>
    </row>
    <row r="182" spans="1:9" x14ac:dyDescent="0.2">
      <c r="A182" s="42"/>
      <c r="B182" s="59" t="s">
        <v>342</v>
      </c>
      <c r="C182" s="294">
        <f>IF(AND(RecJBODDiskTypePDC&lt;&gt;"Insufficient Database Copies",ValidationCheck=FALSE),IFERROR(VLOOKUP(OptJBODDisksConfigPDC,tblRecJBODDiskLookupPDC,1,FALSE),"--"),"--")</f>
        <v>9</v>
      </c>
      <c r="D182" s="294">
        <f>IF(AND(RecJBODRLDiskTypePDC&lt;&gt;"Insufficient Database Copies",ValidationCheck=FALSE),IF(RecJBODDisksPDC="Insufficient Disk Capacity",0,IFERROR(VLOOKUP(OptJBODDisksConfigPDC,tblRecJBODDiskLookupPDC,2,FALSE),"--")),"--")</f>
        <v>1</v>
      </c>
      <c r="E182" s="265">
        <f>IF(AND(JBODEvaluation="Yes",RecJBODRLDiskTypePDC&lt;&gt;"Insufficient Database Copies",ValidationCheck=FALSE),IF(RecJBODDisksPDC="Insufficient Disk Capacity",0,varAutoReseedVolumes),"--")</f>
        <v>1</v>
      </c>
      <c r="F182" s="289"/>
      <c r="G182" s="53"/>
      <c r="H182" s="53"/>
      <c r="I182" s="42"/>
    </row>
    <row r="183" spans="1:9" x14ac:dyDescent="0.2">
      <c r="A183" s="42"/>
      <c r="B183" s="675"/>
      <c r="C183" s="366"/>
      <c r="D183" s="366"/>
      <c r="E183" s="308"/>
      <c r="F183" s="289"/>
      <c r="G183" s="53"/>
      <c r="H183" s="53"/>
      <c r="I183" s="42"/>
    </row>
    <row r="184" spans="1:9" x14ac:dyDescent="0.2">
      <c r="A184" s="42"/>
      <c r="B184" s="204" t="s">
        <v>743</v>
      </c>
      <c r="C184" s="204" t="s">
        <v>343</v>
      </c>
      <c r="D184" s="204" t="s">
        <v>829</v>
      </c>
      <c r="E184" s="916" t="s">
        <v>1336</v>
      </c>
      <c r="F184" s="289"/>
      <c r="G184" s="53"/>
      <c r="H184" s="53"/>
      <c r="I184" s="42"/>
    </row>
    <row r="185" spans="1:9" x14ac:dyDescent="0.2">
      <c r="A185" s="42"/>
      <c r="B185" s="675" t="s">
        <v>511</v>
      </c>
      <c r="C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Volume"),IF(DBDiskSizeSDC&lt;&gt;"--",DBDiskSizeSDC &amp; " / " &amp; DBDiskRPMSDC,"--"),"Database and Log Isolation Enabled"),IF(JBODCapAchDisk2&lt;&gt;TRUE,"Insufficient Disk Capacity","Insufficient Disk IO Capacity")),IF(AND(HAOption="Yes",OR(VolArchitecture="1 Volume / DB",VolArchitecture="Multiple DBs / Volume"),NumDBCopies&lt;3),"Insufficient Database Copies","RAID Required")),"RAID Required"),"Incorrect Volume Architecture"),"--")</f>
        <v>4000 GB / 7.2K RPM SAS 3.5"</v>
      </c>
      <c r="D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Volume"),IF(AND(RestoreVol&lt;&gt;"No",DBDiskSizeSDC&lt;&gt;"--"),ResDiskSizeSDC &amp; " / " &amp; ResDiskRPMSDC,"--"),"Database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5" s="265" t="str">
        <f>RecJBODDiskTypeSDC</f>
        <v>4000 GB / 7.2K RPM SAS 3.5"</v>
      </c>
      <c r="F185" s="289"/>
      <c r="G185" s="53"/>
      <c r="H185" s="53"/>
      <c r="I185" s="42"/>
    </row>
    <row r="186" spans="1:9" x14ac:dyDescent="0.2">
      <c r="A186" s="42"/>
      <c r="B186" s="675" t="s">
        <v>342</v>
      </c>
      <c r="C186" s="366">
        <f>IF(AND(RecJBODDiskTypeSDC&lt;&gt;"Insufficient Database Copies",ValidationCheck=FALSE,HAOption="Yes",SiteResilienceEnabled="Yes"),IFERROR(VLOOKUP(OptJBODDisksConfigSDC,tblRecJBODDiskLookupSDC,1,FALSE),"--"),"--")</f>
        <v>9</v>
      </c>
      <c r="D186" s="366">
        <f>IF(AND(RecJBODRLDiskTypeSDC&lt;&gt;"Insufficient Database Copies",ValidationCheck=FALSE,HAOption="Yes",SiteResilienceEnabled="Yes"),IF(RecJBODDisksSDC="Insufficient Disk Capacity",0,IFERROR(VLOOKUP(OptJBODDisksConfigSDC,tblRecJBODDiskLookupSDC,2,FALSE),"--")),"--")</f>
        <v>1</v>
      </c>
      <c r="E186" s="265">
        <f>IF(AND(JBODEvaluation="Yes",RecJBODRLDiskTypeSDC&lt;&gt;"Insufficient Database Copies",ValidationCheck=FALSE,HAOption="Yes",SiteResilienceEnabled="Yes"),IF(RecJBODDisksSDC="Insufficient Disk Capacity",0,varAutoReseedVolumes),"--")</f>
        <v>1</v>
      </c>
      <c r="F186" s="289"/>
      <c r="G186" s="53"/>
      <c r="H186" s="53"/>
      <c r="I186" s="42"/>
    </row>
    <row r="187" spans="1:9" x14ac:dyDescent="0.2">
      <c r="A187" s="42"/>
      <c r="B187" s="59"/>
      <c r="C187" s="205"/>
      <c r="D187" s="313"/>
      <c r="E187" s="205"/>
      <c r="F187" s="92"/>
      <c r="G187" s="53"/>
      <c r="H187" s="53"/>
      <c r="I187" s="42"/>
    </row>
    <row r="188" spans="1:9" x14ac:dyDescent="0.2">
      <c r="A188" s="42"/>
      <c r="B188" s="1172" t="s">
        <v>516</v>
      </c>
      <c r="C188" s="1171"/>
      <c r="D188" s="1171"/>
      <c r="E188" s="1171"/>
      <c r="F188" s="1171"/>
      <c r="G188" s="1171"/>
      <c r="H188" s="1171"/>
      <c r="I188" s="1173"/>
    </row>
    <row r="189" spans="1:9" s="555" customFormat="1" ht="15" customHeight="1" x14ac:dyDescent="0.2">
      <c r="A189" s="556"/>
      <c r="I189" s="558"/>
    </row>
    <row r="190" spans="1:9" customFormat="1" ht="15" customHeight="1" x14ac:dyDescent="0.2">
      <c r="A190" s="556"/>
      <c r="B190" s="218" t="s">
        <v>299</v>
      </c>
      <c r="C190" s="218" t="s">
        <v>249</v>
      </c>
      <c r="E190" s="1166" t="str">
        <f>IF(AND(StorageArchChoice="As Calculated",calcServerRAIDDisks&gt;0,calcServerJBODDisks&gt;0),"The calculator determined that the architecture should leverage both JBOD and RAID storage to mitigate single points of failure while minimizing the number of disks within the solution.",IF(AND(StorageArchChoice="As Calculated",calcServerRAIDDisks=0,calcServerJBODDisks&gt;0),"The calculator determined that the architecture could be deployed in a JBOD configuration to minimize the number of disks within the solution.",IF(AND(StorageArchChoice="As Calculated",calcServerRAIDDisks&gt;0,calcServerJBODDisks=0),"The calculator determined that the architecture must be deployed in a RAID configuration to mitigate any single points of failure within the design.",IF(AND(StorageArchChoice="Entirely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Architecture")),"The design chosen prohibits the use of JBOD; therefore, the storage architecture must use RAID storage.",IF(AND(StorageArchChoice="Entirely on JBOD",OR(tblJBODStorageArch[Primary Datacenter Servers]="No",tblJBODStorageArch[Secondary Datacenter Servers]="No",tblJBODStorageArch[Lagged Copy Servers]="No")),"Given the design constraints, deploying the entire architecture on JBOD is not recommended as it results in a single point of failure" &amp; IF(OR(tblJBODStorageArch[Secondary Datacenter Servers]="No",tblJBODStorageArch[Lagged Copy Servers]="No")," (" &amp; IF(AND(tblJBODStorageArch[Secondary Datacenter Servers]="No",tblJBODStorageArch[Lagged Copy Servers]="No"),"Secondary Datacenter, Lagged Copy Servers",IF(tblJBODStorageArch[Secondary Datacenter Servers]="No","Secondary Datacenter",IF(tblJBODStorageArch[Lagged Copy Servers]="No","Lagged Copy Servers",""))) &amp; ")") &amp; ".","")))))</f>
        <v>The calculator determined that the architecture could be deployed in a JBOD configuration to minimize the number of disks within the solution.</v>
      </c>
      <c r="F190" s="1166"/>
      <c r="G190" s="1166"/>
      <c r="I190" s="558"/>
    </row>
    <row r="191" spans="1:9" x14ac:dyDescent="0.2">
      <c r="A191" s="42"/>
      <c r="B191" s="557" t="s">
        <v>612</v>
      </c>
      <c r="C191" s="366" t="s">
        <v>620</v>
      </c>
      <c r="D191" s="450"/>
      <c r="E191" s="1166"/>
      <c r="F191" s="1166"/>
      <c r="G191" s="1166"/>
      <c r="H191" s="53"/>
      <c r="I191" s="42"/>
    </row>
    <row r="192" spans="1:9" x14ac:dyDescent="0.2">
      <c r="A192" s="42"/>
      <c r="D192" s="450"/>
      <c r="E192" s="450"/>
      <c r="F192" s="450"/>
      <c r="G192" s="59"/>
      <c r="H192" s="53"/>
      <c r="I192" s="42"/>
    </row>
    <row r="193" spans="1:9" ht="15.75" thickBot="1" x14ac:dyDescent="0.25">
      <c r="A193" s="42"/>
      <c r="B193" s="300" t="s">
        <v>615</v>
      </c>
      <c r="C193" s="395" t="str">
        <f>IF(AND(HAOption="Yes",SiteResilienceEnabled="Yes",SRModel="Active/Active (Single DAG)"),"/ Datacenter 1 ","/ Primary Datacenter ") &amp; "Server"</f>
        <v>/ Datacenter 1 Server</v>
      </c>
      <c r="D193" s="395" t="str">
        <f>IF(AND(HAOption="Yes",SiteResilienceEnabled="Yes",SRModel="Active/Active (Single DAG)"),"/ Datacenter 2 ","/ Secondary Datacenter ") &amp; "Server"</f>
        <v>/ Datacenter 2 Server</v>
      </c>
      <c r="E193" s="600" t="str">
        <f>IF(AND(HAOption="Yes",SiteResilienceEnabled="Yes",SRModel="Active/Active (Single DAG)"),"/ Datacenter 1 DAG","/ Primary Datacenter DAG")</f>
        <v>/ Datacenter 1 DAG</v>
      </c>
      <c r="F193" s="601" t="str">
        <f>IF(AND(HAOption="Yes",SiteResilienceEnabled="Yes",SRModel="Active/Active (Single DAG)"),"/ Datacenter 2 DAG","/ Secondary Datacenter DAG")</f>
        <v>/ Datacenter 2 DAG</v>
      </c>
      <c r="G193" s="59"/>
      <c r="H193" s="53"/>
      <c r="I193" s="42"/>
    </row>
    <row r="194" spans="1:9" ht="15.75" thickTop="1" x14ac:dyDescent="0.2">
      <c r="A194" s="42"/>
      <c r="B194" s="59" t="s">
        <v>265</v>
      </c>
      <c r="C194" s="205">
        <f>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f>
        <v>0</v>
      </c>
      <c r="D194" s="308">
        <f>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f>
        <v>0</v>
      </c>
      <c r="E194" s="265">
        <f>IF(ValidationCheck=FALSE,IF(AND(StorageArchChoice="As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Servers]="Yes"),calcNumLagMBXServersPDC,0)+IF(AND(HAOption="Yes",SiteResilienceEnabled="Yes",SRModel="Active/Active (Single DAG)",calcSRAASDDRServers="Yes",OR(PreferredStorageArchSDC="RAID",tblRAIDStorageArch[Secondary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0</v>
      </c>
      <c r="F194" s="205">
        <f>IF(ValidationCheck=FALSE,IF(SiteResilienceEnabled="Yes",IF(AND(StorageArchChoice="As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Servers]="Yes"),calcNumLagMBXServersSDC,0)+IF(AND(HAOption="Yes",SiteResilienceEnabled="Yes",SRModel="Active/Active (Single DAG)",OR(PreferredStorageArch="RAID",tblRAIDStorageArch[Primary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Server]*(calcNumPMBXServersDC2+calcNumLagMBXServersSDC)))),"--"),0)</f>
        <v>0</v>
      </c>
      <c r="G194" s="59"/>
      <c r="H194" s="53"/>
      <c r="I194" s="42"/>
    </row>
    <row r="195" spans="1:9" x14ac:dyDescent="0.2">
      <c r="A195" s="42"/>
      <c r="B195" s="450"/>
      <c r="C195" s="450"/>
      <c r="D195" s="450"/>
      <c r="E195" s="450"/>
      <c r="F195" s="450"/>
      <c r="G195" s="59"/>
      <c r="H195" s="53"/>
      <c r="I195" s="42"/>
    </row>
    <row r="196" spans="1:9" ht="15.75" thickBot="1" x14ac:dyDescent="0.25">
      <c r="A196" s="42"/>
      <c r="B196" s="300" t="s">
        <v>616</v>
      </c>
      <c r="C196" s="395" t="str">
        <f>IF(AND(HAOption="Yes",SiteResilienceEnabled="Yes",SRModel="Active/Active (Single DAG)"),"/ Datacenter 1 ","/ Primary Datacenter ") &amp; "Server"</f>
        <v>/ Datacenter 1 Server</v>
      </c>
      <c r="D196" s="395" t="str">
        <f>IF(AND(HAOption="Yes",SiteResilienceEnabled="Yes",SRModel="Active/Active (Single DAG)"),"/ Datacenter 2 ","/ Secondary Datacenter ") &amp; "Server"</f>
        <v>/ Datacenter 2 Server</v>
      </c>
      <c r="E196" s="600" t="str">
        <f>IF(AND(HAOption="Yes",SiteResilienceEnabled="Yes",SRModel="Active/Active (Single DAG)"),"/ Datacenter 1 DAG","/ Primary Datacenter DAG")</f>
        <v>/ Datacenter 1 DAG</v>
      </c>
      <c r="F196" s="601" t="str">
        <f>IF(AND(HAOption="Yes",SiteResilienceEnabled="Yes",SRModel="Active/Active (Single DAG)"),"/ Datacenter 2 DAG","/ Secondary Datacenter DAG")</f>
        <v>/ Datacenter 2 DAG</v>
      </c>
      <c r="G196" s="608"/>
      <c r="H196" s="53"/>
      <c r="I196" s="42"/>
    </row>
    <row r="197" spans="1:9" ht="15.75" thickTop="1" x14ac:dyDescent="0.2">
      <c r="A197" s="42"/>
      <c r="B197" s="59" t="s">
        <v>265</v>
      </c>
      <c r="C197" s="205">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11</v>
      </c>
      <c r="D197" s="45">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11</v>
      </c>
      <c r="E197" s="265">
        <f>IF(AND(StorageArchChoice="As Calculated",OR(tblJBODStorageArch[Primary Datacenter Servers]="Yes",tblJBODStorageArch[Secondary Datacenter Servers]="Yes",tblJBODStorageArch[Lagged Copy Servers]="Yes")),tblJBODStgConfig[/ PDC Server]*(IF(PreferredStorageArch="JBOD",calcNumAMBXServersDC1,0)+IF(LaggedCopySvrPrefStorageArch="JBOD",calcNumLagMBXServersPDC,0)),IF(StorageArchChoice="Entirely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Architecture"),tblJBODStgConfig[/ PDC Server]*(calcNumAMBXServersDC1+calcNumLagMBXServersPDC+IF(AND(HAOption="Yes",SiteResilienceEnabled="Yes",SRModel="Active/Active (Single DAG)",calcSRAASDDRServers="Yes",OR(PreferredStorageArchSDC="JBOD",tblJBODStorageArch[Secondary Datacenter Servers]="Yes")),calcNumPMBXServersDC1,0)),0)))</f>
        <v>44</v>
      </c>
      <c r="F197" s="205">
        <f>IF(SiteResilienceEnabled="Yes",IF(AND(StorageArchChoice="As Calculated",OR(tblJBODStorageArch[Primary Datacenter Servers]="Yes",tblJBODStorageArch[Secondary Datacenter Servers]="Yes",tblJBODStorageArch[Lagged Copy Servers]="Yes")),tblJBODStgConfig[/ SDC Server]*(IF(PreferredStorageArchSDC="JBOD",calcNumPMBXServersDC2,0)+IF(LaggedCopySvrPrefStorageArch="JBOD",calcNumLagMBXServersSDC,0)+IF(AND(HAOption="Yes",SiteResilienceEnabled="Yes",SRModel="Active/Active (Single DAG)",PreferredStorageArch="JBOD"),calcNumAMBXServersDC2,0)),IF(StorageArchChoice="Entirely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Architecture"),tblJBODStgConfig[/ SDC Server]*(calcNumPMBXServersDC2+calcNumLagMBXServersSDC+calcNumAMBXServersDC2),0))),"--")</f>
        <v>44</v>
      </c>
      <c r="G197" s="59"/>
      <c r="H197" s="53"/>
      <c r="I197" s="42"/>
    </row>
    <row r="198" spans="1:9" x14ac:dyDescent="0.2">
      <c r="A198" s="42"/>
      <c r="B198" s="450"/>
      <c r="C198" s="450"/>
      <c r="D198" s="450"/>
      <c r="E198" s="450"/>
      <c r="F198" s="450"/>
      <c r="G198" s="59"/>
      <c r="H198" s="53"/>
      <c r="I198" s="42"/>
    </row>
    <row r="199" spans="1:9" x14ac:dyDescent="0.2">
      <c r="A199" s="42"/>
      <c r="B199" s="204" t="s">
        <v>515</v>
      </c>
      <c r="C199" s="474" t="s">
        <v>327</v>
      </c>
      <c r="D199" s="312" t="s">
        <v>328</v>
      </c>
      <c r="E199" s="205"/>
      <c r="F199" s="92"/>
      <c r="G199" s="53"/>
      <c r="H199" s="53"/>
      <c r="I199" s="42"/>
    </row>
    <row r="200" spans="1:9" x14ac:dyDescent="0.2">
      <c r="A200" s="42"/>
      <c r="B200" s="59" t="s">
        <v>513</v>
      </c>
      <c r="C200" s="205">
        <f>IF(HAOption="Yes",IF(OR(RecJBODDiskTypePDC="Insufficient Disk Capacity",RecJBODDiskTypePDC="Insufficient Disk IO Capacity"),(RecDBDisksPDC+RecLogDisksPDC+RecRLDisksPDC)*(calcNumAMBXServersDC1+calcNumLagMBXServersPDC+IF(SiteResilienceEnabled="Yes",calcNumPMBXServersDC2+calcNumLagMBXServersSDC,0)),SUM(tblRAIDStgConfig[[#All],[ / Primary Datacenter DAG]:[/ Secondary Datacenter DAG]])),"--")</f>
        <v>0</v>
      </c>
      <c r="D200" s="313">
        <f>IF(HAOption="Yes",Table44[[#This Row],[/ DAG]]*calcNumDAGs,calcServerRAIDDisks*numMBXServers)</f>
        <v>0</v>
      </c>
      <c r="E200" s="205"/>
      <c r="F200" s="92"/>
      <c r="G200" s="53"/>
      <c r="H200" s="53"/>
      <c r="I200" s="42"/>
    </row>
    <row r="201" spans="1:9" x14ac:dyDescent="0.2">
      <c r="A201" s="42"/>
      <c r="B201" s="59" t="s">
        <v>514</v>
      </c>
      <c r="C201" s="205">
        <f>IF(HAOption="Yes",SUM(tblJBODStgConfig[[#All],[ / Primary Datacenter DAG]:[/ Secondary Datacenter DAG]]),"--")</f>
        <v>88</v>
      </c>
      <c r="D201" s="313">
        <f>IF(HAOption="Yes",Table44[[#This Row],[/ DAG]]*calcNumDAGs,"--")</f>
        <v>880</v>
      </c>
      <c r="E201" s="205"/>
      <c r="F201" s="92"/>
      <c r="G201" s="53"/>
      <c r="H201" s="53"/>
      <c r="I201" s="42"/>
    </row>
    <row r="202" spans="1:9" x14ac:dyDescent="0.2">
      <c r="A202" s="42"/>
      <c r="B202" s="59" t="s">
        <v>489</v>
      </c>
      <c r="C202" s="265">
        <f>SUBTOTAL(9,Table44[/ DAG])</f>
        <v>88</v>
      </c>
      <c r="D202" s="287">
        <f>SUBTOTAL(9,Table44[/ Environment])</f>
        <v>880</v>
      </c>
      <c r="E202" s="205"/>
      <c r="F202" s="92"/>
      <c r="G202" s="53"/>
      <c r="H202" s="53"/>
      <c r="I202" s="42"/>
    </row>
    <row r="203" spans="1:9" ht="15.75" thickBot="1" x14ac:dyDescent="0.25">
      <c r="A203" s="42"/>
      <c r="B203" s="59"/>
      <c r="C203" s="326"/>
      <c r="D203" s="475"/>
      <c r="E203" s="310"/>
      <c r="F203" s="462"/>
      <c r="G203" s="142"/>
      <c r="H203" s="142"/>
      <c r="I203" s="210"/>
    </row>
    <row r="204" spans="1:9" x14ac:dyDescent="0.2">
      <c r="B204" s="561"/>
      <c r="C204" s="288"/>
      <c r="D204" s="288"/>
      <c r="E204" s="59"/>
      <c r="F204" s="92"/>
    </row>
    <row r="205" spans="1:9" x14ac:dyDescent="0.2">
      <c r="B205"/>
      <c r="C205"/>
      <c r="D205"/>
      <c r="E205"/>
      <c r="F205"/>
    </row>
    <row r="207" spans="1:9" x14ac:dyDescent="0.2">
      <c r="E207" s="562"/>
    </row>
    <row r="209" spans="2:6" x14ac:dyDescent="0.2">
      <c r="B209"/>
      <c r="C209"/>
      <c r="D209"/>
      <c r="E209"/>
      <c r="F209"/>
    </row>
  </sheetData>
  <dataConsolidate/>
  <mergeCells count="20">
    <mergeCell ref="E190:G191"/>
    <mergeCell ref="B30:I30"/>
    <mergeCell ref="B69:I69"/>
    <mergeCell ref="B140:I140"/>
    <mergeCell ref="B157:I157"/>
    <mergeCell ref="B175:I175"/>
    <mergeCell ref="B188:I188"/>
    <mergeCell ref="B1:I1"/>
    <mergeCell ref="B3:I4"/>
    <mergeCell ref="B6:G7"/>
    <mergeCell ref="B9:G9"/>
    <mergeCell ref="B10:E10"/>
    <mergeCell ref="B8:E8"/>
    <mergeCell ref="B2:F2"/>
    <mergeCell ref="B11:E11"/>
    <mergeCell ref="B14:I14"/>
    <mergeCell ref="E27:F28"/>
    <mergeCell ref="B172:E172"/>
    <mergeCell ref="B173:E173"/>
    <mergeCell ref="B13:I13"/>
  </mergeCells>
  <phoneticPr fontId="40" type="noConversion"/>
  <conditionalFormatting sqref="F71:F79 C125">
    <cfRule type="cellIs" dxfId="44" priority="135" stopIfTrue="1" operator="greaterThan">
      <formula>$C$75</formula>
    </cfRule>
  </conditionalFormatting>
  <conditionalFormatting sqref="C94:E94 C96:E96 C98:E98 C100:E100">
    <cfRule type="cellIs" dxfId="43" priority="60" operator="greaterThanOrEqual">
      <formula>C95</formula>
    </cfRule>
  </conditionalFormatting>
  <conditionalFormatting sqref="C95:E95 C97:E97 C99:E99 C101:E101">
    <cfRule type="cellIs" dxfId="42" priority="59" operator="greaterThan">
      <formula>C94</formula>
    </cfRule>
  </conditionalFormatting>
  <conditionalFormatting sqref="B28:C28">
    <cfRule type="expression" dxfId="41" priority="37">
      <formula>IF(OverrideRAID="No",TRUE,FALSE)</formula>
    </cfRule>
  </conditionalFormatting>
  <conditionalFormatting sqref="E27:F28">
    <cfRule type="expression" dxfId="40"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81">
    <cfRule type="expression" dxfId="39" priority="9">
      <formula>IF(OR(RecJBODDiskTypePDC="Insufficient Disk Capacity",RecJBODDiskTypePDC="Insufficient Disk IO Capacity"),TRUE,FALSE)</formula>
    </cfRule>
  </conditionalFormatting>
  <conditionalFormatting sqref="D181">
    <cfRule type="expression" dxfId="38" priority="8">
      <formula>RecJBODRLDiskTypePDC="Insufficient Disk Capacity"</formula>
    </cfRule>
  </conditionalFormatting>
  <conditionalFormatting sqref="E190:G191">
    <cfRule type="expression" dxfId="37" priority="7">
      <formula>IF(AND(ValidationCheck=FALSE,StorageArchChoice="As Calculated",calcServerRAIDDisks&gt;0,calcServerJBODDisks&gt;0),TRUE,IF(AND(ValidationCheck=FALSE,StorageArchChoice="As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JBOD",OR($C$178="No",$D$178="No",$E$178="No")),TRUE,FALSE)))))</formula>
    </cfRule>
  </conditionalFormatting>
  <conditionalFormatting sqref="F197">
    <cfRule type="expression" dxfId="36"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Architecture",OR($C$178="No",$D$178="No",AND($E$178="No",calcNumLagCopyInSDC&gt;0))),TRUE,FALSE)</formula>
    </cfRule>
  </conditionalFormatting>
  <conditionalFormatting sqref="E197">
    <cfRule type="expression" dxfId="35"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DAGs)")),OR($C$178="No",$D$178="No",AND($E$178="No",calcNumLagCopyInPDC&gt;0)),OR($C$178="No",AND($E$178="No",calcNumLagCopyInPDC&gt;0)))),TRUE,FALSE)</formula>
    </cfRule>
  </conditionalFormatting>
  <conditionalFormatting sqref="D185">
    <cfRule type="expression" dxfId="34" priority="3">
      <formula>RecJBODRLDiskTypePDC="Insufficient Disk Capacity"</formula>
    </cfRule>
  </conditionalFormatting>
  <conditionalFormatting sqref="C185">
    <cfRule type="expression" dxfId="33" priority="4">
      <formula>IF(OR(RecJBODDiskTypePDC="Insufficient Disk Capacity",RecJBODDiskTypePDC="Insufficient Disk IO Capacity"),TRUE,FALSE)</formula>
    </cfRule>
  </conditionalFormatting>
  <conditionalFormatting sqref="C182">
    <cfRule type="expression" dxfId="32" priority="2">
      <formula>IF(RecJBODDisksPDC="Insufficient Disk Capacity",TRUE,FALSE)</formula>
    </cfRule>
  </conditionalFormatting>
  <conditionalFormatting sqref="C186">
    <cfRule type="expression" dxfId="31" priority="1">
      <formula>IF(RecJBODDisksSDC="Insufficient Disk Capacity",TRUE,FALSE)</formula>
    </cfRule>
  </conditionalFormatting>
  <dataValidations disablePrompts="1" count="7">
    <dataValidation type="list" allowBlank="1" showInputMessage="1" showErrorMessage="1" sqref="C191">
      <formula1>"As Calculated,Entirely on RAID,Entirely on JBOD"</formula1>
    </dataValidation>
    <dataValidation type="list" allowBlank="1" showInputMessage="1" showErrorMessage="1" sqref="C27">
      <formula1>varYNQuestion</formula1>
    </dataValidation>
    <dataValidation type="list" allowBlank="1" showInputMessage="1" showErrorMessage="1" sqref="F20 C28">
      <formula1>varRAIDOptions</formula1>
    </dataValidation>
    <dataValidation type="list" allowBlank="1" showInputMessage="1" showErrorMessage="1" sqref="C18 F18">
      <formula1>varRAID5Types</formula1>
    </dataValidation>
    <dataValidation type="list" allowBlank="1" showInputMessage="1" showErrorMessage="1" sqref="C19 F19">
      <formula1>varRAID6Types</formula1>
    </dataValidation>
    <dataValidation type="list" allowBlank="1" showInputMessage="1" showErrorMessage="1" sqref="C17 F17">
      <formula1>varRAID10Types</formula1>
    </dataValidation>
    <dataValidation type="decimal" allowBlank="1" showInputMessage="1" showErrorMessage="1" errorTitle="Rebuild Overhead" error="You must enter a value between 0 and 99%." sqref="C22:C25">
      <formula1>0</formula1>
      <formula2>0.99</formula2>
    </dataValidation>
  </dataValidations>
  <pageMargins left="0.7" right="0.7" top="0.75" bottom="0.75" header="0.3" footer="0.3"/>
  <pageSetup scale="39" orientation="portrait" r:id="rId1"/>
  <ignoredErrors>
    <ignoredError sqref="E182" calculatedColumn="1"/>
  </ignoredErrors>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96"/>
  <sheetViews>
    <sheetView workbookViewId="0"/>
  </sheetViews>
  <sheetFormatPr defaultRowHeight="12.75" x14ac:dyDescent="0.2"/>
  <cols>
    <col min="1" max="1" width="20.42578125" style="719" customWidth="1"/>
    <col min="2" max="2" width="50.42578125" style="719" bestFit="1" customWidth="1"/>
    <col min="3" max="3" width="66.140625" style="932" bestFit="1" customWidth="1"/>
    <col min="4" max="4" width="24" customWidth="1"/>
    <col min="5" max="5" width="21.140625" customWidth="1"/>
  </cols>
  <sheetData>
    <row r="1" spans="1:5" x14ac:dyDescent="0.2">
      <c r="D1" s="1339" t="s">
        <v>252</v>
      </c>
      <c r="E1" s="1339"/>
    </row>
    <row r="2" spans="1:5" s="719" customFormat="1" x14ac:dyDescent="0.2">
      <c r="C2" s="932" t="s">
        <v>1379</v>
      </c>
      <c r="D2" s="930" t="s">
        <v>1380</v>
      </c>
      <c r="E2" s="930"/>
    </row>
    <row r="3" spans="1:5" s="719" customFormat="1" x14ac:dyDescent="0.2">
      <c r="C3" s="932" t="s">
        <v>1381</v>
      </c>
      <c r="D3" s="930" t="s">
        <v>1382</v>
      </c>
      <c r="E3" s="930"/>
    </row>
    <row r="4" spans="1:5" s="719" customFormat="1" x14ac:dyDescent="0.2">
      <c r="A4" s="931" t="s">
        <v>1376</v>
      </c>
      <c r="B4" s="931" t="s">
        <v>1377</v>
      </c>
      <c r="C4" s="932" t="s">
        <v>1378</v>
      </c>
    </row>
    <row r="5" spans="1:5" x14ac:dyDescent="0.2">
      <c r="A5" s="719" t="s">
        <v>1375</v>
      </c>
      <c r="B5" s="719" t="s">
        <v>520</v>
      </c>
      <c r="C5" s="932" t="s">
        <v>584</v>
      </c>
    </row>
    <row r="6" spans="1:5" x14ac:dyDescent="0.2">
      <c r="C6" s="932" t="s">
        <v>790</v>
      </c>
    </row>
    <row r="7" spans="1:5" x14ac:dyDescent="0.2">
      <c r="C7" s="932" t="s">
        <v>762</v>
      </c>
    </row>
    <row r="8" spans="1:5" x14ac:dyDescent="0.2">
      <c r="C8" s="932" t="s">
        <v>313</v>
      </c>
    </row>
    <row r="9" spans="1:5" x14ac:dyDescent="0.2">
      <c r="C9" s="932" t="s">
        <v>1352</v>
      </c>
    </row>
    <row r="10" spans="1:5" x14ac:dyDescent="0.2">
      <c r="C10" s="932" t="s">
        <v>1353</v>
      </c>
    </row>
    <row r="11" spans="1:5" x14ac:dyDescent="0.2">
      <c r="C11" s="932" t="s">
        <v>444</v>
      </c>
    </row>
    <row r="12" spans="1:5" x14ac:dyDescent="0.2">
      <c r="C12" s="932" t="s">
        <v>618</v>
      </c>
    </row>
    <row r="13" spans="1:5" x14ac:dyDescent="0.2">
      <c r="C13" s="932" t="s">
        <v>619</v>
      </c>
    </row>
    <row r="14" spans="1:5" x14ac:dyDescent="0.2">
      <c r="C14" s="932" t="s">
        <v>576</v>
      </c>
    </row>
    <row r="15" spans="1:5" x14ac:dyDescent="0.2">
      <c r="C15" s="932" t="s">
        <v>577</v>
      </c>
    </row>
    <row r="16" spans="1:5" x14ac:dyDescent="0.2">
      <c r="C16" s="932" t="s">
        <v>6</v>
      </c>
    </row>
    <row r="17" spans="3:3" x14ac:dyDescent="0.2">
      <c r="C17" s="932" t="s">
        <v>45</v>
      </c>
    </row>
    <row r="18" spans="3:3" x14ac:dyDescent="0.2">
      <c r="C18" s="932" t="s">
        <v>33</v>
      </c>
    </row>
    <row r="19" spans="3:3" x14ac:dyDescent="0.2">
      <c r="C19" s="932" t="s">
        <v>830</v>
      </c>
    </row>
    <row r="20" spans="3:3" x14ac:dyDescent="0.2">
      <c r="C20" s="932" t="s">
        <v>831</v>
      </c>
    </row>
    <row r="21" spans="3:3" x14ac:dyDescent="0.2">
      <c r="C21" s="932" t="s">
        <v>458</v>
      </c>
    </row>
    <row r="22" spans="3:3" x14ac:dyDescent="0.2">
      <c r="C22" s="932" t="s">
        <v>548</v>
      </c>
    </row>
    <row r="23" spans="3:3" x14ac:dyDescent="0.2">
      <c r="C23" s="932" t="s">
        <v>283</v>
      </c>
    </row>
    <row r="24" spans="3:3" x14ac:dyDescent="0.2">
      <c r="C24" s="932" t="s">
        <v>44</v>
      </c>
    </row>
    <row r="25" spans="3:3" x14ac:dyDescent="0.2">
      <c r="C25" s="932" t="s">
        <v>262</v>
      </c>
    </row>
    <row r="26" spans="3:3" x14ac:dyDescent="0.2">
      <c r="C26" s="932" t="s">
        <v>705</v>
      </c>
    </row>
    <row r="27" spans="3:3" x14ac:dyDescent="0.2">
      <c r="C27" s="932" t="s">
        <v>517</v>
      </c>
    </row>
    <row r="28" spans="3:3" x14ac:dyDescent="0.2">
      <c r="C28" s="932" t="s">
        <v>418</v>
      </c>
    </row>
    <row r="29" spans="3:3" x14ac:dyDescent="0.2">
      <c r="C29" s="932" t="s">
        <v>640</v>
      </c>
    </row>
    <row r="30" spans="3:3" x14ac:dyDescent="0.2">
      <c r="C30" s="932" t="s">
        <v>703</v>
      </c>
    </row>
    <row r="31" spans="3:3" x14ac:dyDescent="0.2">
      <c r="C31" s="932" t="s">
        <v>537</v>
      </c>
    </row>
    <row r="32" spans="3:3" x14ac:dyDescent="0.2">
      <c r="C32" s="932" t="s">
        <v>400</v>
      </c>
    </row>
    <row r="33" spans="2:3" x14ac:dyDescent="0.2">
      <c r="C33" s="932" t="s">
        <v>439</v>
      </c>
    </row>
    <row r="34" spans="2:3" x14ac:dyDescent="0.2">
      <c r="C34" s="932" t="s">
        <v>440</v>
      </c>
    </row>
    <row r="35" spans="2:3" x14ac:dyDescent="0.2">
      <c r="C35" s="932" t="s">
        <v>29</v>
      </c>
    </row>
    <row r="36" spans="2:3" x14ac:dyDescent="0.2">
      <c r="C36" s="932" t="s">
        <v>302</v>
      </c>
    </row>
    <row r="37" spans="2:3" x14ac:dyDescent="0.2">
      <c r="C37" s="932" t="s">
        <v>99</v>
      </c>
    </row>
    <row r="38" spans="2:3" x14ac:dyDescent="0.2">
      <c r="C38" s="932" t="s">
        <v>1354</v>
      </c>
    </row>
    <row r="39" spans="2:3" x14ac:dyDescent="0.2">
      <c r="C39" s="932" t="s">
        <v>1355</v>
      </c>
    </row>
    <row r="40" spans="2:3" x14ac:dyDescent="0.2">
      <c r="C40" s="932" t="s">
        <v>744</v>
      </c>
    </row>
    <row r="41" spans="2:3" x14ac:dyDescent="0.2">
      <c r="C41" s="932" t="s">
        <v>1294</v>
      </c>
    </row>
    <row r="42" spans="2:3" x14ac:dyDescent="0.2">
      <c r="C42" s="932" t="s">
        <v>1293</v>
      </c>
    </row>
    <row r="43" spans="2:3" x14ac:dyDescent="0.2">
      <c r="C43" s="932" t="s">
        <v>817</v>
      </c>
    </row>
    <row r="44" spans="2:3" x14ac:dyDescent="0.2">
      <c r="C44" s="932" t="s">
        <v>818</v>
      </c>
    </row>
    <row r="45" spans="2:3" x14ac:dyDescent="0.2">
      <c r="B45" s="719" t="s">
        <v>538</v>
      </c>
      <c r="C45" s="932" t="s">
        <v>464</v>
      </c>
    </row>
    <row r="46" spans="2:3" x14ac:dyDescent="0.2">
      <c r="C46" s="932" t="s">
        <v>592</v>
      </c>
    </row>
    <row r="47" spans="2:3" x14ac:dyDescent="0.2">
      <c r="C47" s="932" t="s">
        <v>37</v>
      </c>
    </row>
    <row r="48" spans="2:3" x14ac:dyDescent="0.2">
      <c r="C48" s="932" t="s">
        <v>365</v>
      </c>
    </row>
    <row r="49" spans="3:3" x14ac:dyDescent="0.2">
      <c r="C49" s="932" t="s">
        <v>393</v>
      </c>
    </row>
    <row r="50" spans="3:3" x14ac:dyDescent="0.2">
      <c r="C50" s="932" t="s">
        <v>15</v>
      </c>
    </row>
    <row r="51" spans="3:3" x14ac:dyDescent="0.2">
      <c r="C51" s="932" t="s">
        <v>371</v>
      </c>
    </row>
    <row r="52" spans="3:3" x14ac:dyDescent="0.2">
      <c r="C52" s="932" t="s">
        <v>457</v>
      </c>
    </row>
    <row r="53" spans="3:3" x14ac:dyDescent="0.2">
      <c r="C53" s="932" t="s">
        <v>1281</v>
      </c>
    </row>
    <row r="54" spans="3:3" x14ac:dyDescent="0.2">
      <c r="C54" s="932" t="s">
        <v>266</v>
      </c>
    </row>
    <row r="55" spans="3:3" x14ac:dyDescent="0.2">
      <c r="C55" s="932" t="s">
        <v>641</v>
      </c>
    </row>
    <row r="56" spans="3:3" x14ac:dyDescent="0.2">
      <c r="C56" s="932" t="s">
        <v>366</v>
      </c>
    </row>
    <row r="57" spans="3:3" x14ac:dyDescent="0.2">
      <c r="C57" s="932" t="s">
        <v>71</v>
      </c>
    </row>
    <row r="58" spans="3:3" x14ac:dyDescent="0.2">
      <c r="C58" s="932" t="s">
        <v>105</v>
      </c>
    </row>
    <row r="59" spans="3:3" x14ac:dyDescent="0.2">
      <c r="C59" s="932" t="s">
        <v>139</v>
      </c>
    </row>
    <row r="60" spans="3:3" x14ac:dyDescent="0.2">
      <c r="C60" s="933" t="s">
        <v>681</v>
      </c>
    </row>
    <row r="61" spans="3:3" x14ac:dyDescent="0.2">
      <c r="C61" s="932" t="s">
        <v>464</v>
      </c>
    </row>
    <row r="62" spans="3:3" x14ac:dyDescent="0.2">
      <c r="C62" s="932" t="s">
        <v>592</v>
      </c>
    </row>
    <row r="63" spans="3:3" x14ac:dyDescent="0.2">
      <c r="C63" s="932" t="s">
        <v>37</v>
      </c>
    </row>
    <row r="64" spans="3:3" x14ac:dyDescent="0.2">
      <c r="C64" s="932" t="s">
        <v>365</v>
      </c>
    </row>
    <row r="65" spans="3:3" x14ac:dyDescent="0.2">
      <c r="C65" s="932" t="s">
        <v>393</v>
      </c>
    </row>
    <row r="66" spans="3:3" x14ac:dyDescent="0.2">
      <c r="C66" s="932" t="s">
        <v>15</v>
      </c>
    </row>
    <row r="67" spans="3:3" x14ac:dyDescent="0.2">
      <c r="C67" s="932" t="s">
        <v>371</v>
      </c>
    </row>
    <row r="68" spans="3:3" x14ac:dyDescent="0.2">
      <c r="C68" s="932" t="s">
        <v>457</v>
      </c>
    </row>
    <row r="69" spans="3:3" x14ac:dyDescent="0.2">
      <c r="C69" s="932" t="s">
        <v>1281</v>
      </c>
    </row>
    <row r="70" spans="3:3" x14ac:dyDescent="0.2">
      <c r="C70" s="932" t="s">
        <v>266</v>
      </c>
    </row>
    <row r="71" spans="3:3" x14ac:dyDescent="0.2">
      <c r="C71" s="932" t="s">
        <v>641</v>
      </c>
    </row>
    <row r="72" spans="3:3" x14ac:dyDescent="0.2">
      <c r="C72" s="932" t="s">
        <v>366</v>
      </c>
    </row>
    <row r="73" spans="3:3" x14ac:dyDescent="0.2">
      <c r="C73" s="932" t="s">
        <v>71</v>
      </c>
    </row>
    <row r="74" spans="3:3" x14ac:dyDescent="0.2">
      <c r="C74" s="933" t="s">
        <v>250</v>
      </c>
    </row>
    <row r="75" spans="3:3" x14ac:dyDescent="0.2">
      <c r="C75" s="933" t="s">
        <v>251</v>
      </c>
    </row>
    <row r="76" spans="3:3" x14ac:dyDescent="0.2">
      <c r="C76" s="932" t="s">
        <v>682</v>
      </c>
    </row>
    <row r="77" spans="3:3" x14ac:dyDescent="0.2">
      <c r="C77" s="932" t="s">
        <v>464</v>
      </c>
    </row>
    <row r="78" spans="3:3" x14ac:dyDescent="0.2">
      <c r="C78" s="932" t="s">
        <v>592</v>
      </c>
    </row>
    <row r="79" spans="3:3" x14ac:dyDescent="0.2">
      <c r="C79" s="932" t="s">
        <v>37</v>
      </c>
    </row>
    <row r="80" spans="3:3" x14ac:dyDescent="0.2">
      <c r="C80" s="932" t="s">
        <v>365</v>
      </c>
    </row>
    <row r="81" spans="3:3" x14ac:dyDescent="0.2">
      <c r="C81" s="932" t="s">
        <v>393</v>
      </c>
    </row>
    <row r="82" spans="3:3" x14ac:dyDescent="0.2">
      <c r="C82" s="932" t="s">
        <v>15</v>
      </c>
    </row>
    <row r="83" spans="3:3" x14ac:dyDescent="0.2">
      <c r="C83" s="932" t="s">
        <v>371</v>
      </c>
    </row>
    <row r="84" spans="3:3" x14ac:dyDescent="0.2">
      <c r="C84" s="932" t="s">
        <v>457</v>
      </c>
    </row>
    <row r="85" spans="3:3" x14ac:dyDescent="0.2">
      <c r="C85" s="932" t="s">
        <v>1281</v>
      </c>
    </row>
    <row r="86" spans="3:3" x14ac:dyDescent="0.2">
      <c r="C86" s="932" t="s">
        <v>266</v>
      </c>
    </row>
    <row r="87" spans="3:3" x14ac:dyDescent="0.2">
      <c r="C87" s="932" t="s">
        <v>641</v>
      </c>
    </row>
    <row r="88" spans="3:3" x14ac:dyDescent="0.2">
      <c r="C88" s="932" t="s">
        <v>366</v>
      </c>
    </row>
    <row r="89" spans="3:3" x14ac:dyDescent="0.2">
      <c r="C89" s="932" t="s">
        <v>71</v>
      </c>
    </row>
    <row r="90" spans="3:3" x14ac:dyDescent="0.2">
      <c r="C90" s="932" t="s">
        <v>108</v>
      </c>
    </row>
    <row r="91" spans="3:3" x14ac:dyDescent="0.2">
      <c r="C91" s="932" t="s">
        <v>140</v>
      </c>
    </row>
    <row r="92" spans="3:3" x14ac:dyDescent="0.2">
      <c r="C92" s="932" t="s">
        <v>683</v>
      </c>
    </row>
    <row r="93" spans="3:3" x14ac:dyDescent="0.2">
      <c r="C93" s="932" t="s">
        <v>464</v>
      </c>
    </row>
    <row r="94" spans="3:3" x14ac:dyDescent="0.2">
      <c r="C94" s="932" t="s">
        <v>592</v>
      </c>
    </row>
    <row r="95" spans="3:3" x14ac:dyDescent="0.2">
      <c r="C95" s="932" t="s">
        <v>37</v>
      </c>
    </row>
    <row r="96" spans="3:3" x14ac:dyDescent="0.2">
      <c r="C96" s="932" t="s">
        <v>365</v>
      </c>
    </row>
    <row r="97" spans="2:3" x14ac:dyDescent="0.2">
      <c r="C97" s="932" t="s">
        <v>393</v>
      </c>
    </row>
    <row r="98" spans="2:3" x14ac:dyDescent="0.2">
      <c r="C98" s="932" t="s">
        <v>15</v>
      </c>
    </row>
    <row r="99" spans="2:3" x14ac:dyDescent="0.2">
      <c r="C99" s="932" t="s">
        <v>371</v>
      </c>
    </row>
    <row r="100" spans="2:3" x14ac:dyDescent="0.2">
      <c r="C100" s="932" t="s">
        <v>457</v>
      </c>
    </row>
    <row r="101" spans="2:3" x14ac:dyDescent="0.2">
      <c r="C101" s="932" t="s">
        <v>1281</v>
      </c>
    </row>
    <row r="102" spans="2:3" x14ac:dyDescent="0.2">
      <c r="C102" s="932" t="s">
        <v>266</v>
      </c>
    </row>
    <row r="103" spans="2:3" x14ac:dyDescent="0.2">
      <c r="C103" s="932" t="s">
        <v>641</v>
      </c>
    </row>
    <row r="104" spans="2:3" x14ac:dyDescent="0.2">
      <c r="C104" s="932" t="s">
        <v>366</v>
      </c>
    </row>
    <row r="105" spans="2:3" x14ac:dyDescent="0.2">
      <c r="C105" s="932" t="s">
        <v>71</v>
      </c>
    </row>
    <row r="106" spans="2:3" x14ac:dyDescent="0.2">
      <c r="C106" s="933" t="s">
        <v>1356</v>
      </c>
    </row>
    <row r="107" spans="2:3" x14ac:dyDescent="0.2">
      <c r="C107" s="933" t="s">
        <v>1357</v>
      </c>
    </row>
    <row r="108" spans="2:3" x14ac:dyDescent="0.2">
      <c r="B108" s="719" t="s">
        <v>521</v>
      </c>
      <c r="C108" s="932" t="s">
        <v>24</v>
      </c>
    </row>
    <row r="109" spans="2:3" x14ac:dyDescent="0.2">
      <c r="C109" s="932" t="s">
        <v>487</v>
      </c>
    </row>
    <row r="110" spans="2:3" x14ac:dyDescent="0.2">
      <c r="C110" s="932" t="s">
        <v>309</v>
      </c>
    </row>
    <row r="111" spans="2:3" x14ac:dyDescent="0.2">
      <c r="C111" s="932" t="s">
        <v>209</v>
      </c>
    </row>
    <row r="112" spans="2:3" x14ac:dyDescent="0.2">
      <c r="B112" s="719" t="s">
        <v>527</v>
      </c>
      <c r="C112" s="932" t="s">
        <v>1325</v>
      </c>
    </row>
    <row r="113" spans="2:3" x14ac:dyDescent="0.2">
      <c r="C113" s="932" t="s">
        <v>1324</v>
      </c>
    </row>
    <row r="114" spans="2:3" x14ac:dyDescent="0.2">
      <c r="C114" s="932" t="s">
        <v>1350</v>
      </c>
    </row>
    <row r="115" spans="2:3" x14ac:dyDescent="0.2">
      <c r="C115" s="932" t="s">
        <v>1334</v>
      </c>
    </row>
    <row r="116" spans="2:3" x14ac:dyDescent="0.2">
      <c r="C116" s="932" t="s">
        <v>205</v>
      </c>
    </row>
    <row r="117" spans="2:3" x14ac:dyDescent="0.2">
      <c r="C117" s="932" t="s">
        <v>204</v>
      </c>
    </row>
    <row r="118" spans="2:3" x14ac:dyDescent="0.2">
      <c r="C118" s="932" t="s">
        <v>829</v>
      </c>
    </row>
    <row r="119" spans="2:3" x14ac:dyDescent="0.2">
      <c r="C119" s="932" t="s">
        <v>205</v>
      </c>
    </row>
    <row r="120" spans="2:3" x14ac:dyDescent="0.2">
      <c r="C120" s="932" t="s">
        <v>204</v>
      </c>
    </row>
    <row r="121" spans="2:3" x14ac:dyDescent="0.2">
      <c r="C121" s="932" t="s">
        <v>829</v>
      </c>
    </row>
    <row r="122" spans="2:3" x14ac:dyDescent="0.2">
      <c r="B122" s="719" t="s">
        <v>569</v>
      </c>
      <c r="C122" s="932" t="s">
        <v>1358</v>
      </c>
    </row>
    <row r="123" spans="2:3" x14ac:dyDescent="0.2">
      <c r="C123" s="932" t="s">
        <v>498</v>
      </c>
    </row>
    <row r="124" spans="2:3" x14ac:dyDescent="0.2">
      <c r="C124" s="932" t="s">
        <v>766</v>
      </c>
    </row>
    <row r="125" spans="2:3" x14ac:dyDescent="0.2">
      <c r="B125" s="719" t="s">
        <v>522</v>
      </c>
      <c r="C125" s="932">
        <v>1</v>
      </c>
    </row>
    <row r="126" spans="2:3" x14ac:dyDescent="0.2">
      <c r="C126" s="932">
        <v>2</v>
      </c>
    </row>
    <row r="127" spans="2:3" x14ac:dyDescent="0.2">
      <c r="C127" s="932">
        <v>3</v>
      </c>
    </row>
    <row r="128" spans="2:3" x14ac:dyDescent="0.2">
      <c r="C128" s="932">
        <v>4</v>
      </c>
    </row>
    <row r="129" spans="3:3" x14ac:dyDescent="0.2">
      <c r="C129" s="932">
        <v>5</v>
      </c>
    </row>
    <row r="130" spans="3:3" x14ac:dyDescent="0.2">
      <c r="C130" s="932">
        <v>6</v>
      </c>
    </row>
    <row r="131" spans="3:3" x14ac:dyDescent="0.2">
      <c r="C131" s="932">
        <v>7</v>
      </c>
    </row>
    <row r="132" spans="3:3" x14ac:dyDescent="0.2">
      <c r="C132" s="932">
        <v>8</v>
      </c>
    </row>
    <row r="133" spans="3:3" x14ac:dyDescent="0.2">
      <c r="C133" s="932">
        <v>9</v>
      </c>
    </row>
    <row r="134" spans="3:3" x14ac:dyDescent="0.2">
      <c r="C134" s="932">
        <v>10</v>
      </c>
    </row>
    <row r="135" spans="3:3" x14ac:dyDescent="0.2">
      <c r="C135" s="932">
        <v>11</v>
      </c>
    </row>
    <row r="136" spans="3:3" x14ac:dyDescent="0.2">
      <c r="C136" s="932">
        <v>12</v>
      </c>
    </row>
    <row r="137" spans="3:3" x14ac:dyDescent="0.2">
      <c r="C137" s="932">
        <v>13</v>
      </c>
    </row>
    <row r="138" spans="3:3" x14ac:dyDescent="0.2">
      <c r="C138" s="932">
        <v>14</v>
      </c>
    </row>
    <row r="139" spans="3:3" x14ac:dyDescent="0.2">
      <c r="C139" s="932">
        <v>15</v>
      </c>
    </row>
    <row r="140" spans="3:3" x14ac:dyDescent="0.2">
      <c r="C140" s="932">
        <v>16</v>
      </c>
    </row>
    <row r="141" spans="3:3" x14ac:dyDescent="0.2">
      <c r="C141" s="932">
        <v>17</v>
      </c>
    </row>
    <row r="142" spans="3:3" x14ac:dyDescent="0.2">
      <c r="C142" s="932">
        <v>18</v>
      </c>
    </row>
    <row r="143" spans="3:3" x14ac:dyDescent="0.2">
      <c r="C143" s="932">
        <v>19</v>
      </c>
    </row>
    <row r="144" spans="3:3" x14ac:dyDescent="0.2">
      <c r="C144" s="932">
        <v>20</v>
      </c>
    </row>
    <row r="145" spans="2:3" x14ac:dyDescent="0.2">
      <c r="C145" s="932">
        <v>21</v>
      </c>
    </row>
    <row r="146" spans="2:3" x14ac:dyDescent="0.2">
      <c r="C146" s="932">
        <v>22</v>
      </c>
    </row>
    <row r="147" spans="2:3" x14ac:dyDescent="0.2">
      <c r="C147" s="932">
        <v>23</v>
      </c>
    </row>
    <row r="148" spans="2:3" x14ac:dyDescent="0.2">
      <c r="C148" s="932">
        <v>24</v>
      </c>
    </row>
    <row r="149" spans="2:3" x14ac:dyDescent="0.2">
      <c r="C149" s="932" t="s">
        <v>159</v>
      </c>
    </row>
    <row r="150" spans="2:3" x14ac:dyDescent="0.2">
      <c r="C150" s="932" t="s">
        <v>160</v>
      </c>
    </row>
    <row r="151" spans="2:3" x14ac:dyDescent="0.2">
      <c r="B151" s="719" t="s">
        <v>799</v>
      </c>
      <c r="C151" s="932" t="s">
        <v>1359</v>
      </c>
    </row>
    <row r="152" spans="2:3" x14ac:dyDescent="0.2">
      <c r="C152" s="932" t="s">
        <v>1360</v>
      </c>
    </row>
    <row r="153" spans="2:3" x14ac:dyDescent="0.2">
      <c r="C153" s="932" t="s">
        <v>1361</v>
      </c>
    </row>
    <row r="154" spans="2:3" x14ac:dyDescent="0.2">
      <c r="C154" s="932" t="s">
        <v>1362</v>
      </c>
    </row>
    <row r="155" spans="2:3" x14ac:dyDescent="0.2">
      <c r="C155" s="932" t="s">
        <v>1363</v>
      </c>
    </row>
    <row r="156" spans="2:3" x14ac:dyDescent="0.2">
      <c r="C156" s="932" t="s">
        <v>1364</v>
      </c>
    </row>
    <row r="157" spans="2:3" x14ac:dyDescent="0.2">
      <c r="C157" s="932" t="s">
        <v>1365</v>
      </c>
    </row>
    <row r="158" spans="2:3" x14ac:dyDescent="0.2">
      <c r="C158" s="932" t="s">
        <v>1366</v>
      </c>
    </row>
    <row r="159" spans="2:3" x14ac:dyDescent="0.2">
      <c r="C159" s="932" t="s">
        <v>1367</v>
      </c>
    </row>
    <row r="160" spans="2:3" x14ac:dyDescent="0.2">
      <c r="C160" s="932" t="s">
        <v>1368</v>
      </c>
    </row>
    <row r="161" spans="3:3" x14ac:dyDescent="0.2">
      <c r="C161" s="932" t="s">
        <v>1369</v>
      </c>
    </row>
    <row r="162" spans="3:3" x14ac:dyDescent="0.2">
      <c r="C162" s="932" t="s">
        <v>1370</v>
      </c>
    </row>
    <row r="163" spans="3:3" x14ac:dyDescent="0.2">
      <c r="C163" s="932" t="s">
        <v>1371</v>
      </c>
    </row>
    <row r="164" spans="3:3" x14ac:dyDescent="0.2">
      <c r="C164" s="932" t="s">
        <v>1372</v>
      </c>
    </row>
    <row r="165" spans="3:3" x14ac:dyDescent="0.2">
      <c r="C165" s="932" t="s">
        <v>1373</v>
      </c>
    </row>
    <row r="166" spans="3:3" x14ac:dyDescent="0.2">
      <c r="C166" s="932" t="s">
        <v>1374</v>
      </c>
    </row>
    <row r="167" spans="3:3" x14ac:dyDescent="0.2">
      <c r="C167" s="932" t="s">
        <v>809</v>
      </c>
    </row>
    <row r="168" spans="3:3" x14ac:dyDescent="0.2">
      <c r="C168" s="932" t="s">
        <v>810</v>
      </c>
    </row>
    <row r="169" spans="3:3" x14ac:dyDescent="0.2">
      <c r="C169" s="932" t="s">
        <v>811</v>
      </c>
    </row>
    <row r="170" spans="3:3" x14ac:dyDescent="0.2">
      <c r="C170" s="932" t="s">
        <v>812</v>
      </c>
    </row>
    <row r="171" spans="3:3" x14ac:dyDescent="0.2">
      <c r="C171" s="932" t="s">
        <v>813</v>
      </c>
    </row>
    <row r="172" spans="3:3" x14ac:dyDescent="0.2">
      <c r="C172" s="932" t="s">
        <v>814</v>
      </c>
    </row>
    <row r="173" spans="3:3" x14ac:dyDescent="0.2">
      <c r="C173" s="932" t="s">
        <v>815</v>
      </c>
    </row>
    <row r="174" spans="3:3" x14ac:dyDescent="0.2">
      <c r="C174" s="932" t="s">
        <v>816</v>
      </c>
    </row>
    <row r="175" spans="3:3" x14ac:dyDescent="0.2">
      <c r="C175" s="932" t="s">
        <v>809</v>
      </c>
    </row>
    <row r="176" spans="3:3" x14ac:dyDescent="0.2">
      <c r="C176" s="932" t="s">
        <v>810</v>
      </c>
    </row>
    <row r="177" spans="1:3" x14ac:dyDescent="0.2">
      <c r="C177" s="932" t="s">
        <v>811</v>
      </c>
    </row>
    <row r="178" spans="1:3" x14ac:dyDescent="0.2">
      <c r="C178" s="932" t="s">
        <v>812</v>
      </c>
    </row>
    <row r="179" spans="1:3" x14ac:dyDescent="0.2">
      <c r="C179" s="932" t="s">
        <v>813</v>
      </c>
    </row>
    <row r="180" spans="1:3" x14ac:dyDescent="0.2">
      <c r="C180" s="932" t="s">
        <v>814</v>
      </c>
    </row>
    <row r="181" spans="1:3" x14ac:dyDescent="0.2">
      <c r="C181" s="932" t="s">
        <v>815</v>
      </c>
    </row>
    <row r="182" spans="1:3" x14ac:dyDescent="0.2">
      <c r="C182" s="932" t="s">
        <v>816</v>
      </c>
    </row>
    <row r="183" spans="1:3" x14ac:dyDescent="0.2">
      <c r="C183" s="932" t="s">
        <v>807</v>
      </c>
    </row>
    <row r="184" spans="1:3" x14ac:dyDescent="0.2">
      <c r="C184" s="932" t="s">
        <v>808</v>
      </c>
    </row>
    <row r="185" spans="1:3" x14ac:dyDescent="0.2">
      <c r="A185" s="719" t="s">
        <v>1383</v>
      </c>
      <c r="B185" s="719" t="s">
        <v>120</v>
      </c>
      <c r="C185" s="932" t="s">
        <v>58</v>
      </c>
    </row>
    <row r="186" spans="1:3" x14ac:dyDescent="0.2">
      <c r="C186" s="932" t="s">
        <v>54</v>
      </c>
    </row>
    <row r="187" spans="1:3" x14ac:dyDescent="0.2">
      <c r="C187" s="932" t="s">
        <v>55</v>
      </c>
    </row>
    <row r="188" spans="1:3" x14ac:dyDescent="0.2">
      <c r="C188" s="932" t="s">
        <v>51</v>
      </c>
    </row>
    <row r="189" spans="1:3" x14ac:dyDescent="0.2">
      <c r="C189" s="932" t="s">
        <v>52</v>
      </c>
    </row>
    <row r="190" spans="1:3" x14ac:dyDescent="0.2">
      <c r="C190" s="932" t="s">
        <v>53</v>
      </c>
    </row>
    <row r="191" spans="1:3" x14ac:dyDescent="0.2">
      <c r="C191" s="932" t="s">
        <v>218</v>
      </c>
    </row>
    <row r="192" spans="1:3" x14ac:dyDescent="0.2">
      <c r="C192" s="932" t="s">
        <v>219</v>
      </c>
    </row>
    <row r="193" spans="3:3" x14ac:dyDescent="0.2">
      <c r="C193" s="932" t="s">
        <v>58</v>
      </c>
    </row>
    <row r="194" spans="3:3" x14ac:dyDescent="0.2">
      <c r="C194" s="932" t="s">
        <v>54</v>
      </c>
    </row>
    <row r="195" spans="3:3" x14ac:dyDescent="0.2">
      <c r="C195" s="932" t="s">
        <v>55</v>
      </c>
    </row>
    <row r="196" spans="3:3" x14ac:dyDescent="0.2">
      <c r="C196" s="932" t="s">
        <v>853</v>
      </c>
    </row>
  </sheetData>
  <mergeCells count="1">
    <mergeCell ref="D1:E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55"/>
  <sheetViews>
    <sheetView topLeftCell="G1" zoomScale="85" workbookViewId="0">
      <selection activeCell="R23" sqref="R23"/>
    </sheetView>
  </sheetViews>
  <sheetFormatPr defaultColWidth="9.140625" defaultRowHeight="15" x14ac:dyDescent="0.25"/>
  <cols>
    <col min="1" max="1" width="22.42578125" style="66" bestFit="1" customWidth="1"/>
    <col min="2" max="2" width="15.42578125" style="66" bestFit="1" customWidth="1"/>
    <col min="3" max="3" width="15.42578125" style="66" customWidth="1"/>
    <col min="4" max="4" width="22.42578125" style="66" bestFit="1" customWidth="1"/>
    <col min="5" max="5" width="31.85546875" style="66" customWidth="1"/>
    <col min="6" max="6" width="19.140625" style="66" bestFit="1" customWidth="1"/>
    <col min="7" max="7" width="9.140625" style="66"/>
    <col min="8" max="8" width="15.7109375" style="66" bestFit="1" customWidth="1"/>
    <col min="9" max="9" width="22.140625" style="66" bestFit="1" customWidth="1"/>
    <col min="10" max="10" width="36.28515625" style="66" bestFit="1" customWidth="1"/>
    <col min="11" max="11" width="23.7109375" style="66" customWidth="1"/>
    <col min="12" max="12" width="28.28515625" style="66" bestFit="1" customWidth="1"/>
    <col min="13" max="13" width="28.28515625" style="66" customWidth="1"/>
    <col min="14" max="14" width="35.5703125" style="66" bestFit="1" customWidth="1"/>
    <col min="15" max="15" width="13.42578125" style="66" bestFit="1" customWidth="1"/>
    <col min="16" max="16" width="14.42578125" style="66" bestFit="1" customWidth="1"/>
    <col min="17" max="17" width="15.42578125" style="66" bestFit="1" customWidth="1"/>
    <col min="18" max="16384" width="9.140625" style="66"/>
  </cols>
  <sheetData>
    <row r="1" spans="1:19" x14ac:dyDescent="0.25">
      <c r="A1" s="1352" t="s">
        <v>272</v>
      </c>
      <c r="B1" s="1352"/>
      <c r="C1" s="1352"/>
      <c r="D1" s="1352"/>
      <c r="E1" s="1352"/>
      <c r="F1" s="1352"/>
      <c r="G1" s="61"/>
      <c r="H1" s="61"/>
      <c r="I1" s="81"/>
      <c r="J1" s="81"/>
      <c r="K1" s="81"/>
      <c r="L1" s="81"/>
      <c r="M1" s="81"/>
      <c r="N1" s="81"/>
      <c r="O1" s="107"/>
      <c r="P1" s="129"/>
    </row>
    <row r="2" spans="1:19" ht="15.75" thickBot="1" x14ac:dyDescent="0.3">
      <c r="A2" s="111"/>
      <c r="B2" s="111"/>
      <c r="C2" s="111"/>
      <c r="D2" s="111"/>
      <c r="E2" s="88"/>
      <c r="F2" s="414"/>
      <c r="G2" s="88"/>
      <c r="H2" s="88"/>
      <c r="I2" s="89"/>
      <c r="J2" s="89"/>
      <c r="K2" s="89"/>
      <c r="L2" s="89"/>
      <c r="M2" s="89"/>
      <c r="N2" s="89"/>
      <c r="O2" s="110"/>
      <c r="P2" s="107"/>
    </row>
    <row r="3" spans="1:19" ht="15.75" thickBot="1" x14ac:dyDescent="0.3">
      <c r="A3" s="416"/>
      <c r="B3" s="417"/>
      <c r="C3" s="417"/>
      <c r="D3" s="418"/>
      <c r="E3" s="88"/>
      <c r="F3" s="61"/>
      <c r="G3" s="61"/>
      <c r="H3" s="88"/>
      <c r="I3" s="420"/>
      <c r="J3" s="89"/>
      <c r="K3" s="89"/>
      <c r="L3" s="88">
        <f>IF(ISODD(NumDBCopies),ROUNDUP(NumDBCopies/2,0)-1,NumDBCopies/2)</f>
        <v>1</v>
      </c>
      <c r="M3" s="509">
        <f>numLagDBCopies</f>
        <v>1</v>
      </c>
      <c r="N3" s="508"/>
      <c r="O3" s="129"/>
      <c r="P3" s="353"/>
    </row>
    <row r="4" spans="1:19" s="113" customFormat="1" ht="15.75" thickBot="1" x14ac:dyDescent="0.3">
      <c r="A4" s="415" t="s">
        <v>144</v>
      </c>
      <c r="B4" s="415" t="s">
        <v>7</v>
      </c>
      <c r="C4" s="415" t="s">
        <v>31</v>
      </c>
      <c r="D4" s="415" t="s">
        <v>299</v>
      </c>
      <c r="E4" s="112" t="s">
        <v>20</v>
      </c>
      <c r="F4" s="112" t="s">
        <v>65</v>
      </c>
      <c r="G4" s="419" t="s">
        <v>93</v>
      </c>
      <c r="H4" s="112" t="s">
        <v>282</v>
      </c>
      <c r="I4" s="419" t="s">
        <v>213</v>
      </c>
      <c r="J4" s="112" t="s">
        <v>284</v>
      </c>
      <c r="K4" s="112" t="s">
        <v>334</v>
      </c>
      <c r="L4" s="112" t="s">
        <v>438</v>
      </c>
      <c r="M4" s="394" t="s">
        <v>441</v>
      </c>
      <c r="N4" s="112" t="s">
        <v>402</v>
      </c>
      <c r="O4" s="430" t="s">
        <v>526</v>
      </c>
      <c r="P4" s="112" t="s">
        <v>1317</v>
      </c>
      <c r="Q4" s="112" t="s">
        <v>1318</v>
      </c>
      <c r="R4" s="112" t="s">
        <v>529</v>
      </c>
    </row>
    <row r="5" spans="1:19" x14ac:dyDescent="0.25">
      <c r="A5" s="105" t="s">
        <v>145</v>
      </c>
      <c r="B5" s="105" t="s">
        <v>8</v>
      </c>
      <c r="C5" s="105" t="s">
        <v>31</v>
      </c>
      <c r="D5" s="105" t="s">
        <v>295</v>
      </c>
      <c r="E5" s="105" t="s">
        <v>356</v>
      </c>
      <c r="F5" s="106" t="s">
        <v>66</v>
      </c>
      <c r="G5" s="97">
        <v>0</v>
      </c>
      <c r="H5" s="107">
        <v>0</v>
      </c>
      <c r="I5" s="66" t="s">
        <v>214</v>
      </c>
      <c r="J5" s="105" t="s">
        <v>32</v>
      </c>
      <c r="K5" s="127" t="s">
        <v>303</v>
      </c>
      <c r="L5" s="107">
        <v>0</v>
      </c>
      <c r="M5" s="107">
        <f>IF(M3&gt;=0,0,"")</f>
        <v>0</v>
      </c>
      <c r="N5" s="105" t="s">
        <v>403</v>
      </c>
      <c r="O5" s="129" t="s">
        <v>523</v>
      </c>
      <c r="P5" s="107">
        <f>IF(GetDBperVolIndex(ROW()-ROW(P$5),1)=0,"",GetDBperVolIndex(ROW()-ROW(P$5),1))</f>
        <v>1</v>
      </c>
      <c r="Q5" s="107">
        <f>IF(GetDBperVolIndex(ROW()-ROW(Q$5),2)=0,"",GetDBperVolIndex(ROW()-ROW(Q$5),2))</f>
        <v>1</v>
      </c>
      <c r="R5" s="129">
        <v>1</v>
      </c>
    </row>
    <row r="6" spans="1:19" x14ac:dyDescent="0.25">
      <c r="A6" s="105" t="s">
        <v>146</v>
      </c>
      <c r="B6" s="105" t="s">
        <v>9</v>
      </c>
      <c r="C6" s="105" t="s">
        <v>32</v>
      </c>
      <c r="D6" s="105" t="s">
        <v>296</v>
      </c>
      <c r="E6" s="105" t="s">
        <v>69</v>
      </c>
      <c r="F6" s="106" t="s">
        <v>67</v>
      </c>
      <c r="G6" s="43">
        <v>1</v>
      </c>
      <c r="H6" s="43">
        <v>2</v>
      </c>
      <c r="I6" s="66" t="s">
        <v>18</v>
      </c>
      <c r="J6" s="105" t="s">
        <v>31</v>
      </c>
      <c r="K6" s="105" t="s">
        <v>304</v>
      </c>
      <c r="L6" s="107">
        <f>IF(L3&gt;=1,1,)</f>
        <v>1</v>
      </c>
      <c r="M6" s="67">
        <f>IF(M3&gt;=1,1,"")</f>
        <v>1</v>
      </c>
      <c r="N6" s="122" t="s">
        <v>643</v>
      </c>
      <c r="O6" s="107" t="s">
        <v>524</v>
      </c>
      <c r="P6" s="107">
        <f>IF(GetDBperVolIndex(ROW()-ROW(P$5),1)=0,"",GetDBperVolIndex(ROW()-ROW(P$5),1))</f>
        <v>2</v>
      </c>
      <c r="Q6" s="107">
        <f>IF(GetDBperVolIndex(ROW()-ROW(Q$5),2)=0,"",GetDBperVolIndex(ROW()-ROW(Q$5),2))</f>
        <v>2</v>
      </c>
      <c r="R6" s="107">
        <v>2</v>
      </c>
    </row>
    <row r="7" spans="1:19" x14ac:dyDescent="0.25">
      <c r="A7" s="107"/>
      <c r="B7" s="107"/>
      <c r="C7" s="107"/>
      <c r="D7" s="105"/>
      <c r="E7" s="108" t="s">
        <v>70</v>
      </c>
      <c r="F7" s="107"/>
      <c r="G7" s="43">
        <v>2</v>
      </c>
      <c r="H7" s="43">
        <v>3</v>
      </c>
      <c r="I7" s="66" t="s">
        <v>215</v>
      </c>
      <c r="J7" s="105" t="s">
        <v>285</v>
      </c>
      <c r="K7" s="107"/>
      <c r="L7" s="107" t="str">
        <f>IF(L3&gt;=2,2,"")</f>
        <v/>
      </c>
      <c r="M7" s="107" t="str">
        <f>IF(M3&gt;=2,2,"")</f>
        <v/>
      </c>
      <c r="N7" s="105" t="s">
        <v>662</v>
      </c>
      <c r="O7" s="107"/>
      <c r="P7" s="107">
        <f>IF(GetDBperVolIndex(ROW()-ROW(P$5),1)=0,"",GetDBperVolIndex(ROW()-ROW(P$5),1))</f>
        <v>4</v>
      </c>
      <c r="Q7" s="107">
        <f>IF(GetDBperVolIndex(ROW()-ROW(Q$5),2)=0,"",GetDBperVolIndex(ROW()-ROW(Q$5),2))</f>
        <v>4</v>
      </c>
      <c r="R7" s="107">
        <v>4</v>
      </c>
    </row>
    <row r="8" spans="1:19" x14ac:dyDescent="0.25">
      <c r="A8" s="67"/>
      <c r="B8" s="107"/>
      <c r="C8" s="107"/>
      <c r="D8" s="105"/>
      <c r="E8" s="105"/>
      <c r="F8" s="107"/>
      <c r="G8" s="43">
        <v>3</v>
      </c>
      <c r="H8" s="43">
        <v>4</v>
      </c>
      <c r="I8" s="107" t="s">
        <v>216</v>
      </c>
      <c r="J8" s="105" t="s">
        <v>286</v>
      </c>
      <c r="K8" s="107"/>
      <c r="L8" s="43" t="str">
        <f>IF(L3&gt;=3,3,"")</f>
        <v/>
      </c>
      <c r="M8" s="43"/>
      <c r="N8" s="107"/>
      <c r="O8" s="107"/>
      <c r="P8" s="107" t="str">
        <f>IF(GetDBperVolIndex(ROW()-ROW(P$5),1)=0,"",GetDBperVolIndex(ROW()-ROW(P$5),1))</f>
        <v/>
      </c>
      <c r="Q8" s="107" t="str">
        <f>IF(GetDBperVolIndex(ROW()-ROW(Q$5),2)=0,"",GetDBperVolIndex(ROW()-ROW(Q$5),2))</f>
        <v/>
      </c>
      <c r="R8" s="107">
        <v>6</v>
      </c>
    </row>
    <row r="9" spans="1:19" x14ac:dyDescent="0.25">
      <c r="A9" s="67"/>
      <c r="B9" s="107"/>
      <c r="C9" s="107"/>
      <c r="D9" s="105"/>
      <c r="E9" s="107"/>
      <c r="F9" s="107"/>
      <c r="G9" s="43">
        <v>4</v>
      </c>
      <c r="H9" s="43">
        <v>5</v>
      </c>
      <c r="J9" s="107"/>
      <c r="K9" s="107"/>
      <c r="L9" s="107" t="str">
        <f>IF(L3&gt;=4,4,"")</f>
        <v/>
      </c>
      <c r="N9" s="107"/>
      <c r="O9" s="107"/>
      <c r="P9" s="107" t="str">
        <f>IF(GetDBperVolIndex(ROW()-ROW(P$5),1)=0,"",GetDBperVolIndex(ROW()-ROW(P$5),1))</f>
        <v/>
      </c>
      <c r="Q9" s="107" t="str">
        <f>IF(GetDBperVolIndex(ROW()-ROW(Q$5),2)=0,"",GetDBperVolIndex(ROW()-ROW(Q$5),2))</f>
        <v/>
      </c>
      <c r="R9" s="107">
        <v>8</v>
      </c>
    </row>
    <row r="10" spans="1:19" x14ac:dyDescent="0.25">
      <c r="A10" s="67"/>
      <c r="B10" s="107"/>
      <c r="C10" s="107"/>
      <c r="D10" s="105"/>
      <c r="E10" s="105"/>
      <c r="F10" s="107"/>
      <c r="G10" s="43">
        <v>5</v>
      </c>
      <c r="H10" s="43">
        <v>6</v>
      </c>
      <c r="I10" s="107"/>
      <c r="J10" s="107"/>
      <c r="K10" s="107"/>
      <c r="L10" s="107" t="str">
        <f>IF(L3&gt;=5,5,"")</f>
        <v/>
      </c>
      <c r="M10" s="107"/>
      <c r="N10" s="107"/>
      <c r="O10" s="107"/>
      <c r="P10" s="107" t="str">
        <f>IF(GetDBperVolIndex(ROW()-ROW(P$5),1)=0,"",GetDBperVolIndex(ROW()-ROW(P$5),1))</f>
        <v/>
      </c>
      <c r="Q10" s="107" t="str">
        <f>IF(GetDBperVolIndex(ROW()-ROW(Q$5),2)=0,"",GetDBperVolIndex(ROW()-ROW(Q$5),2))</f>
        <v/>
      </c>
      <c r="R10" s="66">
        <v>10</v>
      </c>
      <c r="S10" s="87"/>
    </row>
    <row r="11" spans="1:19" x14ac:dyDescent="0.25">
      <c r="A11" s="67"/>
      <c r="B11" s="107"/>
      <c r="C11" s="107"/>
      <c r="D11" s="105"/>
      <c r="E11" s="108"/>
      <c r="F11" s="107"/>
      <c r="G11" s="43">
        <v>6</v>
      </c>
      <c r="H11" s="43">
        <v>7</v>
      </c>
      <c r="I11" s="107"/>
      <c r="J11" s="107"/>
      <c r="K11" s="107"/>
      <c r="L11" s="107" t="str">
        <f>IF(L3&gt;=6,6,"")</f>
        <v/>
      </c>
      <c r="M11" s="107"/>
      <c r="N11" s="107"/>
      <c r="O11" s="107"/>
      <c r="P11" s="107" t="str">
        <f>IF(GetDBperVolIndex(ROW()-ROW(P$5),1)=0,"",GetDBperVolIndex(ROW()-ROW(P$5),1))</f>
        <v/>
      </c>
      <c r="Q11" s="107" t="str">
        <f>IF(GetDBperVolIndex(ROW()-ROW(Q$5),2)=0,"",GetDBperVolIndex(ROW()-ROW(Q$5),2))</f>
        <v/>
      </c>
      <c r="R11" s="107">
        <v>12</v>
      </c>
    </row>
    <row r="12" spans="1:19" x14ac:dyDescent="0.25">
      <c r="A12" s="67"/>
      <c r="B12" s="107"/>
      <c r="C12" s="107"/>
      <c r="D12" s="107"/>
      <c r="E12" s="107"/>
      <c r="F12" s="107"/>
      <c r="G12" s="43">
        <v>7</v>
      </c>
      <c r="H12" s="43">
        <v>8</v>
      </c>
      <c r="I12" s="107"/>
      <c r="J12" s="107"/>
      <c r="K12" s="107"/>
      <c r="L12" s="107" t="str">
        <f>IF(L3&gt;=7,7,"")</f>
        <v/>
      </c>
      <c r="M12" s="107"/>
      <c r="N12" s="107"/>
      <c r="O12" s="107"/>
      <c r="P12" s="107" t="str">
        <f>IF(GetDBperVolIndex(ROW()-ROW(P$5),1)=0,"",GetDBperVolIndex(ROW()-ROW(P$5),1))</f>
        <v/>
      </c>
      <c r="Q12" s="107" t="str">
        <f>IF(GetDBperVolIndex(ROW()-ROW(Q$5),2)=0,"",GetDBperVolIndex(ROW()-ROW(Q$5),2))</f>
        <v/>
      </c>
      <c r="R12" s="66">
        <v>14</v>
      </c>
    </row>
    <row r="13" spans="1:19" x14ac:dyDescent="0.25">
      <c r="A13" s="67"/>
      <c r="B13" s="107"/>
      <c r="C13" s="107"/>
      <c r="D13" s="107"/>
      <c r="E13" s="107"/>
      <c r="F13" s="107"/>
      <c r="G13" s="43">
        <v>8</v>
      </c>
      <c r="H13" s="43">
        <v>9</v>
      </c>
      <c r="I13" s="107"/>
      <c r="J13" s="107"/>
      <c r="K13" s="107"/>
      <c r="L13" s="43" t="str">
        <f>IF(L3&gt;=8,8,"")</f>
        <v/>
      </c>
      <c r="M13" s="43"/>
      <c r="N13" s="107"/>
      <c r="O13" s="107"/>
      <c r="P13" s="107" t="str">
        <f>IF(GetDBperVolIndex(ROW()-ROW(P$5),1)=0,"",GetDBperVolIndex(ROW()-ROW(P$5),1))</f>
        <v/>
      </c>
      <c r="Q13" s="107" t="str">
        <f>IF(GetDBperVolIndex(ROW()-ROW(Q$5),2)=0,"",GetDBperVolIndex(ROW()-ROW(Q$5),2))</f>
        <v/>
      </c>
      <c r="R13" s="107">
        <v>16</v>
      </c>
      <c r="S13" s="87"/>
    </row>
    <row r="14" spans="1:19" x14ac:dyDescent="0.25">
      <c r="A14" s="67"/>
      <c r="B14" s="107"/>
      <c r="C14" s="107"/>
      <c r="D14" s="107"/>
      <c r="E14" s="107"/>
      <c r="F14" s="107"/>
      <c r="G14" s="43">
        <v>9</v>
      </c>
      <c r="H14" s="43">
        <v>10</v>
      </c>
      <c r="I14" s="107"/>
      <c r="J14" s="107"/>
      <c r="K14" s="107"/>
      <c r="L14" s="43" t="str">
        <f>IF(L3&gt;=9,9,"")</f>
        <v/>
      </c>
      <c r="M14" s="43"/>
      <c r="N14" s="107"/>
      <c r="O14" s="107"/>
      <c r="P14" s="107" t="str">
        <f>IF(GetDBperVolIndex(ROW()-ROW(P$5),1)=0,"",GetDBperVolIndex(ROW()-ROW(P$5),1))</f>
        <v/>
      </c>
      <c r="Q14" s="107" t="str">
        <f>IF(GetDBperVolIndex(ROW()-ROW(Q$5),2)=0,"",GetDBperVolIndex(ROW()-ROW(Q$5),2))</f>
        <v/>
      </c>
      <c r="R14" s="66">
        <v>18</v>
      </c>
    </row>
    <row r="15" spans="1:19" x14ac:dyDescent="0.25">
      <c r="A15" s="67"/>
      <c r="B15" s="107"/>
      <c r="C15" s="107"/>
      <c r="D15" s="107"/>
      <c r="E15" s="67"/>
      <c r="F15" s="107"/>
      <c r="G15" s="43">
        <v>10</v>
      </c>
      <c r="H15" s="43">
        <v>11</v>
      </c>
      <c r="I15" s="107"/>
      <c r="J15" s="107"/>
      <c r="K15" s="107"/>
      <c r="L15" s="43" t="str">
        <f>IF(L3&gt;=10,10,"")</f>
        <v/>
      </c>
      <c r="M15" s="43"/>
      <c r="N15" s="107"/>
      <c r="O15" s="107"/>
      <c r="P15" s="107" t="str">
        <f>IF(GetDBperVolIndex(ROW()-ROW(P$5),1)=0,"",GetDBperVolIndex(ROW()-ROW(P$5),1))</f>
        <v/>
      </c>
      <c r="Q15" s="107" t="str">
        <f>IF(GetDBperVolIndex(ROW()-ROW(Q$5),2)=0,"",GetDBperVolIndex(ROW()-ROW(Q$5),2))</f>
        <v/>
      </c>
      <c r="R15" s="66">
        <v>20</v>
      </c>
    </row>
    <row r="16" spans="1:19" ht="15.75" thickBot="1" x14ac:dyDescent="0.3">
      <c r="A16" s="67"/>
      <c r="B16" s="107"/>
      <c r="C16" s="107"/>
      <c r="D16" s="107"/>
      <c r="E16" s="67"/>
      <c r="F16" s="107"/>
      <c r="G16" s="43">
        <v>11</v>
      </c>
      <c r="H16" s="43">
        <v>12</v>
      </c>
      <c r="I16" s="107"/>
      <c r="J16" s="107"/>
      <c r="K16" s="107"/>
      <c r="L16" s="43" t="str">
        <f>IF(L3&gt;=11,11,"")</f>
        <v/>
      </c>
      <c r="M16" s="43"/>
      <c r="N16" s="107"/>
      <c r="O16" s="110"/>
      <c r="P16" s="107" t="str">
        <f>IF(GetDBperVolIndex(ROW()-ROW(P$5),1)=0,"",GetDBperVolIndex(ROW()-ROW(P$5),1))</f>
        <v/>
      </c>
      <c r="Q16" s="107" t="str">
        <f>IF(GetDBperVolIndex(ROW()-ROW(Q$5),2)=0,"",GetDBperVolIndex(ROW()-ROW(Q$5),2))</f>
        <v/>
      </c>
      <c r="R16" s="107">
        <v>24</v>
      </c>
      <c r="S16" s="87"/>
    </row>
    <row r="17" spans="1:18" x14ac:dyDescent="0.25">
      <c r="A17" s="67"/>
      <c r="B17" s="107"/>
      <c r="C17" s="107"/>
      <c r="D17" s="107"/>
      <c r="E17" s="107"/>
      <c r="G17" s="43">
        <v>12</v>
      </c>
      <c r="H17" s="43">
        <v>13</v>
      </c>
      <c r="I17" s="107"/>
      <c r="J17" s="107"/>
      <c r="K17" s="107"/>
      <c r="L17" s="43" t="str">
        <f>IF(L3&gt;=12,12,"")</f>
        <v/>
      </c>
      <c r="M17" s="43"/>
      <c r="N17" s="107"/>
      <c r="P17" s="107" t="str">
        <f>IF(GetDBperVolIndex(ROW()-ROW(P$5),1)=0,"",GetDBperVolIndex(ROW()-ROW(P$5),1))</f>
        <v/>
      </c>
      <c r="Q17" s="107" t="str">
        <f>IF(GetDBperVolIndex(ROW()-ROW(Q$5),2)=0,"",GetDBperVolIndex(ROW()-ROW(Q$5),2))</f>
        <v/>
      </c>
      <c r="R17" s="107">
        <v>32</v>
      </c>
    </row>
    <row r="18" spans="1:18" x14ac:dyDescent="0.25">
      <c r="A18" s="67"/>
      <c r="B18" s="107"/>
      <c r="C18" s="107"/>
      <c r="D18" s="107"/>
      <c r="E18" s="107"/>
      <c r="G18" s="43">
        <v>13</v>
      </c>
      <c r="H18" s="43">
        <v>14</v>
      </c>
      <c r="I18" s="107"/>
      <c r="J18" s="107"/>
      <c r="K18" s="107"/>
      <c r="L18" s="43" t="str">
        <f>IF(L3&gt;=13,13,"")</f>
        <v/>
      </c>
      <c r="M18" s="43"/>
      <c r="N18" s="107"/>
      <c r="P18" s="107" t="str">
        <f>IF(GetDBperVolIndex(ROW()-ROW(P$5),1)=0,"",GetDBperVolIndex(ROW()-ROW(P$5),1))</f>
        <v/>
      </c>
      <c r="Q18" s="107" t="str">
        <f>IF(GetDBperVolIndex(ROW()-ROW(Q$5),2)=0,"",GetDBperVolIndex(ROW()-ROW(Q$5),2))</f>
        <v/>
      </c>
      <c r="R18" s="66">
        <v>40</v>
      </c>
    </row>
    <row r="19" spans="1:18" x14ac:dyDescent="0.25">
      <c r="A19" s="67"/>
      <c r="B19" s="107"/>
      <c r="C19" s="107"/>
      <c r="D19" s="107"/>
      <c r="E19" s="107"/>
      <c r="G19" s="43">
        <v>14</v>
      </c>
      <c r="H19" s="43">
        <v>15</v>
      </c>
      <c r="I19" s="107"/>
      <c r="J19" s="107"/>
      <c r="K19" s="107"/>
      <c r="L19" s="43" t="str">
        <f>IF(L3&gt;=14,14,"")</f>
        <v/>
      </c>
      <c r="M19" s="43"/>
      <c r="N19" s="107"/>
      <c r="P19" s="107" t="str">
        <f>IF(GetDBperVolIndex(ROW()-ROW(P$5),1)=0,"",GetDBperVolIndex(ROW()-ROW(P$5),1))</f>
        <v/>
      </c>
      <c r="Q19" s="107" t="str">
        <f>IF(GetDBperVolIndex(ROW()-ROW(Q$5),2)=0,"",GetDBperVolIndex(ROW()-ROW(Q$5),2))</f>
        <v/>
      </c>
      <c r="R19" s="107">
        <v>48</v>
      </c>
    </row>
    <row r="20" spans="1:18" ht="15.75" thickBot="1" x14ac:dyDescent="0.3">
      <c r="A20" s="67"/>
      <c r="B20" s="107"/>
      <c r="C20" s="107"/>
      <c r="D20" s="107"/>
      <c r="E20" s="107"/>
      <c r="G20" s="43">
        <v>15</v>
      </c>
      <c r="H20" s="43">
        <v>16</v>
      </c>
      <c r="I20" s="107"/>
      <c r="J20" s="107"/>
      <c r="K20" s="107"/>
      <c r="L20" s="43" t="str">
        <f>IF(L3&gt;=15,15,"")</f>
        <v/>
      </c>
      <c r="M20" s="48"/>
      <c r="N20" s="67"/>
      <c r="P20" s="854" t="str">
        <f>IF(GetDBperVolIndex(ROW()-ROW(P$5),1)=0,"",GetDBperVolIndex(ROW()-ROW(P$5),1))</f>
        <v/>
      </c>
      <c r="Q20" s="854" t="str">
        <f>IF(GetDBperVolIndex(ROW()-ROW(Q$5),2)=0,"",GetDBperVolIndex(ROW()-ROW(Q$5),2))</f>
        <v/>
      </c>
      <c r="R20" s="107">
        <v>60</v>
      </c>
    </row>
    <row r="21" spans="1:18" x14ac:dyDescent="0.25">
      <c r="A21" s="67"/>
      <c r="B21" s="107"/>
      <c r="C21" s="107"/>
      <c r="D21" s="107"/>
      <c r="E21" s="107"/>
      <c r="G21" s="43">
        <v>16</v>
      </c>
      <c r="H21" s="59"/>
      <c r="I21" s="107"/>
      <c r="J21" s="107"/>
      <c r="K21" s="107"/>
      <c r="L21" s="43"/>
      <c r="M21" s="48"/>
      <c r="N21" s="67"/>
      <c r="R21" s="107">
        <v>120</v>
      </c>
    </row>
    <row r="22" spans="1:18" x14ac:dyDescent="0.25">
      <c r="A22" s="67"/>
      <c r="B22" s="107"/>
      <c r="C22" s="107"/>
      <c r="D22" s="107"/>
      <c r="E22" s="107"/>
      <c r="G22" s="43">
        <v>17</v>
      </c>
      <c r="I22" s="107"/>
      <c r="J22" s="107"/>
      <c r="K22" s="107"/>
      <c r="L22" s="107"/>
      <c r="M22" s="67"/>
      <c r="N22" s="67"/>
    </row>
    <row r="23" spans="1:18" ht="15.75" thickBot="1" x14ac:dyDescent="0.3">
      <c r="A23" s="67"/>
      <c r="B23" s="107"/>
      <c r="C23" s="107"/>
      <c r="D23" s="107"/>
      <c r="E23" s="107"/>
      <c r="G23" s="43">
        <v>18</v>
      </c>
      <c r="H23" s="107"/>
      <c r="I23" s="107"/>
      <c r="J23" s="107"/>
      <c r="K23" s="107"/>
      <c r="L23" s="107"/>
      <c r="M23" s="67"/>
      <c r="N23" s="67"/>
      <c r="P23" s="87"/>
    </row>
    <row r="24" spans="1:18" ht="15.75" thickBot="1" x14ac:dyDescent="0.3">
      <c r="A24" s="67"/>
      <c r="B24" s="107"/>
      <c r="C24" s="107"/>
      <c r="D24" s="107"/>
      <c r="E24" s="107"/>
      <c r="G24" s="43">
        <v>19</v>
      </c>
      <c r="H24" s="430" t="s">
        <v>441</v>
      </c>
      <c r="I24" s="107"/>
      <c r="J24" s="107"/>
      <c r="K24" s="107"/>
      <c r="L24" s="107"/>
      <c r="M24" s="67"/>
      <c r="N24" s="67"/>
      <c r="P24" s="507"/>
    </row>
    <row r="25" spans="1:18" ht="15.75" thickBot="1" x14ac:dyDescent="0.3">
      <c r="A25" s="67"/>
      <c r="B25" s="107"/>
      <c r="C25" s="107"/>
      <c r="D25" s="107"/>
      <c r="E25" s="107"/>
      <c r="G25" s="109">
        <v>20</v>
      </c>
      <c r="H25" s="129">
        <v>0</v>
      </c>
      <c r="I25" s="107"/>
      <c r="J25" s="107"/>
      <c r="K25" s="107"/>
      <c r="L25" s="107"/>
      <c r="M25" s="67"/>
      <c r="N25" s="67"/>
    </row>
    <row r="26" spans="1:18" x14ac:dyDescent="0.25">
      <c r="A26" s="67"/>
      <c r="B26" s="107"/>
      <c r="C26" s="107"/>
      <c r="D26" s="107"/>
      <c r="E26" s="107"/>
      <c r="G26" s="109">
        <v>21</v>
      </c>
      <c r="H26" s="87">
        <v>1</v>
      </c>
      <c r="I26" s="1014"/>
      <c r="J26" s="67"/>
      <c r="K26" s="107"/>
      <c r="L26" s="107"/>
      <c r="M26" s="67"/>
      <c r="N26" s="67"/>
      <c r="P26" s="87"/>
    </row>
    <row r="27" spans="1:18" ht="15.75" thickBot="1" x14ac:dyDescent="0.3">
      <c r="A27" s="67"/>
      <c r="B27" s="107"/>
      <c r="C27" s="107"/>
      <c r="D27" s="107"/>
      <c r="E27" s="107"/>
      <c r="G27" s="43">
        <v>22</v>
      </c>
      <c r="H27" s="87">
        <v>2</v>
      </c>
      <c r="I27" s="1015"/>
      <c r="J27" s="67"/>
      <c r="K27" s="107"/>
      <c r="L27" s="107"/>
      <c r="M27" s="67"/>
      <c r="N27" s="67"/>
    </row>
    <row r="28" spans="1:18" x14ac:dyDescent="0.25">
      <c r="A28" s="67"/>
      <c r="B28" s="107"/>
      <c r="C28" s="107"/>
      <c r="D28" s="107"/>
      <c r="E28" s="107"/>
      <c r="G28" s="43">
        <v>23</v>
      </c>
      <c r="H28" s="107"/>
      <c r="I28" s="107"/>
      <c r="J28" s="107"/>
      <c r="K28" s="107"/>
      <c r="L28" s="107"/>
      <c r="M28" s="67"/>
      <c r="N28" s="67"/>
    </row>
    <row r="29" spans="1:18" ht="15.75" thickBot="1" x14ac:dyDescent="0.3">
      <c r="A29" s="114"/>
      <c r="B29" s="110"/>
      <c r="C29" s="110"/>
      <c r="D29" s="110"/>
      <c r="E29" s="110"/>
      <c r="F29" s="115"/>
      <c r="G29" s="94">
        <v>24</v>
      </c>
      <c r="H29" s="110"/>
      <c r="I29" s="110"/>
      <c r="J29" s="110"/>
      <c r="K29" s="110"/>
      <c r="L29" s="110"/>
      <c r="M29" s="110"/>
      <c r="N29" s="110"/>
    </row>
    <row r="30" spans="1:18" x14ac:dyDescent="0.25">
      <c r="A30" s="58"/>
      <c r="B30" s="435"/>
      <c r="C30" s="58"/>
      <c r="D30" s="58"/>
      <c r="E30" s="58"/>
      <c r="F30" s="58"/>
      <c r="G30" s="726"/>
      <c r="H30" s="435"/>
      <c r="I30" s="67"/>
      <c r="J30" s="87"/>
      <c r="K30" s="58"/>
      <c r="L30" s="58"/>
      <c r="M30" s="435"/>
      <c r="N30" s="427"/>
      <c r="O30" s="107"/>
    </row>
    <row r="31" spans="1:18" ht="15.75" thickBot="1" x14ac:dyDescent="0.3">
      <c r="A31" s="730"/>
      <c r="B31" s="730"/>
      <c r="C31" s="730"/>
      <c r="D31" s="730"/>
      <c r="E31" s="730"/>
      <c r="F31" s="730"/>
      <c r="G31" s="731"/>
      <c r="H31" s="730"/>
      <c r="I31" s="732"/>
      <c r="J31" s="733"/>
      <c r="K31" s="730"/>
      <c r="L31" s="730"/>
      <c r="M31" s="730"/>
      <c r="N31" s="732"/>
      <c r="O31" s="107"/>
    </row>
    <row r="32" spans="1:18" ht="15.75" thickBot="1" x14ac:dyDescent="0.3">
      <c r="A32" s="1349" t="s">
        <v>301</v>
      </c>
      <c r="B32" s="1350"/>
      <c r="C32" s="1350"/>
      <c r="D32" s="1350"/>
      <c r="E32" s="1350"/>
      <c r="F32" s="1350"/>
      <c r="G32" s="1350"/>
      <c r="H32" s="1350"/>
      <c r="I32" s="1351"/>
      <c r="J32" s="1349" t="s">
        <v>300</v>
      </c>
      <c r="K32" s="1350"/>
      <c r="L32" s="1350"/>
      <c r="M32" s="1350"/>
      <c r="N32" s="1351"/>
      <c r="O32" s="112" t="s">
        <v>587</v>
      </c>
    </row>
    <row r="33" spans="1:15" ht="12.75" customHeight="1" x14ac:dyDescent="0.25">
      <c r="A33" s="1353" t="s">
        <v>1285</v>
      </c>
      <c r="B33" s="1354"/>
      <c r="C33" s="1354"/>
      <c r="D33" s="1354"/>
      <c r="E33" s="1354"/>
      <c r="F33" s="1354"/>
      <c r="G33" s="1354"/>
      <c r="H33" s="1354"/>
      <c r="I33" s="1355"/>
      <c r="J33" s="129" t="s">
        <v>325</v>
      </c>
      <c r="K33" s="129">
        <v>200</v>
      </c>
      <c r="L33" s="67"/>
      <c r="M33" s="67" t="s">
        <v>1807</v>
      </c>
      <c r="N33" s="67">
        <v>5</v>
      </c>
      <c r="O33" s="107" t="s">
        <v>585</v>
      </c>
    </row>
    <row r="34" spans="1:15" ht="12.75" customHeight="1" x14ac:dyDescent="0.25">
      <c r="A34" s="1356"/>
      <c r="B34" s="1357"/>
      <c r="C34" s="1357"/>
      <c r="D34" s="1357"/>
      <c r="E34" s="1357"/>
      <c r="F34" s="1357"/>
      <c r="G34" s="1357"/>
      <c r="H34" s="1357"/>
      <c r="I34" s="1358"/>
      <c r="J34" s="107" t="s">
        <v>324</v>
      </c>
      <c r="K34" s="107">
        <v>2000</v>
      </c>
      <c r="L34" s="67"/>
      <c r="M34" s="67" t="s">
        <v>1808</v>
      </c>
      <c r="N34" s="67">
        <v>7</v>
      </c>
      <c r="O34" s="107" t="s">
        <v>586</v>
      </c>
    </row>
    <row r="35" spans="1:15" ht="12.75" customHeight="1" x14ac:dyDescent="0.25">
      <c r="A35" s="1356"/>
      <c r="B35" s="1357"/>
      <c r="C35" s="1357"/>
      <c r="D35" s="1357"/>
      <c r="E35" s="1357"/>
      <c r="F35" s="1357"/>
      <c r="G35" s="1357"/>
      <c r="H35" s="1357"/>
      <c r="I35" s="1358"/>
      <c r="J35" s="107" t="s">
        <v>297</v>
      </c>
      <c r="K35" s="105">
        <v>100</v>
      </c>
      <c r="L35" s="122"/>
      <c r="M35" s="122"/>
      <c r="N35" s="67"/>
      <c r="O35" s="107"/>
    </row>
    <row r="36" spans="1:15" ht="12.75" customHeight="1" x14ac:dyDescent="0.25">
      <c r="A36" s="1356"/>
      <c r="B36" s="1357"/>
      <c r="C36" s="1357"/>
      <c r="D36" s="1357"/>
      <c r="E36" s="1357"/>
      <c r="F36" s="1357"/>
      <c r="G36" s="1357"/>
      <c r="H36" s="1357"/>
      <c r="I36" s="1358"/>
      <c r="J36" s="107" t="s">
        <v>291</v>
      </c>
      <c r="K36" s="105">
        <v>98</v>
      </c>
      <c r="L36" s="122"/>
      <c r="M36" s="122"/>
      <c r="N36" s="67"/>
      <c r="O36" s="107"/>
    </row>
    <row r="37" spans="1:15" ht="13.5" customHeight="1" thickBot="1" x14ac:dyDescent="0.3">
      <c r="A37" s="1359"/>
      <c r="B37" s="1360"/>
      <c r="C37" s="1360"/>
      <c r="D37" s="1360"/>
      <c r="E37" s="1360"/>
      <c r="F37" s="1360"/>
      <c r="G37" s="1360"/>
      <c r="H37" s="1360"/>
      <c r="I37" s="1361"/>
      <c r="J37" s="107" t="s">
        <v>871</v>
      </c>
      <c r="K37" s="105">
        <f>calcTotNumHACopies+calcTotNumLagCopies</f>
        <v>4</v>
      </c>
      <c r="L37" s="122"/>
      <c r="M37" s="122"/>
      <c r="N37" s="67"/>
      <c r="O37" s="107"/>
    </row>
    <row r="38" spans="1:15" ht="15.75" thickBot="1" x14ac:dyDescent="0.3">
      <c r="A38" s="1362" t="s">
        <v>135</v>
      </c>
      <c r="B38" s="1362"/>
      <c r="C38" s="1362"/>
      <c r="D38" s="1362"/>
      <c r="E38" s="1362"/>
      <c r="F38" s="1362"/>
      <c r="G38" s="1362"/>
      <c r="H38" s="1362"/>
      <c r="I38" s="1363"/>
      <c r="J38" s="107" t="s">
        <v>347</v>
      </c>
      <c r="K38" s="322">
        <v>0.2</v>
      </c>
      <c r="L38" s="391"/>
      <c r="M38" s="391"/>
      <c r="N38" s="67"/>
      <c r="O38" s="107"/>
    </row>
    <row r="39" spans="1:15" ht="12.75" customHeight="1" x14ac:dyDescent="0.25">
      <c r="A39" s="1353" t="s">
        <v>320</v>
      </c>
      <c r="B39" s="1354"/>
      <c r="C39" s="1354"/>
      <c r="D39" s="1354"/>
      <c r="E39" s="1354"/>
      <c r="F39" s="1354"/>
      <c r="G39" s="1354"/>
      <c r="H39" s="1354"/>
      <c r="I39" s="1355"/>
      <c r="J39" s="344" t="s">
        <v>288</v>
      </c>
      <c r="K39" s="380" t="s">
        <v>31</v>
      </c>
      <c r="L39" s="251"/>
      <c r="M39" s="251"/>
      <c r="N39" s="67"/>
      <c r="O39" s="107"/>
    </row>
    <row r="40" spans="1:15" ht="12.75" customHeight="1" x14ac:dyDescent="0.25">
      <c r="A40" s="1356"/>
      <c r="B40" s="1357"/>
      <c r="C40" s="1357"/>
      <c r="D40" s="1357"/>
      <c r="E40" s="1357"/>
      <c r="F40" s="1357"/>
      <c r="G40" s="1357"/>
      <c r="H40" s="1357"/>
      <c r="I40" s="1358"/>
      <c r="J40" s="411" t="s">
        <v>446</v>
      </c>
      <c r="K40" s="412" t="s">
        <v>447</v>
      </c>
      <c r="L40" s="392"/>
      <c r="M40" s="392"/>
      <c r="N40" s="67"/>
      <c r="O40" s="107"/>
    </row>
    <row r="41" spans="1:15" ht="13.5" customHeight="1" thickBot="1" x14ac:dyDescent="0.3">
      <c r="A41" s="1359"/>
      <c r="B41" s="1360"/>
      <c r="C41" s="1360"/>
      <c r="D41" s="1360"/>
      <c r="E41" s="1360"/>
      <c r="F41" s="1360"/>
      <c r="G41" s="1360"/>
      <c r="H41" s="1360"/>
      <c r="I41" s="1361"/>
      <c r="J41" s="87" t="s">
        <v>349</v>
      </c>
      <c r="K41" s="413">
        <v>1.2E-2</v>
      </c>
      <c r="L41" s="393"/>
      <c r="M41" s="393"/>
      <c r="N41" s="114"/>
      <c r="O41" s="110"/>
    </row>
    <row r="42" spans="1:15" ht="13.5" customHeight="1" x14ac:dyDescent="0.25">
      <c r="A42" s="1368" t="s">
        <v>314</v>
      </c>
      <c r="B42" s="1368"/>
      <c r="C42" s="268"/>
      <c r="D42" s="268"/>
      <c r="E42" s="268"/>
      <c r="F42" s="268"/>
      <c r="G42" s="268"/>
      <c r="H42" s="268"/>
      <c r="I42" s="269"/>
      <c r="J42" s="411" t="s">
        <v>454</v>
      </c>
      <c r="K42" s="651">
        <v>0.03</v>
      </c>
      <c r="L42" s="58"/>
      <c r="M42" s="58"/>
      <c r="N42" s="58"/>
    </row>
    <row r="43" spans="1:15" x14ac:dyDescent="0.25">
      <c r="A43" s="111" t="str">
        <f>"Note: The maximum database size for this configuration will be "&amp;IF(AND(HAOption="Yes",numActMBXSvrsPerDC+numLagDBCopies&gt;=2),varMax2CopyDBSize,varMaxSADBSize)&amp;" GB."</f>
        <v>Note: The maximum database size for this configuration will be 2000 GB.</v>
      </c>
      <c r="B43" s="111"/>
      <c r="C43" s="111"/>
      <c r="D43" s="111"/>
      <c r="E43" s="111"/>
      <c r="F43" s="111"/>
      <c r="G43" s="111"/>
      <c r="H43" s="111"/>
      <c r="I43" s="81"/>
      <c r="J43" s="87" t="s">
        <v>712</v>
      </c>
      <c r="K43" s="853">
        <v>0.5</v>
      </c>
    </row>
    <row r="44" spans="1:15" ht="15.75" thickBot="1" x14ac:dyDescent="0.3">
      <c r="A44" s="88"/>
      <c r="B44" s="88"/>
      <c r="C44" s="88"/>
      <c r="D44" s="88"/>
      <c r="E44" s="88"/>
      <c r="F44" s="88"/>
      <c r="G44" s="88"/>
      <c r="H44" s="88"/>
      <c r="I44" s="88"/>
      <c r="J44" s="66" t="s">
        <v>1741</v>
      </c>
      <c r="K44" s="66">
        <v>0.375</v>
      </c>
    </row>
    <row r="45" spans="1:15" x14ac:dyDescent="0.25">
      <c r="A45" s="1366" t="s">
        <v>580</v>
      </c>
      <c r="B45" s="1366"/>
      <c r="C45" s="1366"/>
      <c r="D45" s="1366"/>
      <c r="E45" s="1366"/>
      <c r="F45" s="1366"/>
      <c r="G45" s="1366"/>
      <c r="H45" s="1366"/>
      <c r="I45" s="1367"/>
      <c r="J45" s="129" t="s">
        <v>1288</v>
      </c>
      <c r="K45" s="427" t="s">
        <v>1291</v>
      </c>
    </row>
    <row r="46" spans="1:15" ht="15.75" thickBot="1" x14ac:dyDescent="0.3">
      <c r="A46" s="1364" t="s">
        <v>578</v>
      </c>
      <c r="B46" s="1364"/>
      <c r="C46" s="1364"/>
      <c r="D46" s="1364"/>
      <c r="E46" s="1364"/>
      <c r="F46" s="1364"/>
      <c r="G46" s="1364"/>
      <c r="H46" s="1364"/>
      <c r="I46" s="1365"/>
      <c r="J46" s="854" t="s">
        <v>1289</v>
      </c>
      <c r="K46" s="852" t="s">
        <v>1290</v>
      </c>
    </row>
    <row r="47" spans="1:15" ht="15.75" thickBot="1" x14ac:dyDescent="0.3">
      <c r="A47" s="1364" t="s">
        <v>579</v>
      </c>
      <c r="B47" s="1364"/>
      <c r="C47" s="1364"/>
      <c r="D47" s="1364"/>
      <c r="E47" s="1364"/>
      <c r="F47" s="1364"/>
      <c r="G47" s="1364"/>
      <c r="H47" s="1364"/>
      <c r="I47" s="1365"/>
      <c r="J47" s="854" t="s">
        <v>1446</v>
      </c>
      <c r="K47" s="1006">
        <v>3</v>
      </c>
    </row>
    <row r="48" spans="1:15" ht="15.75" thickBot="1" x14ac:dyDescent="0.3">
      <c r="A48" s="1343" t="s">
        <v>821</v>
      </c>
      <c r="B48" s="1344"/>
      <c r="C48" s="1344"/>
      <c r="D48" s="1344"/>
      <c r="E48" s="1344"/>
      <c r="F48" s="1344"/>
      <c r="G48" s="1344"/>
      <c r="H48" s="1344"/>
      <c r="I48" s="1345"/>
      <c r="J48" s="353" t="s">
        <v>1329</v>
      </c>
      <c r="K48" s="161" t="s">
        <v>8</v>
      </c>
    </row>
    <row r="49" spans="1:12" ht="15.75" thickBot="1" x14ac:dyDescent="0.3">
      <c r="A49" s="1346" t="s">
        <v>822</v>
      </c>
      <c r="B49" s="1347"/>
      <c r="C49" s="1347"/>
      <c r="D49" s="1347"/>
      <c r="E49" s="1347"/>
      <c r="F49" s="1347"/>
      <c r="G49" s="1347"/>
      <c r="H49" s="1347"/>
      <c r="I49" s="1348"/>
      <c r="J49" s="66" t="s">
        <v>1386</v>
      </c>
      <c r="K49" s="353" t="s">
        <v>9</v>
      </c>
    </row>
    <row r="50" spans="1:12" ht="15.75" thickBot="1" x14ac:dyDescent="0.3">
      <c r="A50" s="1340" t="s">
        <v>866</v>
      </c>
      <c r="B50" s="1341"/>
      <c r="C50" s="1341"/>
      <c r="D50" s="1341"/>
      <c r="E50" s="1341"/>
      <c r="F50" s="1341"/>
      <c r="G50" s="1341"/>
      <c r="H50" s="1341"/>
      <c r="I50" s="1342"/>
      <c r="J50" s="353" t="s">
        <v>1330</v>
      </c>
      <c r="K50" s="353" t="s">
        <v>9</v>
      </c>
    </row>
    <row r="51" spans="1:12" ht="15.75" thickBot="1" x14ac:dyDescent="0.3">
      <c r="A51" s="809" t="s">
        <v>867</v>
      </c>
      <c r="B51" s="810" t="s">
        <v>868</v>
      </c>
      <c r="C51" s="810"/>
      <c r="D51" s="810"/>
      <c r="E51" s="810"/>
      <c r="F51" s="810"/>
      <c r="G51" s="810"/>
      <c r="H51" s="810"/>
      <c r="I51" s="811"/>
      <c r="J51" s="353" t="s">
        <v>1337</v>
      </c>
      <c r="K51" s="353">
        <f>IF(calcDiskLimitOverride="Yes",9999,NumDisksPerServer*varDiskGroup)</f>
        <v>9999</v>
      </c>
    </row>
    <row r="52" spans="1:12" ht="15.75" thickBot="1" x14ac:dyDescent="0.3">
      <c r="J52" s="353" t="s">
        <v>1351</v>
      </c>
      <c r="K52" s="353">
        <f>IF(calcDiskLimitOverride="Yes",9999,NumDisksPerServer)</f>
        <v>9999</v>
      </c>
    </row>
    <row r="53" spans="1:12" ht="15.75" thickBot="1" x14ac:dyDescent="0.3">
      <c r="J53" s="353" t="s">
        <v>1338</v>
      </c>
      <c r="K53" s="353">
        <v>8</v>
      </c>
    </row>
    <row r="54" spans="1:12" ht="15.75" thickBot="1" x14ac:dyDescent="0.3">
      <c r="J54" s="978" t="s">
        <v>1414</v>
      </c>
      <c r="K54" s="979">
        <v>0.5</v>
      </c>
    </row>
    <row r="55" spans="1:12" ht="15.75" thickBot="1" x14ac:dyDescent="0.3">
      <c r="J55" s="353" t="s">
        <v>1448</v>
      </c>
      <c r="K55" s="161">
        <v>2013</v>
      </c>
      <c r="L55" s="642"/>
    </row>
  </sheetData>
  <dataConsolidate/>
  <mergeCells count="13">
    <mergeCell ref="A50:I50"/>
    <mergeCell ref="A48:I48"/>
    <mergeCell ref="A49:I49"/>
    <mergeCell ref="J32:N32"/>
    <mergeCell ref="A1:F1"/>
    <mergeCell ref="A33:I37"/>
    <mergeCell ref="A32:I32"/>
    <mergeCell ref="A38:I38"/>
    <mergeCell ref="A47:I47"/>
    <mergeCell ref="A46:I46"/>
    <mergeCell ref="A45:I45"/>
    <mergeCell ref="A42:B42"/>
    <mergeCell ref="A39:I41"/>
  </mergeCells>
  <phoneticPr fontId="22" type="noConversion"/>
  <conditionalFormatting sqref="C8">
    <cfRule type="expression" dxfId="30" priority="1" stopIfTrue="1">
      <formula>IF(OR(ValidationCheck,FailureDomainCheck),1,0)</formula>
    </cfRule>
  </conditionalFormatting>
  <dataValidations disablePrompts="1" count="2">
    <dataValidation type="list" allowBlank="1" showInputMessage="1" showErrorMessage="1" sqref="K40">
      <formula1>"Y,N"</formula1>
    </dataValidation>
    <dataValidation type="list" allowBlank="1" showInputMessage="1" showErrorMessage="1" sqref="L39:M39 K39">
      <formula1>varEnabledQuestion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281"/>
  <sheetViews>
    <sheetView showGridLines="0" zoomScale="85" zoomScaleNormal="85" workbookViewId="0">
      <selection sqref="A1:C1"/>
    </sheetView>
  </sheetViews>
  <sheetFormatPr defaultColWidth="9.140625" defaultRowHeight="15" x14ac:dyDescent="0.25"/>
  <cols>
    <col min="1" max="1" width="36.5703125" style="66" bestFit="1" customWidth="1"/>
    <col min="2" max="2" width="44.28515625" style="66" customWidth="1"/>
    <col min="3" max="4" width="40.7109375" style="66" bestFit="1" customWidth="1"/>
    <col min="5" max="5" width="32.42578125" style="66" bestFit="1" customWidth="1"/>
    <col min="6" max="6" width="25.140625" style="66" bestFit="1" customWidth="1"/>
    <col min="7" max="7" width="27.5703125" style="66" bestFit="1" customWidth="1"/>
    <col min="8" max="16384" width="9.140625" style="66"/>
  </cols>
  <sheetData>
    <row r="1" spans="1:9" x14ac:dyDescent="0.25">
      <c r="A1" s="1369" t="s">
        <v>272</v>
      </c>
      <c r="B1" s="1369"/>
      <c r="C1" s="1369"/>
      <c r="D1" s="432"/>
      <c r="E1" s="111"/>
      <c r="F1" s="81"/>
      <c r="H1" s="58"/>
      <c r="I1" s="58"/>
    </row>
    <row r="2" spans="1:9" ht="15.75" thickBot="1" x14ac:dyDescent="0.3">
      <c r="A2" s="116"/>
      <c r="B2" s="116"/>
      <c r="C2" s="115"/>
      <c r="D2" s="116"/>
      <c r="E2" s="111"/>
      <c r="F2" s="81"/>
    </row>
    <row r="3" spans="1:9" ht="15.75" thickBot="1" x14ac:dyDescent="0.3">
      <c r="A3" s="117" t="s">
        <v>591</v>
      </c>
      <c r="B3" s="118" t="s">
        <v>64</v>
      </c>
      <c r="C3" s="117" t="s">
        <v>38</v>
      </c>
      <c r="D3" s="119" t="s">
        <v>350</v>
      </c>
      <c r="E3" s="119" t="s">
        <v>460</v>
      </c>
      <c r="F3" s="119" t="s">
        <v>461</v>
      </c>
    </row>
    <row r="4" spans="1:9" x14ac:dyDescent="0.25">
      <c r="A4" s="107" t="s">
        <v>593</v>
      </c>
      <c r="B4" s="120">
        <v>3</v>
      </c>
      <c r="C4" s="107">
        <v>50</v>
      </c>
      <c r="D4" s="2">
        <v>10</v>
      </c>
      <c r="E4" s="2">
        <v>2.1</v>
      </c>
      <c r="F4" s="2">
        <v>0.7</v>
      </c>
      <c r="G4" s="390"/>
    </row>
    <row r="5" spans="1:9" x14ac:dyDescent="0.25">
      <c r="A5" s="107" t="s">
        <v>594</v>
      </c>
      <c r="B5" s="122">
        <v>6</v>
      </c>
      <c r="C5" s="107">
        <v>100</v>
      </c>
      <c r="D5" s="2">
        <v>20</v>
      </c>
      <c r="E5" s="2">
        <v>4.3</v>
      </c>
      <c r="F5" s="2">
        <v>1.4</v>
      </c>
      <c r="G5" s="390"/>
    </row>
    <row r="6" spans="1:9" x14ac:dyDescent="0.25">
      <c r="A6" s="107" t="s">
        <v>595</v>
      </c>
      <c r="B6" s="122">
        <v>9</v>
      </c>
      <c r="C6" s="107">
        <v>150</v>
      </c>
      <c r="D6" s="2">
        <v>30</v>
      </c>
      <c r="E6" s="2">
        <v>6.4</v>
      </c>
      <c r="F6" s="2">
        <v>2.1</v>
      </c>
      <c r="G6" s="390"/>
    </row>
    <row r="7" spans="1:9" x14ac:dyDescent="0.25">
      <c r="A7" s="107" t="s">
        <v>596</v>
      </c>
      <c r="B7" s="122">
        <v>12</v>
      </c>
      <c r="C7" s="107">
        <v>200</v>
      </c>
      <c r="D7" s="2">
        <v>40</v>
      </c>
      <c r="E7" s="2">
        <v>8.5</v>
      </c>
      <c r="F7" s="2">
        <v>2.7</v>
      </c>
      <c r="G7" s="390"/>
    </row>
    <row r="8" spans="1:9" x14ac:dyDescent="0.25">
      <c r="A8" s="107" t="s">
        <v>597</v>
      </c>
      <c r="B8" s="105">
        <v>15</v>
      </c>
      <c r="C8" s="107">
        <v>250</v>
      </c>
      <c r="D8" s="329">
        <v>50</v>
      </c>
      <c r="E8" s="329">
        <v>10.6</v>
      </c>
      <c r="F8" s="329">
        <v>3.4</v>
      </c>
      <c r="G8" s="390"/>
    </row>
    <row r="9" spans="1:9" x14ac:dyDescent="0.25">
      <c r="A9" s="107" t="s">
        <v>598</v>
      </c>
      <c r="B9" s="105">
        <v>18</v>
      </c>
      <c r="C9" s="107">
        <v>300</v>
      </c>
      <c r="D9" s="2">
        <v>60</v>
      </c>
      <c r="E9" s="2">
        <v>12.8</v>
      </c>
      <c r="F9" s="2">
        <v>4.0999999999999996</v>
      </c>
      <c r="G9" s="390"/>
    </row>
    <row r="10" spans="1:9" x14ac:dyDescent="0.25">
      <c r="A10" s="107" t="s">
        <v>599</v>
      </c>
      <c r="B10" s="105">
        <v>21</v>
      </c>
      <c r="C10" s="107">
        <v>350</v>
      </c>
      <c r="D10" s="2">
        <v>70</v>
      </c>
      <c r="E10" s="2">
        <v>14.9</v>
      </c>
      <c r="F10" s="2">
        <v>4.8</v>
      </c>
      <c r="G10" s="390"/>
    </row>
    <row r="11" spans="1:9" x14ac:dyDescent="0.25">
      <c r="A11" s="107" t="s">
        <v>600</v>
      </c>
      <c r="B11" s="105">
        <v>24</v>
      </c>
      <c r="C11" s="107">
        <v>400</v>
      </c>
      <c r="D11" s="2">
        <v>80</v>
      </c>
      <c r="E11" s="2">
        <v>17</v>
      </c>
      <c r="F11" s="2">
        <v>5.5</v>
      </c>
      <c r="G11" s="390"/>
    </row>
    <row r="12" spans="1:9" x14ac:dyDescent="0.25">
      <c r="A12" s="107" t="s">
        <v>601</v>
      </c>
      <c r="B12" s="105">
        <v>27</v>
      </c>
      <c r="C12" s="107">
        <v>450</v>
      </c>
      <c r="D12" s="2">
        <v>90</v>
      </c>
      <c r="E12" s="2">
        <v>19.100000000000001</v>
      </c>
      <c r="F12" s="2">
        <v>6.2</v>
      </c>
      <c r="G12" s="390"/>
    </row>
    <row r="13" spans="1:9" ht="15.75" thickBot="1" x14ac:dyDescent="0.3">
      <c r="A13" s="110" t="s">
        <v>602</v>
      </c>
      <c r="B13" s="168">
        <v>30</v>
      </c>
      <c r="C13" s="110">
        <v>500</v>
      </c>
      <c r="D13" s="330">
        <v>100</v>
      </c>
      <c r="E13" s="330">
        <v>21.3</v>
      </c>
      <c r="F13" s="330">
        <v>6.9</v>
      </c>
      <c r="G13" s="390"/>
    </row>
    <row r="14" spans="1:9" ht="15.75" thickBot="1" x14ac:dyDescent="0.3">
      <c r="A14" s="342"/>
      <c r="B14" s="126"/>
      <c r="C14" s="61"/>
      <c r="D14" s="434"/>
      <c r="E14" s="111"/>
      <c r="F14" s="81"/>
    </row>
    <row r="15" spans="1:9" ht="15.75" thickBot="1" x14ac:dyDescent="0.3">
      <c r="A15" s="331" t="s">
        <v>298</v>
      </c>
      <c r="B15" s="341" t="s">
        <v>357</v>
      </c>
      <c r="C15" s="332" t="s">
        <v>358</v>
      </c>
      <c r="D15" s="348"/>
      <c r="E15" s="111"/>
      <c r="F15" s="81"/>
    </row>
    <row r="16" spans="1:9" x14ac:dyDescent="0.25">
      <c r="A16" s="333">
        <v>1</v>
      </c>
      <c r="B16" s="340" t="s">
        <v>362</v>
      </c>
      <c r="C16" s="334">
        <v>8</v>
      </c>
      <c r="D16" s="348"/>
      <c r="E16" s="111"/>
      <c r="F16" s="81"/>
    </row>
    <row r="17" spans="1:9" x14ac:dyDescent="0.25">
      <c r="A17" s="333">
        <v>11</v>
      </c>
      <c r="B17" s="340" t="s">
        <v>363</v>
      </c>
      <c r="C17" s="335">
        <v>10</v>
      </c>
      <c r="D17" s="348"/>
      <c r="E17" s="111"/>
      <c r="F17" s="81"/>
    </row>
    <row r="18" spans="1:9" x14ac:dyDescent="0.25">
      <c r="A18" s="333">
        <v>21</v>
      </c>
      <c r="B18" s="338" t="s">
        <v>359</v>
      </c>
      <c r="C18" s="335">
        <v>12</v>
      </c>
      <c r="D18" s="348"/>
      <c r="E18" s="111"/>
      <c r="F18" s="81"/>
    </row>
    <row r="19" spans="1:9" x14ac:dyDescent="0.25">
      <c r="A19" s="333">
        <v>31</v>
      </c>
      <c r="B19" s="338" t="s">
        <v>360</v>
      </c>
      <c r="C19" s="335">
        <v>14</v>
      </c>
      <c r="D19" s="348"/>
      <c r="E19" s="111"/>
      <c r="F19" s="81"/>
    </row>
    <row r="20" spans="1:9" x14ac:dyDescent="0.25">
      <c r="A20" s="333">
        <v>41</v>
      </c>
      <c r="B20" s="338" t="s">
        <v>361</v>
      </c>
      <c r="C20" s="335">
        <v>16</v>
      </c>
      <c r="D20" s="348"/>
      <c r="E20" s="111"/>
      <c r="F20" s="81"/>
    </row>
    <row r="21" spans="1:9" x14ac:dyDescent="0.25">
      <c r="A21" s="333">
        <v>50</v>
      </c>
      <c r="B21" s="339">
        <v>50</v>
      </c>
      <c r="C21" s="335">
        <v>16</v>
      </c>
      <c r="D21" s="348"/>
      <c r="E21" s="111"/>
      <c r="F21" s="81"/>
    </row>
    <row r="22" spans="1:9" x14ac:dyDescent="0.25">
      <c r="A22" s="333"/>
      <c r="B22" s="339"/>
      <c r="C22" s="335"/>
      <c r="D22" s="348"/>
      <c r="E22" s="111"/>
      <c r="F22" s="81"/>
    </row>
    <row r="23" spans="1:9" x14ac:dyDescent="0.25">
      <c r="A23" s="333"/>
      <c r="B23" s="339"/>
      <c r="C23" s="335"/>
      <c r="D23" s="348"/>
      <c r="E23" s="111"/>
      <c r="F23" s="81"/>
    </row>
    <row r="24" spans="1:9" x14ac:dyDescent="0.25">
      <c r="A24" s="333"/>
      <c r="B24" s="339"/>
      <c r="C24" s="335"/>
      <c r="D24" s="348"/>
      <c r="E24" s="111"/>
      <c r="F24" s="81"/>
    </row>
    <row r="25" spans="1:9" x14ac:dyDescent="0.25">
      <c r="A25" s="333"/>
      <c r="B25" s="339"/>
      <c r="C25" s="335"/>
      <c r="D25" s="348"/>
      <c r="E25" s="111"/>
      <c r="F25" s="81"/>
    </row>
    <row r="26" spans="1:9" x14ac:dyDescent="0.25">
      <c r="A26" s="333"/>
      <c r="B26" s="339"/>
      <c r="C26" s="335"/>
      <c r="D26" s="348"/>
      <c r="E26" s="111"/>
      <c r="F26" s="81"/>
    </row>
    <row r="27" spans="1:9" ht="15.75" thickBot="1" x14ac:dyDescent="0.3">
      <c r="A27" s="336"/>
      <c r="B27" s="343"/>
      <c r="C27" s="337"/>
      <c r="D27" s="348"/>
      <c r="E27" s="111"/>
      <c r="F27" s="81"/>
    </row>
    <row r="28" spans="1:9" x14ac:dyDescent="0.25">
      <c r="A28" s="348"/>
      <c r="B28" s="349"/>
      <c r="C28" s="348"/>
      <c r="D28" s="348"/>
      <c r="E28" s="111"/>
      <c r="F28" s="81"/>
    </row>
    <row r="29" spans="1:9" ht="15.75" thickBot="1" x14ac:dyDescent="0.3">
      <c r="A29" s="61"/>
      <c r="B29" s="126"/>
      <c r="C29" s="126"/>
      <c r="D29" s="61"/>
      <c r="E29" s="61"/>
      <c r="F29" s="81"/>
    </row>
    <row r="30" spans="1:9" ht="15.75" thickBot="1" x14ac:dyDescent="0.3">
      <c r="A30" s="117" t="s">
        <v>24</v>
      </c>
      <c r="B30" s="125" t="s">
        <v>26</v>
      </c>
      <c r="C30" s="126"/>
      <c r="D30" s="58"/>
      <c r="E30" s="872"/>
      <c r="F30" s="868"/>
      <c r="I30" s="869"/>
    </row>
    <row r="31" spans="1:9" x14ac:dyDescent="0.25">
      <c r="A31" s="122" t="s">
        <v>21</v>
      </c>
      <c r="B31" s="67">
        <v>1</v>
      </c>
      <c r="C31" s="126"/>
      <c r="D31" s="58"/>
      <c r="E31" s="872"/>
      <c r="F31" s="868"/>
      <c r="I31" s="869"/>
    </row>
    <row r="32" spans="1:9" x14ac:dyDescent="0.25">
      <c r="A32" s="122" t="s">
        <v>22</v>
      </c>
      <c r="B32" s="132" t="s">
        <v>117</v>
      </c>
      <c r="C32" s="126"/>
      <c r="D32" s="58"/>
      <c r="E32" s="872"/>
      <c r="F32" s="868"/>
      <c r="I32" s="869"/>
    </row>
    <row r="33" spans="1:9" x14ac:dyDescent="0.25">
      <c r="A33" s="122" t="s">
        <v>23</v>
      </c>
      <c r="B33" s="364" t="s">
        <v>117</v>
      </c>
      <c r="C33" s="126"/>
      <c r="D33" s="58"/>
      <c r="E33" s="872"/>
      <c r="F33" s="868"/>
      <c r="I33" s="869"/>
    </row>
    <row r="34" spans="1:9" ht="15.75" thickBot="1" x14ac:dyDescent="0.3">
      <c r="A34" s="123" t="s">
        <v>370</v>
      </c>
      <c r="B34" s="133" t="s">
        <v>117</v>
      </c>
      <c r="C34" s="126"/>
      <c r="D34" s="58"/>
      <c r="E34" s="872"/>
      <c r="F34" s="868"/>
      <c r="I34" s="869"/>
    </row>
    <row r="35" spans="1:9" x14ac:dyDescent="0.25">
      <c r="A35" s="134"/>
      <c r="B35" s="135"/>
      <c r="C35" s="126"/>
      <c r="D35" s="58"/>
      <c r="E35" s="872"/>
      <c r="F35" s="868"/>
      <c r="I35" s="869"/>
    </row>
    <row r="36" spans="1:9" ht="15.75" thickBot="1" x14ac:dyDescent="0.3">
      <c r="A36" s="136"/>
      <c r="B36" s="128"/>
      <c r="C36" s="126"/>
      <c r="D36" s="58"/>
      <c r="E36" s="872"/>
      <c r="F36" s="868"/>
      <c r="I36" s="869"/>
    </row>
    <row r="37" spans="1:9" ht="15.75" thickBot="1" x14ac:dyDescent="0.3">
      <c r="A37" s="117" t="s">
        <v>293</v>
      </c>
      <c r="B37" s="125" t="s">
        <v>68</v>
      </c>
      <c r="C37" s="126"/>
      <c r="D37" s="58"/>
      <c r="E37" s="872"/>
      <c r="F37" s="868"/>
      <c r="I37" s="869"/>
    </row>
    <row r="38" spans="1:9" x14ac:dyDescent="0.25">
      <c r="A38" s="127">
        <v>1</v>
      </c>
      <c r="B38" s="120">
        <v>1</v>
      </c>
      <c r="C38" s="126"/>
      <c r="D38" s="58"/>
      <c r="E38" s="872"/>
      <c r="F38" s="868"/>
      <c r="I38" s="869"/>
    </row>
    <row r="39" spans="1:9" x14ac:dyDescent="0.25">
      <c r="A39" s="122">
        <v>2</v>
      </c>
      <c r="B39" s="122">
        <v>1</v>
      </c>
      <c r="C39" s="126"/>
      <c r="D39" s="58"/>
      <c r="E39" s="872"/>
      <c r="F39" s="868"/>
      <c r="I39" s="869"/>
    </row>
    <row r="40" spans="1:9" x14ac:dyDescent="0.25">
      <c r="A40" s="122">
        <v>3</v>
      </c>
      <c r="B40" s="122">
        <v>1</v>
      </c>
      <c r="C40" s="126"/>
      <c r="D40" s="61"/>
      <c r="E40" s="111"/>
      <c r="F40" s="81"/>
    </row>
    <row r="41" spans="1:9" x14ac:dyDescent="0.25">
      <c r="A41" s="137">
        <v>4</v>
      </c>
      <c r="B41" s="137">
        <v>1</v>
      </c>
      <c r="C41" s="126"/>
      <c r="D41" s="61"/>
      <c r="E41" s="111"/>
      <c r="F41" s="81"/>
    </row>
    <row r="42" spans="1:9" x14ac:dyDescent="0.25">
      <c r="A42" s="105">
        <v>5</v>
      </c>
      <c r="B42" s="105">
        <v>1</v>
      </c>
      <c r="C42" s="126"/>
      <c r="D42" s="61"/>
      <c r="E42" s="111"/>
      <c r="F42" s="81"/>
    </row>
    <row r="43" spans="1:9" x14ac:dyDescent="0.25">
      <c r="A43" s="105">
        <v>6</v>
      </c>
      <c r="B43" s="105">
        <v>1</v>
      </c>
      <c r="C43" s="126"/>
      <c r="D43" s="61"/>
      <c r="E43" s="111"/>
      <c r="F43" s="81"/>
    </row>
    <row r="44" spans="1:9" x14ac:dyDescent="0.25">
      <c r="A44" s="106">
        <v>7</v>
      </c>
      <c r="B44" s="121">
        <v>1</v>
      </c>
      <c r="C44" s="126"/>
      <c r="D44" s="61"/>
      <c r="E44" s="111"/>
      <c r="F44" s="81"/>
    </row>
    <row r="45" spans="1:9" x14ac:dyDescent="0.25">
      <c r="A45" s="106">
        <v>14</v>
      </c>
      <c r="B45" s="121">
        <v>2</v>
      </c>
      <c r="C45" s="126"/>
      <c r="D45" s="61"/>
      <c r="E45" s="111"/>
      <c r="F45" s="81"/>
    </row>
    <row r="46" spans="1:9" x14ac:dyDescent="0.25">
      <c r="A46" s="109">
        <v>21</v>
      </c>
      <c r="B46" s="121">
        <v>3</v>
      </c>
      <c r="C46" s="126"/>
      <c r="D46" s="61"/>
      <c r="E46" s="111"/>
      <c r="F46" s="81"/>
    </row>
    <row r="47" spans="1:9" x14ac:dyDescent="0.25">
      <c r="A47" s="109">
        <v>28</v>
      </c>
      <c r="B47" s="121">
        <v>4</v>
      </c>
      <c r="C47" s="126"/>
      <c r="D47" s="61"/>
      <c r="E47" s="111"/>
      <c r="F47" s="81"/>
    </row>
    <row r="48" spans="1:9" x14ac:dyDescent="0.25">
      <c r="A48" s="109">
        <v>35</v>
      </c>
      <c r="B48" s="121">
        <v>5</v>
      </c>
      <c r="C48" s="126"/>
      <c r="D48" s="61"/>
      <c r="E48" s="111"/>
      <c r="F48" s="81"/>
    </row>
    <row r="49" spans="1:6" x14ac:dyDescent="0.25">
      <c r="A49" s="109">
        <v>42</v>
      </c>
      <c r="B49" s="121">
        <v>6</v>
      </c>
      <c r="C49" s="126"/>
      <c r="D49" s="61"/>
      <c r="E49" s="111"/>
      <c r="F49" s="81"/>
    </row>
    <row r="50" spans="1:6" x14ac:dyDescent="0.25">
      <c r="A50" s="109">
        <v>49</v>
      </c>
      <c r="B50" s="121">
        <v>7</v>
      </c>
      <c r="C50" s="126"/>
      <c r="D50" s="61"/>
      <c r="E50" s="111"/>
      <c r="F50" s="81"/>
    </row>
    <row r="51" spans="1:6" x14ac:dyDescent="0.25">
      <c r="A51" s="109">
        <v>50</v>
      </c>
      <c r="B51" s="121">
        <v>7</v>
      </c>
      <c r="C51" s="126"/>
      <c r="D51" s="61"/>
      <c r="E51" s="111"/>
      <c r="F51" s="81"/>
    </row>
    <row r="52" spans="1:6" ht="15.75" thickBot="1" x14ac:dyDescent="0.3">
      <c r="A52" s="124">
        <v>100</v>
      </c>
      <c r="B52" s="138">
        <v>7</v>
      </c>
      <c r="C52" s="126"/>
      <c r="D52" s="61"/>
      <c r="E52" s="111"/>
      <c r="F52" s="81"/>
    </row>
    <row r="53" spans="1:6" x14ac:dyDescent="0.25">
      <c r="A53" s="111"/>
      <c r="B53" s="111"/>
      <c r="C53" s="126"/>
      <c r="D53" s="61"/>
      <c r="E53" s="111"/>
      <c r="F53" s="81"/>
    </row>
    <row r="54" spans="1:6" ht="15.75" thickBot="1" x14ac:dyDescent="0.3">
      <c r="A54" s="61"/>
      <c r="B54" s="126"/>
      <c r="C54" s="126"/>
      <c r="D54" s="61"/>
      <c r="E54" s="111"/>
      <c r="F54" s="81"/>
    </row>
    <row r="55" spans="1:6" ht="15.75" thickBot="1" x14ac:dyDescent="0.3">
      <c r="A55" s="140" t="s">
        <v>409</v>
      </c>
      <c r="B55" s="117" t="s">
        <v>118</v>
      </c>
      <c r="C55" s="126"/>
      <c r="D55" s="61"/>
      <c r="E55" s="111"/>
      <c r="F55" s="81"/>
    </row>
    <row r="56" spans="1:6" x14ac:dyDescent="0.25">
      <c r="A56" s="41">
        <v>1</v>
      </c>
      <c r="B56" s="141">
        <v>1</v>
      </c>
      <c r="C56" s="126"/>
      <c r="D56" s="61"/>
      <c r="E56" s="111"/>
      <c r="F56" s="81"/>
    </row>
    <row r="57" spans="1:6" x14ac:dyDescent="0.25">
      <c r="A57" s="41">
        <v>7</v>
      </c>
      <c r="B57" s="95">
        <v>1</v>
      </c>
      <c r="C57" s="126"/>
      <c r="D57" s="61"/>
      <c r="E57" s="111"/>
      <c r="F57" s="81"/>
    </row>
    <row r="58" spans="1:6" x14ac:dyDescent="0.25">
      <c r="A58" s="41">
        <v>8</v>
      </c>
      <c r="B58" s="95">
        <v>2</v>
      </c>
      <c r="C58" s="126"/>
      <c r="D58" s="61"/>
      <c r="E58" s="111"/>
      <c r="F58" s="81"/>
    </row>
    <row r="59" spans="1:6" x14ac:dyDescent="0.25">
      <c r="A59" s="41">
        <v>9</v>
      </c>
      <c r="B59" s="95">
        <v>3</v>
      </c>
      <c r="C59" s="126"/>
      <c r="D59" s="61"/>
      <c r="E59" s="111"/>
      <c r="F59" s="81"/>
    </row>
    <row r="60" spans="1:6" x14ac:dyDescent="0.25">
      <c r="A60" s="41">
        <v>10</v>
      </c>
      <c r="B60" s="95">
        <v>2</v>
      </c>
      <c r="C60" s="126"/>
      <c r="D60" s="61"/>
      <c r="E60" s="111"/>
      <c r="F60" s="81"/>
    </row>
    <row r="61" spans="1:6" x14ac:dyDescent="0.25">
      <c r="A61" s="41">
        <v>11</v>
      </c>
      <c r="B61" s="95">
        <v>3</v>
      </c>
      <c r="C61" s="126"/>
      <c r="D61" s="61"/>
      <c r="E61" s="111"/>
      <c r="F61" s="81"/>
    </row>
    <row r="62" spans="1:6" x14ac:dyDescent="0.25">
      <c r="A62" s="41">
        <v>12</v>
      </c>
      <c r="B62" s="95">
        <v>3</v>
      </c>
      <c r="C62" s="126"/>
      <c r="D62" s="61"/>
      <c r="E62" s="111"/>
      <c r="F62" s="81"/>
    </row>
    <row r="63" spans="1:6" x14ac:dyDescent="0.25">
      <c r="A63" s="41">
        <v>13</v>
      </c>
      <c r="B63" s="95">
        <v>3</v>
      </c>
      <c r="C63" s="126"/>
      <c r="D63" s="61"/>
      <c r="E63" s="111"/>
      <c r="F63" s="81"/>
    </row>
    <row r="64" spans="1:6" x14ac:dyDescent="0.25">
      <c r="A64" s="41">
        <v>14</v>
      </c>
      <c r="B64" s="95">
        <v>2</v>
      </c>
      <c r="C64" s="126"/>
      <c r="D64" s="61"/>
      <c r="E64" s="111"/>
      <c r="F64" s="81"/>
    </row>
    <row r="65" spans="1:6" x14ac:dyDescent="0.25">
      <c r="A65" s="41">
        <v>15</v>
      </c>
      <c r="B65" s="95">
        <v>3</v>
      </c>
      <c r="C65" s="126"/>
      <c r="D65" s="61"/>
      <c r="E65" s="111"/>
      <c r="F65" s="81"/>
    </row>
    <row r="66" spans="1:6" x14ac:dyDescent="0.25">
      <c r="A66" s="41">
        <v>16</v>
      </c>
      <c r="B66" s="95">
        <v>4</v>
      </c>
      <c r="C66" s="126"/>
      <c r="D66" s="61"/>
      <c r="E66" s="111"/>
      <c r="F66" s="81"/>
    </row>
    <row r="67" spans="1:6" x14ac:dyDescent="0.25">
      <c r="A67" s="41">
        <v>17</v>
      </c>
      <c r="B67" s="95">
        <v>4</v>
      </c>
      <c r="C67" s="126"/>
      <c r="D67" s="61"/>
      <c r="E67" s="111"/>
      <c r="F67" s="81"/>
    </row>
    <row r="68" spans="1:6" x14ac:dyDescent="0.25">
      <c r="A68" s="41">
        <v>18</v>
      </c>
      <c r="B68" s="95">
        <v>3</v>
      </c>
      <c r="C68" s="126"/>
      <c r="D68" s="61"/>
      <c r="E68" s="111"/>
      <c r="F68" s="81"/>
    </row>
    <row r="69" spans="1:6" x14ac:dyDescent="0.25">
      <c r="A69" s="41">
        <v>19</v>
      </c>
      <c r="B69" s="95">
        <v>3</v>
      </c>
      <c r="C69" s="126"/>
      <c r="D69" s="61"/>
      <c r="E69" s="111"/>
      <c r="F69" s="81"/>
    </row>
    <row r="70" spans="1:6" x14ac:dyDescent="0.25">
      <c r="A70" s="41">
        <v>20</v>
      </c>
      <c r="B70" s="95">
        <v>4</v>
      </c>
      <c r="C70" s="126"/>
      <c r="D70" s="61"/>
      <c r="E70" s="111"/>
      <c r="F70" s="81"/>
    </row>
    <row r="71" spans="1:6" x14ac:dyDescent="0.25">
      <c r="A71" s="41">
        <v>21</v>
      </c>
      <c r="B71" s="95">
        <v>3</v>
      </c>
      <c r="C71" s="126"/>
      <c r="D71" s="61"/>
      <c r="E71" s="111"/>
      <c r="F71" s="81"/>
    </row>
    <row r="72" spans="1:6" x14ac:dyDescent="0.25">
      <c r="A72" s="41">
        <v>22</v>
      </c>
      <c r="B72" s="95">
        <v>4</v>
      </c>
      <c r="C72" s="126"/>
      <c r="D72" s="61"/>
      <c r="E72" s="111"/>
      <c r="F72" s="81"/>
    </row>
    <row r="73" spans="1:6" x14ac:dyDescent="0.25">
      <c r="A73" s="41">
        <v>23</v>
      </c>
      <c r="B73" s="95">
        <v>4</v>
      </c>
      <c r="C73" s="126"/>
      <c r="D73" s="61"/>
      <c r="E73" s="111"/>
      <c r="F73" s="81"/>
    </row>
    <row r="74" spans="1:6" x14ac:dyDescent="0.25">
      <c r="A74" s="41">
        <v>24</v>
      </c>
      <c r="B74" s="95">
        <v>4</v>
      </c>
      <c r="C74" s="126"/>
      <c r="D74" s="61"/>
      <c r="E74" s="111"/>
      <c r="F74" s="81"/>
    </row>
    <row r="75" spans="1:6" x14ac:dyDescent="0.25">
      <c r="A75" s="41">
        <v>25</v>
      </c>
      <c r="B75" s="95">
        <v>5</v>
      </c>
      <c r="C75" s="126"/>
      <c r="D75" s="61"/>
      <c r="E75" s="111"/>
      <c r="F75" s="81"/>
    </row>
    <row r="76" spans="1:6" x14ac:dyDescent="0.25">
      <c r="A76" s="41">
        <v>26</v>
      </c>
      <c r="B76" s="95">
        <v>4</v>
      </c>
      <c r="C76" s="126"/>
      <c r="D76" s="61"/>
      <c r="E76" s="111"/>
      <c r="F76" s="81"/>
    </row>
    <row r="77" spans="1:6" x14ac:dyDescent="0.25">
      <c r="A77" s="41">
        <v>27</v>
      </c>
      <c r="B77" s="95">
        <v>4</v>
      </c>
      <c r="C77" s="126"/>
      <c r="D77" s="61"/>
      <c r="E77" s="111"/>
      <c r="F77" s="81"/>
    </row>
    <row r="78" spans="1:6" x14ac:dyDescent="0.25">
      <c r="A78" s="41">
        <v>28</v>
      </c>
      <c r="B78" s="95">
        <v>4</v>
      </c>
      <c r="C78" s="126"/>
      <c r="D78" s="61"/>
      <c r="E78" s="111"/>
      <c r="F78" s="81"/>
    </row>
    <row r="79" spans="1:6" x14ac:dyDescent="0.25">
      <c r="A79" s="41">
        <v>29</v>
      </c>
      <c r="B79" s="95">
        <v>5</v>
      </c>
      <c r="C79" s="126"/>
      <c r="D79" s="61"/>
      <c r="E79" s="111"/>
      <c r="F79" s="81"/>
    </row>
    <row r="80" spans="1:6" x14ac:dyDescent="0.25">
      <c r="A80" s="41">
        <v>35</v>
      </c>
      <c r="B80" s="95">
        <v>5</v>
      </c>
      <c r="C80" s="126"/>
      <c r="D80" s="61"/>
      <c r="E80" s="111"/>
      <c r="F80" s="81"/>
    </row>
    <row r="81" spans="1:6" x14ac:dyDescent="0.25">
      <c r="A81" s="41">
        <v>36</v>
      </c>
      <c r="B81" s="95">
        <v>6</v>
      </c>
      <c r="C81" s="126"/>
      <c r="D81" s="61"/>
      <c r="E81" s="111"/>
      <c r="F81" s="81"/>
    </row>
    <row r="82" spans="1:6" x14ac:dyDescent="0.25">
      <c r="A82" s="41">
        <v>42</v>
      </c>
      <c r="B82" s="95">
        <v>6</v>
      </c>
      <c r="C82" s="126"/>
      <c r="D82" s="61"/>
      <c r="E82" s="111"/>
      <c r="F82" s="81"/>
    </row>
    <row r="83" spans="1:6" x14ac:dyDescent="0.25">
      <c r="A83" s="41">
        <v>45</v>
      </c>
      <c r="B83" s="95">
        <v>9</v>
      </c>
      <c r="C83" s="126"/>
      <c r="D83" s="61"/>
      <c r="E83" s="111"/>
      <c r="F83" s="81"/>
    </row>
    <row r="84" spans="1:6" x14ac:dyDescent="0.25">
      <c r="A84" s="41">
        <v>48</v>
      </c>
      <c r="B84" s="42">
        <v>8</v>
      </c>
      <c r="C84" s="126"/>
      <c r="D84" s="61"/>
      <c r="E84" s="111"/>
      <c r="F84" s="81"/>
    </row>
    <row r="85" spans="1:6" x14ac:dyDescent="0.25">
      <c r="A85" s="95">
        <v>49</v>
      </c>
      <c r="B85" s="42">
        <v>7</v>
      </c>
      <c r="C85" s="126"/>
      <c r="D85" s="61"/>
      <c r="E85" s="111"/>
      <c r="F85" s="81"/>
    </row>
    <row r="86" spans="1:6" x14ac:dyDescent="0.25">
      <c r="A86" s="107">
        <v>50</v>
      </c>
      <c r="B86" s="67">
        <v>10</v>
      </c>
      <c r="C86" s="126"/>
      <c r="D86" s="61"/>
      <c r="E86" s="111"/>
      <c r="F86" s="81"/>
    </row>
    <row r="87" spans="1:6" x14ac:dyDescent="0.25">
      <c r="A87" s="107">
        <v>56</v>
      </c>
      <c r="B87" s="67">
        <v>8</v>
      </c>
      <c r="C87" s="126"/>
      <c r="D87" s="61"/>
      <c r="E87" s="111"/>
      <c r="F87" s="81"/>
    </row>
    <row r="88" spans="1:6" x14ac:dyDescent="0.25">
      <c r="A88" s="107">
        <v>60</v>
      </c>
      <c r="B88" s="67">
        <v>10</v>
      </c>
      <c r="C88" s="126"/>
      <c r="D88" s="61"/>
      <c r="E88" s="111"/>
      <c r="F88" s="81"/>
    </row>
    <row r="89" spans="1:6" x14ac:dyDescent="0.25">
      <c r="A89" s="107">
        <v>63</v>
      </c>
      <c r="B89" s="67">
        <v>9</v>
      </c>
      <c r="C89" s="126"/>
      <c r="D89" s="61"/>
      <c r="E89" s="111"/>
      <c r="F89" s="81"/>
    </row>
    <row r="90" spans="1:6" x14ac:dyDescent="0.25">
      <c r="A90" s="107">
        <v>66</v>
      </c>
      <c r="B90" s="67">
        <v>11</v>
      </c>
      <c r="C90" s="126"/>
      <c r="D90" s="61"/>
      <c r="E90" s="111"/>
      <c r="F90" s="81"/>
    </row>
    <row r="91" spans="1:6" x14ac:dyDescent="0.25">
      <c r="A91" s="107">
        <v>70</v>
      </c>
      <c r="B91" s="67">
        <v>10</v>
      </c>
      <c r="C91" s="126"/>
      <c r="D91" s="61"/>
      <c r="E91" s="111"/>
      <c r="F91" s="81"/>
    </row>
    <row r="92" spans="1:6" x14ac:dyDescent="0.25">
      <c r="A92" s="107">
        <v>72</v>
      </c>
      <c r="B92" s="67">
        <v>12</v>
      </c>
      <c r="C92" s="126"/>
      <c r="D92" s="61"/>
      <c r="E92" s="111"/>
      <c r="F92" s="81"/>
    </row>
    <row r="93" spans="1:6" x14ac:dyDescent="0.25">
      <c r="A93" s="107">
        <v>75</v>
      </c>
      <c r="B93" s="67">
        <v>15</v>
      </c>
      <c r="C93" s="126"/>
      <c r="D93" s="61"/>
      <c r="E93" s="111"/>
      <c r="F93" s="81"/>
    </row>
    <row r="94" spans="1:6" x14ac:dyDescent="0.25">
      <c r="A94" s="107">
        <v>77</v>
      </c>
      <c r="B94" s="67">
        <v>11</v>
      </c>
      <c r="C94" s="126"/>
      <c r="D94" s="61"/>
      <c r="E94" s="111"/>
      <c r="F94" s="81"/>
    </row>
    <row r="95" spans="1:6" x14ac:dyDescent="0.25">
      <c r="A95" s="107">
        <v>84</v>
      </c>
      <c r="B95" s="67">
        <v>12</v>
      </c>
      <c r="C95" s="126"/>
      <c r="D95" s="61"/>
      <c r="E95" s="111"/>
      <c r="F95" s="81"/>
    </row>
    <row r="96" spans="1:6" x14ac:dyDescent="0.25">
      <c r="A96" s="107">
        <v>91</v>
      </c>
      <c r="B96" s="67">
        <v>13</v>
      </c>
      <c r="C96" s="126"/>
      <c r="D96" s="61"/>
      <c r="E96" s="111"/>
      <c r="F96" s="81"/>
    </row>
    <row r="97" spans="1:6" ht="15.75" thickBot="1" x14ac:dyDescent="0.3">
      <c r="A97" s="110">
        <v>98</v>
      </c>
      <c r="B97" s="114">
        <v>14</v>
      </c>
      <c r="C97" s="126"/>
      <c r="D97" s="61"/>
      <c r="E97" s="111"/>
      <c r="F97" s="81"/>
    </row>
    <row r="98" spans="1:6" x14ac:dyDescent="0.25">
      <c r="A98" s="111"/>
      <c r="B98" s="111"/>
      <c r="C98" s="111"/>
      <c r="D98" s="61"/>
      <c r="E98" s="111"/>
      <c r="F98" s="81"/>
    </row>
    <row r="99" spans="1:6" ht="15.75" thickBot="1" x14ac:dyDescent="0.3">
      <c r="A99" s="111"/>
      <c r="B99" s="111"/>
      <c r="C99" s="111"/>
      <c r="D99" s="61"/>
      <c r="E99" s="111"/>
      <c r="F99" s="81"/>
    </row>
    <row r="100" spans="1:6" ht="15.75" thickBot="1" x14ac:dyDescent="0.3">
      <c r="A100" s="140" t="s">
        <v>156</v>
      </c>
      <c r="B100" s="117" t="s">
        <v>157</v>
      </c>
      <c r="C100" s="111"/>
      <c r="D100" s="61"/>
      <c r="E100" s="111"/>
      <c r="F100" s="81"/>
    </row>
    <row r="101" spans="1:6" x14ac:dyDescent="0.25">
      <c r="A101" s="143" t="s">
        <v>147</v>
      </c>
      <c r="B101" s="141">
        <v>64000</v>
      </c>
      <c r="C101" s="111"/>
      <c r="D101" s="61"/>
      <c r="E101" s="111"/>
      <c r="F101" s="81"/>
    </row>
    <row r="102" spans="1:6" x14ac:dyDescent="0.25">
      <c r="A102" s="41" t="s">
        <v>148</v>
      </c>
      <c r="B102" s="95">
        <v>128000</v>
      </c>
      <c r="C102" s="111"/>
      <c r="D102" s="61"/>
      <c r="E102" s="111"/>
      <c r="F102" s="81"/>
    </row>
    <row r="103" spans="1:6" x14ac:dyDescent="0.25">
      <c r="A103" s="41" t="s">
        <v>149</v>
      </c>
      <c r="B103" s="95">
        <v>192000</v>
      </c>
      <c r="C103" s="111"/>
      <c r="D103" s="61"/>
      <c r="E103" s="111"/>
      <c r="F103" s="81"/>
    </row>
    <row r="104" spans="1:6" x14ac:dyDescent="0.25">
      <c r="A104" s="41" t="s">
        <v>150</v>
      </c>
      <c r="B104" s="95">
        <v>256000</v>
      </c>
      <c r="C104" s="111"/>
      <c r="D104" s="61"/>
      <c r="E104" s="111"/>
      <c r="F104" s="81"/>
    </row>
    <row r="105" spans="1:6" x14ac:dyDescent="0.25">
      <c r="A105" s="41" t="s">
        <v>151</v>
      </c>
      <c r="B105" s="95">
        <v>384000</v>
      </c>
      <c r="C105" s="111"/>
      <c r="D105" s="61"/>
      <c r="E105" s="111"/>
      <c r="F105" s="81"/>
    </row>
    <row r="106" spans="1:6" x14ac:dyDescent="0.25">
      <c r="A106" s="41" t="s">
        <v>174</v>
      </c>
      <c r="B106" s="95">
        <v>768000</v>
      </c>
      <c r="C106" s="111"/>
      <c r="D106" s="61"/>
      <c r="E106" s="111"/>
      <c r="F106" s="81"/>
    </row>
    <row r="107" spans="1:6" x14ac:dyDescent="0.25">
      <c r="A107" s="41" t="s">
        <v>182</v>
      </c>
      <c r="B107" s="95">
        <v>1544000</v>
      </c>
      <c r="C107" s="111"/>
      <c r="D107" s="61"/>
      <c r="E107" s="111"/>
      <c r="F107" s="81"/>
    </row>
    <row r="108" spans="1:6" x14ac:dyDescent="0.25">
      <c r="A108" s="41" t="s">
        <v>183</v>
      </c>
      <c r="B108" s="95">
        <v>2048000</v>
      </c>
      <c r="C108" s="111"/>
      <c r="D108" s="61"/>
      <c r="E108" s="111"/>
      <c r="F108" s="81"/>
    </row>
    <row r="109" spans="1:6" x14ac:dyDescent="0.25">
      <c r="A109" s="41" t="s">
        <v>184</v>
      </c>
      <c r="B109" s="95">
        <v>6312000</v>
      </c>
      <c r="C109" s="111"/>
      <c r="D109" s="61"/>
      <c r="E109" s="111"/>
      <c r="F109" s="81"/>
    </row>
    <row r="110" spans="1:6" x14ac:dyDescent="0.25">
      <c r="A110" s="41" t="s">
        <v>185</v>
      </c>
      <c r="B110" s="95">
        <v>8448000</v>
      </c>
      <c r="C110" s="111"/>
      <c r="D110" s="61"/>
      <c r="E110" s="111"/>
      <c r="F110" s="81"/>
    </row>
    <row r="111" spans="1:6" x14ac:dyDescent="0.25">
      <c r="A111" s="41" t="s">
        <v>152</v>
      </c>
      <c r="B111" s="95">
        <v>10000000</v>
      </c>
      <c r="D111" s="58"/>
      <c r="E111" s="111"/>
      <c r="F111" s="81"/>
    </row>
    <row r="112" spans="1:6" x14ac:dyDescent="0.25">
      <c r="A112" s="41" t="s">
        <v>162</v>
      </c>
      <c r="B112" s="95">
        <v>16000000</v>
      </c>
      <c r="C112" s="111"/>
      <c r="D112" s="61"/>
      <c r="E112" s="111"/>
      <c r="F112" s="81"/>
    </row>
    <row r="113" spans="1:6" x14ac:dyDescent="0.25">
      <c r="A113" s="41" t="s">
        <v>186</v>
      </c>
      <c r="B113" s="95">
        <v>34368000</v>
      </c>
      <c r="C113" s="111"/>
      <c r="D113" s="61"/>
      <c r="E113" s="111"/>
      <c r="F113" s="81"/>
    </row>
    <row r="114" spans="1:6" x14ac:dyDescent="0.25">
      <c r="A114" s="41" t="s">
        <v>187</v>
      </c>
      <c r="B114" s="95">
        <v>44736000</v>
      </c>
      <c r="C114" s="111"/>
      <c r="D114" s="61"/>
      <c r="E114" s="111"/>
      <c r="F114" s="81"/>
    </row>
    <row r="115" spans="1:6" x14ac:dyDescent="0.25">
      <c r="A115" s="41" t="s">
        <v>465</v>
      </c>
      <c r="B115" s="107">
        <v>50000000</v>
      </c>
      <c r="C115" s="111"/>
      <c r="D115" s="61"/>
      <c r="E115" s="111"/>
      <c r="F115" s="81"/>
    </row>
    <row r="116" spans="1:6" x14ac:dyDescent="0.25">
      <c r="A116" s="43" t="s">
        <v>188</v>
      </c>
      <c r="B116" s="67">
        <v>51840000</v>
      </c>
      <c r="C116" s="111"/>
      <c r="D116" s="61"/>
      <c r="E116" s="111"/>
      <c r="F116" s="81"/>
    </row>
    <row r="117" spans="1:6" x14ac:dyDescent="0.25">
      <c r="A117" s="95" t="s">
        <v>154</v>
      </c>
      <c r="B117" s="42">
        <v>100000000</v>
      </c>
      <c r="C117" s="111"/>
      <c r="D117" s="61"/>
      <c r="E117" s="111"/>
      <c r="F117" s="81"/>
    </row>
    <row r="118" spans="1:6" x14ac:dyDescent="0.25">
      <c r="A118" s="95" t="s">
        <v>466</v>
      </c>
      <c r="B118" s="42">
        <v>150000000</v>
      </c>
      <c r="C118" s="111"/>
      <c r="D118" s="61"/>
      <c r="E118" s="111"/>
      <c r="F118" s="81"/>
    </row>
    <row r="119" spans="1:6" x14ac:dyDescent="0.25">
      <c r="A119" s="95" t="s">
        <v>189</v>
      </c>
      <c r="B119" s="42">
        <v>155520000</v>
      </c>
      <c r="C119" s="111"/>
      <c r="D119" s="61"/>
      <c r="E119" s="111"/>
      <c r="F119" s="81"/>
    </row>
    <row r="120" spans="1:6" x14ac:dyDescent="0.25">
      <c r="A120" s="95" t="s">
        <v>467</v>
      </c>
      <c r="B120" s="42">
        <v>300000000</v>
      </c>
      <c r="C120" s="111"/>
      <c r="D120" s="61"/>
      <c r="E120" s="111"/>
      <c r="F120" s="81"/>
    </row>
    <row r="121" spans="1:6" x14ac:dyDescent="0.25">
      <c r="A121" s="95" t="s">
        <v>468</v>
      </c>
      <c r="B121" s="42">
        <v>450000000</v>
      </c>
      <c r="C121" s="111"/>
      <c r="D121" s="61"/>
      <c r="E121" s="111"/>
      <c r="F121" s="81"/>
    </row>
    <row r="122" spans="1:6" x14ac:dyDescent="0.25">
      <c r="A122" s="95" t="s">
        <v>469</v>
      </c>
      <c r="B122" s="42">
        <v>600000000</v>
      </c>
      <c r="C122" s="111"/>
      <c r="D122" s="61"/>
      <c r="E122" s="111"/>
      <c r="F122" s="81"/>
    </row>
    <row r="123" spans="1:6" x14ac:dyDescent="0.25">
      <c r="A123" s="42" t="s">
        <v>190</v>
      </c>
      <c r="B123" s="42">
        <v>622080000</v>
      </c>
      <c r="C123" s="111"/>
      <c r="D123" s="61"/>
      <c r="E123" s="111"/>
      <c r="F123" s="81"/>
    </row>
    <row r="124" spans="1:6" x14ac:dyDescent="0.25">
      <c r="A124" s="95" t="s">
        <v>155</v>
      </c>
      <c r="B124" s="95">
        <v>1000000000</v>
      </c>
      <c r="C124" s="111"/>
      <c r="D124" s="61"/>
      <c r="E124" s="111"/>
      <c r="F124" s="81"/>
    </row>
    <row r="125" spans="1:6" x14ac:dyDescent="0.25">
      <c r="A125" s="42" t="s">
        <v>192</v>
      </c>
      <c r="B125" s="42">
        <v>1243680000</v>
      </c>
      <c r="C125" s="111"/>
      <c r="D125" s="61"/>
      <c r="E125" s="111"/>
      <c r="F125" s="81"/>
    </row>
    <row r="126" spans="1:6" x14ac:dyDescent="0.25">
      <c r="A126" s="48" t="s">
        <v>191</v>
      </c>
      <c r="B126" s="67">
        <v>2488320000</v>
      </c>
      <c r="C126" s="111"/>
      <c r="D126" s="61"/>
      <c r="E126" s="111"/>
      <c r="F126" s="81"/>
    </row>
    <row r="127" spans="1:6" x14ac:dyDescent="0.25">
      <c r="A127" s="48" t="s">
        <v>193</v>
      </c>
      <c r="B127" s="67">
        <v>4976640000</v>
      </c>
      <c r="C127" s="111"/>
      <c r="D127" s="61"/>
      <c r="E127" s="111"/>
      <c r="F127" s="81"/>
    </row>
    <row r="128" spans="1:6" ht="15.75" thickBot="1" x14ac:dyDescent="0.3">
      <c r="A128" s="114" t="s">
        <v>168</v>
      </c>
      <c r="B128" s="114">
        <v>10000000000</v>
      </c>
      <c r="C128" s="111"/>
      <c r="D128" s="61"/>
      <c r="E128" s="111"/>
      <c r="F128" s="81"/>
    </row>
    <row r="129" spans="1:6" x14ac:dyDescent="0.25">
      <c r="A129" s="111"/>
      <c r="B129" s="111"/>
      <c r="C129" s="111"/>
      <c r="D129" s="61"/>
      <c r="E129" s="111"/>
      <c r="F129" s="81"/>
    </row>
    <row r="130" spans="1:6" ht="15.75" thickBot="1" x14ac:dyDescent="0.3">
      <c r="A130" s="111"/>
      <c r="B130" s="111"/>
      <c r="C130" s="111"/>
      <c r="D130" s="61"/>
      <c r="E130" s="111"/>
      <c r="F130" s="81"/>
    </row>
    <row r="131" spans="1:6" ht="15.75" thickBot="1" x14ac:dyDescent="0.3">
      <c r="A131" s="140" t="s">
        <v>180</v>
      </c>
      <c r="B131" s="117" t="s">
        <v>176</v>
      </c>
      <c r="C131" s="111"/>
      <c r="D131" s="61"/>
      <c r="E131" s="111"/>
      <c r="F131" s="81"/>
    </row>
    <row r="132" spans="1:6" x14ac:dyDescent="0.25">
      <c r="A132" s="144" t="s">
        <v>25</v>
      </c>
      <c r="B132" s="76" t="s">
        <v>161</v>
      </c>
      <c r="C132" s="111"/>
      <c r="D132" s="61"/>
      <c r="E132" s="111"/>
      <c r="F132" s="81"/>
    </row>
    <row r="133" spans="1:6" x14ac:dyDescent="0.25">
      <c r="A133" s="104">
        <v>0</v>
      </c>
      <c r="B133" s="103" t="s">
        <v>161</v>
      </c>
      <c r="C133" s="111"/>
      <c r="D133" s="61"/>
      <c r="E133" s="111"/>
      <c r="F133" s="81"/>
    </row>
    <row r="134" spans="1:6" x14ac:dyDescent="0.25">
      <c r="A134" s="104">
        <v>65535</v>
      </c>
      <c r="B134" s="103" t="s">
        <v>161</v>
      </c>
      <c r="C134" s="111"/>
      <c r="D134" s="61"/>
      <c r="E134" s="111"/>
      <c r="F134" s="81"/>
    </row>
    <row r="135" spans="1:6" x14ac:dyDescent="0.25">
      <c r="A135" s="104">
        <v>65536</v>
      </c>
      <c r="B135" s="103">
        <v>131070</v>
      </c>
      <c r="C135" s="111"/>
      <c r="D135" s="61"/>
      <c r="E135" s="111"/>
      <c r="F135" s="81"/>
    </row>
    <row r="136" spans="1:6" x14ac:dyDescent="0.25">
      <c r="A136" s="103">
        <v>131070</v>
      </c>
      <c r="B136" s="103">
        <v>131070</v>
      </c>
      <c r="C136" s="111"/>
      <c r="D136" s="61"/>
      <c r="E136" s="111"/>
      <c r="F136" s="81"/>
    </row>
    <row r="137" spans="1:6" x14ac:dyDescent="0.25">
      <c r="A137" s="103">
        <v>131071</v>
      </c>
      <c r="B137" s="145">
        <v>262140</v>
      </c>
      <c r="C137" s="111"/>
      <c r="D137" s="61"/>
      <c r="E137" s="111"/>
      <c r="F137" s="81"/>
    </row>
    <row r="138" spans="1:6" x14ac:dyDescent="0.25">
      <c r="A138" s="146">
        <v>262140</v>
      </c>
      <c r="B138" s="145">
        <v>262140</v>
      </c>
      <c r="C138" s="111"/>
      <c r="D138" s="61"/>
      <c r="E138" s="111"/>
      <c r="F138" s="81"/>
    </row>
    <row r="139" spans="1:6" x14ac:dyDescent="0.25">
      <c r="A139" s="146">
        <v>262141</v>
      </c>
      <c r="B139" s="145">
        <v>524280</v>
      </c>
      <c r="C139" s="111"/>
      <c r="D139" s="61"/>
      <c r="E139" s="111"/>
      <c r="F139" s="81"/>
    </row>
    <row r="140" spans="1:6" x14ac:dyDescent="0.25">
      <c r="A140" s="146">
        <v>524280</v>
      </c>
      <c r="B140" s="145">
        <v>524280</v>
      </c>
      <c r="C140" s="111"/>
      <c r="D140" s="61"/>
      <c r="E140" s="111"/>
      <c r="F140" s="81"/>
    </row>
    <row r="141" spans="1:6" x14ac:dyDescent="0.25">
      <c r="A141" s="146">
        <v>524281</v>
      </c>
      <c r="B141" s="145">
        <v>1048560</v>
      </c>
      <c r="C141" s="111"/>
      <c r="D141" s="61"/>
      <c r="E141" s="111"/>
      <c r="F141" s="81"/>
    </row>
    <row r="142" spans="1:6" x14ac:dyDescent="0.25">
      <c r="A142" s="146">
        <v>1048560</v>
      </c>
      <c r="B142" s="145">
        <v>1048560</v>
      </c>
      <c r="C142" s="111"/>
      <c r="D142" s="61"/>
      <c r="E142" s="111"/>
      <c r="F142" s="81"/>
    </row>
    <row r="143" spans="1:6" x14ac:dyDescent="0.25">
      <c r="A143" s="146">
        <v>1048561</v>
      </c>
      <c r="B143" s="145">
        <v>2097120</v>
      </c>
      <c r="C143" s="111"/>
      <c r="D143" s="61"/>
      <c r="E143" s="111"/>
      <c r="F143" s="81"/>
    </row>
    <row r="144" spans="1:6" x14ac:dyDescent="0.25">
      <c r="A144" s="146">
        <v>2097120</v>
      </c>
      <c r="B144" s="145">
        <v>2097120</v>
      </c>
      <c r="C144" s="111"/>
      <c r="D144" s="61"/>
      <c r="E144" s="111"/>
      <c r="F144" s="81"/>
    </row>
    <row r="145" spans="1:6" x14ac:dyDescent="0.25">
      <c r="A145" s="146">
        <v>2097121</v>
      </c>
      <c r="B145" s="145">
        <v>4194240</v>
      </c>
      <c r="C145" s="111"/>
      <c r="D145" s="61"/>
      <c r="E145" s="111"/>
      <c r="F145" s="81"/>
    </row>
    <row r="146" spans="1:6" x14ac:dyDescent="0.25">
      <c r="A146" s="145">
        <v>4194240</v>
      </c>
      <c r="B146" s="145">
        <v>4194240</v>
      </c>
      <c r="C146" s="111"/>
      <c r="D146" s="61"/>
      <c r="E146" s="111"/>
      <c r="F146" s="81"/>
    </row>
    <row r="147" spans="1:6" x14ac:dyDescent="0.25">
      <c r="A147" s="145">
        <v>4194241</v>
      </c>
      <c r="B147" s="145">
        <v>8388480</v>
      </c>
      <c r="C147" s="111"/>
      <c r="D147" s="61"/>
      <c r="E147" s="111"/>
      <c r="F147" s="81"/>
    </row>
    <row r="148" spans="1:6" x14ac:dyDescent="0.25">
      <c r="A148" s="145">
        <v>8388480</v>
      </c>
      <c r="B148" s="145">
        <v>8388480</v>
      </c>
      <c r="C148" s="111"/>
      <c r="D148" s="61"/>
      <c r="E148" s="111"/>
      <c r="F148" s="81"/>
    </row>
    <row r="149" spans="1:6" x14ac:dyDescent="0.25">
      <c r="A149" s="145">
        <v>8388481</v>
      </c>
      <c r="B149" s="145">
        <v>16776960</v>
      </c>
      <c r="C149" s="111"/>
      <c r="D149" s="61"/>
      <c r="E149" s="111"/>
      <c r="F149" s="81"/>
    </row>
    <row r="150" spans="1:6" x14ac:dyDescent="0.25">
      <c r="A150" s="145">
        <v>16776960</v>
      </c>
      <c r="B150" s="145">
        <v>16776960</v>
      </c>
      <c r="C150" s="111"/>
      <c r="D150" s="61"/>
      <c r="E150" s="111"/>
      <c r="F150" s="81"/>
    </row>
    <row r="151" spans="1:6" x14ac:dyDescent="0.25">
      <c r="A151" s="145">
        <v>16776961</v>
      </c>
      <c r="B151" s="145">
        <v>33553920</v>
      </c>
      <c r="C151" s="111"/>
      <c r="D151" s="61"/>
      <c r="E151" s="111"/>
      <c r="F151" s="81"/>
    </row>
    <row r="152" spans="1:6" x14ac:dyDescent="0.25">
      <c r="A152" s="145">
        <v>33553920</v>
      </c>
      <c r="B152" s="145">
        <v>33553920</v>
      </c>
      <c r="C152" s="111"/>
      <c r="D152" s="61"/>
      <c r="E152" s="111"/>
      <c r="F152" s="81"/>
    </row>
    <row r="153" spans="1:6" x14ac:dyDescent="0.25">
      <c r="A153" s="145">
        <v>33553921</v>
      </c>
      <c r="B153" s="145">
        <v>67107840</v>
      </c>
      <c r="C153" s="111"/>
      <c r="D153" s="61"/>
      <c r="E153" s="111"/>
      <c r="F153" s="81"/>
    </row>
    <row r="154" spans="1:6" x14ac:dyDescent="0.25">
      <c r="A154" s="145">
        <v>67107840</v>
      </c>
      <c r="B154" s="145">
        <v>67107840</v>
      </c>
      <c r="C154" s="111"/>
      <c r="D154" s="61"/>
      <c r="E154" s="111"/>
      <c r="F154" s="81"/>
    </row>
    <row r="155" spans="1:6" x14ac:dyDescent="0.25">
      <c r="A155" s="145">
        <v>67107841</v>
      </c>
      <c r="B155" s="145">
        <v>134215680</v>
      </c>
      <c r="C155" s="111"/>
      <c r="D155" s="61"/>
      <c r="E155" s="111"/>
      <c r="F155" s="81"/>
    </row>
    <row r="156" spans="1:6" x14ac:dyDescent="0.25">
      <c r="A156" s="145">
        <v>134215680</v>
      </c>
      <c r="B156" s="145">
        <v>134215680</v>
      </c>
      <c r="C156" s="111"/>
      <c r="D156" s="61"/>
      <c r="E156" s="111"/>
      <c r="F156" s="81"/>
    </row>
    <row r="157" spans="1:6" x14ac:dyDescent="0.25">
      <c r="A157" s="145">
        <v>134215681</v>
      </c>
      <c r="B157" s="145">
        <v>268431360</v>
      </c>
      <c r="C157" s="111"/>
      <c r="D157" s="61"/>
      <c r="E157" s="111"/>
      <c r="F157" s="81"/>
    </row>
    <row r="158" spans="1:6" x14ac:dyDescent="0.25">
      <c r="A158" s="145">
        <v>268431360</v>
      </c>
      <c r="B158" s="145">
        <v>268431360</v>
      </c>
      <c r="C158" s="111"/>
      <c r="D158" s="61"/>
      <c r="E158" s="111"/>
      <c r="F158" s="81"/>
    </row>
    <row r="159" spans="1:6" x14ac:dyDescent="0.25">
      <c r="A159" s="145">
        <v>268431361</v>
      </c>
      <c r="B159" s="145">
        <v>536862720</v>
      </c>
      <c r="C159" s="111"/>
      <c r="D159" s="61"/>
      <c r="E159" s="111"/>
      <c r="F159" s="81"/>
    </row>
    <row r="160" spans="1:6" x14ac:dyDescent="0.25">
      <c r="A160" s="145">
        <v>536862720</v>
      </c>
      <c r="B160" s="145">
        <v>536862720</v>
      </c>
      <c r="C160" s="111"/>
      <c r="D160" s="61"/>
      <c r="E160" s="111"/>
      <c r="F160" s="81"/>
    </row>
    <row r="161" spans="1:6" x14ac:dyDescent="0.25">
      <c r="A161" s="145">
        <v>536862721</v>
      </c>
      <c r="B161" s="145">
        <v>1073725440</v>
      </c>
      <c r="C161" s="111"/>
      <c r="D161" s="61"/>
      <c r="E161" s="111"/>
      <c r="F161" s="81"/>
    </row>
    <row r="162" spans="1:6" ht="15.75" thickBot="1" x14ac:dyDescent="0.3">
      <c r="A162" s="50">
        <v>1073725440</v>
      </c>
      <c r="B162" s="50">
        <v>1073725440</v>
      </c>
      <c r="C162" s="111"/>
      <c r="D162" s="61"/>
      <c r="E162" s="111"/>
      <c r="F162" s="81"/>
    </row>
    <row r="163" spans="1:6" ht="15.75" thickBot="1" x14ac:dyDescent="0.3">
      <c r="A163" s="111"/>
      <c r="B163" s="111"/>
      <c r="C163" s="111"/>
      <c r="D163" s="88"/>
      <c r="E163" s="111"/>
      <c r="F163" s="81"/>
    </row>
    <row r="164" spans="1:6" ht="15.75" thickBot="1" x14ac:dyDescent="0.3">
      <c r="A164" s="117" t="s">
        <v>61</v>
      </c>
      <c r="B164" s="125" t="s">
        <v>49</v>
      </c>
      <c r="C164" s="119" t="s">
        <v>50</v>
      </c>
      <c r="D164" s="147" t="s">
        <v>56</v>
      </c>
      <c r="E164" s="111"/>
      <c r="F164" s="81"/>
    </row>
    <row r="165" spans="1:6" x14ac:dyDescent="0.25">
      <c r="A165" s="148" t="s">
        <v>63</v>
      </c>
      <c r="B165" s="149">
        <v>1</v>
      </c>
      <c r="C165" s="149">
        <v>1</v>
      </c>
      <c r="D165" s="148">
        <v>2</v>
      </c>
      <c r="E165" s="111"/>
      <c r="F165" s="81"/>
    </row>
    <row r="166" spans="1:6" x14ac:dyDescent="0.25">
      <c r="A166" s="150" t="s">
        <v>60</v>
      </c>
      <c r="B166" s="109">
        <v>2</v>
      </c>
      <c r="C166" s="109">
        <v>2</v>
      </c>
      <c r="D166" s="151">
        <v>4</v>
      </c>
      <c r="E166" s="111"/>
      <c r="F166" s="81"/>
    </row>
    <row r="167" spans="1:6" x14ac:dyDescent="0.25">
      <c r="A167" s="150" t="s">
        <v>261</v>
      </c>
      <c r="B167" s="151">
        <v>3</v>
      </c>
      <c r="C167" s="151">
        <v>3</v>
      </c>
      <c r="D167" s="151">
        <v>6</v>
      </c>
      <c r="E167" s="111"/>
      <c r="F167" s="81"/>
    </row>
    <row r="168" spans="1:6" ht="15.75" thickBot="1" x14ac:dyDescent="0.3">
      <c r="A168" s="152" t="s">
        <v>59</v>
      </c>
      <c r="B168" s="153">
        <v>4</v>
      </c>
      <c r="C168" s="153">
        <v>4</v>
      </c>
      <c r="D168" s="153">
        <v>8</v>
      </c>
      <c r="E168" s="111"/>
      <c r="F168" s="81"/>
    </row>
    <row r="169" spans="1:6" x14ac:dyDescent="0.25">
      <c r="A169" s="154"/>
      <c r="B169" s="61"/>
      <c r="C169" s="135"/>
      <c r="D169" s="135"/>
      <c r="E169" s="61"/>
      <c r="F169" s="81"/>
    </row>
    <row r="170" spans="1:6" ht="15.75" thickBot="1" x14ac:dyDescent="0.3">
      <c r="A170" s="169"/>
      <c r="B170" s="61"/>
      <c r="C170" s="88"/>
      <c r="D170" s="88"/>
      <c r="E170" s="61"/>
      <c r="F170" s="81"/>
    </row>
    <row r="171" spans="1:6" ht="15.75" thickBot="1" x14ac:dyDescent="0.3">
      <c r="A171" s="117" t="s">
        <v>41</v>
      </c>
      <c r="B171" s="125" t="s">
        <v>49</v>
      </c>
      <c r="C171" s="119" t="s">
        <v>50</v>
      </c>
      <c r="D171" s="147" t="s">
        <v>56</v>
      </c>
      <c r="E171" s="111"/>
      <c r="F171" s="81"/>
    </row>
    <row r="172" spans="1:6" x14ac:dyDescent="0.25">
      <c r="A172" s="139" t="s">
        <v>101</v>
      </c>
      <c r="B172" s="139">
        <v>2</v>
      </c>
      <c r="C172" s="139">
        <v>1</v>
      </c>
      <c r="D172" s="155">
        <v>3</v>
      </c>
      <c r="E172" s="111"/>
      <c r="F172" s="81"/>
    </row>
    <row r="173" spans="1:6" x14ac:dyDescent="0.25">
      <c r="A173" s="843" t="s">
        <v>39</v>
      </c>
      <c r="B173" s="157">
        <v>3</v>
      </c>
      <c r="C173" s="157">
        <v>1</v>
      </c>
      <c r="D173" s="151">
        <v>4</v>
      </c>
      <c r="E173" s="111"/>
      <c r="F173" s="81"/>
    </row>
    <row r="174" spans="1:6" x14ac:dyDescent="0.25">
      <c r="A174" s="843" t="s">
        <v>46</v>
      </c>
      <c r="B174" s="157">
        <v>4</v>
      </c>
      <c r="C174" s="157">
        <v>1</v>
      </c>
      <c r="D174" s="151">
        <v>5</v>
      </c>
      <c r="E174" s="111"/>
      <c r="F174" s="81"/>
    </row>
    <row r="175" spans="1:6" x14ac:dyDescent="0.25">
      <c r="A175" s="843" t="s">
        <v>100</v>
      </c>
      <c r="B175" s="157">
        <v>5</v>
      </c>
      <c r="C175" s="157">
        <v>1</v>
      </c>
      <c r="D175" s="151">
        <v>6</v>
      </c>
      <c r="E175" s="111"/>
      <c r="F175" s="81"/>
    </row>
    <row r="176" spans="1:6" x14ac:dyDescent="0.25">
      <c r="A176" s="843" t="s">
        <v>47</v>
      </c>
      <c r="B176" s="157">
        <v>6</v>
      </c>
      <c r="C176" s="157">
        <v>1</v>
      </c>
      <c r="D176" s="157">
        <v>7</v>
      </c>
      <c r="E176" s="111"/>
      <c r="F176" s="81"/>
    </row>
    <row r="177" spans="1:6" x14ac:dyDescent="0.25">
      <c r="A177" s="843" t="s">
        <v>40</v>
      </c>
      <c r="B177" s="157">
        <v>7</v>
      </c>
      <c r="C177" s="157">
        <v>1</v>
      </c>
      <c r="D177" s="121">
        <v>8</v>
      </c>
      <c r="E177" s="111"/>
      <c r="F177" s="81"/>
    </row>
    <row r="178" spans="1:6" x14ac:dyDescent="0.25">
      <c r="A178" s="150" t="s">
        <v>48</v>
      </c>
      <c r="B178" s="151">
        <v>8</v>
      </c>
      <c r="C178" s="151">
        <v>1</v>
      </c>
      <c r="D178" s="121">
        <v>9</v>
      </c>
      <c r="E178" s="111"/>
      <c r="F178" s="81"/>
    </row>
    <row r="179" spans="1:6" x14ac:dyDescent="0.25">
      <c r="A179" s="150" t="s">
        <v>236</v>
      </c>
      <c r="B179" s="151">
        <v>9</v>
      </c>
      <c r="C179" s="151">
        <v>1</v>
      </c>
      <c r="D179" s="121">
        <v>10</v>
      </c>
      <c r="E179" s="111"/>
      <c r="F179" s="81"/>
    </row>
    <row r="180" spans="1:6" x14ac:dyDescent="0.25">
      <c r="A180" s="150" t="s">
        <v>237</v>
      </c>
      <c r="B180" s="151">
        <v>10</v>
      </c>
      <c r="C180" s="151">
        <v>1</v>
      </c>
      <c r="D180" s="121">
        <v>11</v>
      </c>
      <c r="E180" s="111"/>
      <c r="F180" s="81"/>
    </row>
    <row r="181" spans="1:6" x14ac:dyDescent="0.25">
      <c r="A181" s="150" t="s">
        <v>238</v>
      </c>
      <c r="B181" s="151">
        <v>11</v>
      </c>
      <c r="C181" s="151">
        <v>1</v>
      </c>
      <c r="D181" s="121">
        <v>12</v>
      </c>
      <c r="E181" s="111"/>
      <c r="F181" s="81"/>
    </row>
    <row r="182" spans="1:6" x14ac:dyDescent="0.25">
      <c r="A182" s="150" t="s">
        <v>239</v>
      </c>
      <c r="B182" s="151">
        <v>12</v>
      </c>
      <c r="C182" s="151">
        <v>1</v>
      </c>
      <c r="D182" s="121">
        <v>13</v>
      </c>
      <c r="E182" s="111"/>
      <c r="F182" s="81"/>
    </row>
    <row r="183" spans="1:6" x14ac:dyDescent="0.25">
      <c r="A183" s="150" t="s">
        <v>240</v>
      </c>
      <c r="B183" s="151">
        <v>13</v>
      </c>
      <c r="C183" s="151">
        <v>1</v>
      </c>
      <c r="D183" s="121">
        <v>14</v>
      </c>
      <c r="E183" s="111"/>
      <c r="F183" s="81"/>
    </row>
    <row r="184" spans="1:6" x14ac:dyDescent="0.25">
      <c r="A184" s="150" t="s">
        <v>241</v>
      </c>
      <c r="B184" s="151">
        <v>14</v>
      </c>
      <c r="C184" s="151">
        <v>1</v>
      </c>
      <c r="D184" s="121">
        <v>15</v>
      </c>
      <c r="E184" s="111"/>
      <c r="F184" s="81"/>
    </row>
    <row r="185" spans="1:6" x14ac:dyDescent="0.25">
      <c r="A185" s="150" t="s">
        <v>242</v>
      </c>
      <c r="B185" s="151">
        <v>15</v>
      </c>
      <c r="C185" s="151">
        <v>1</v>
      </c>
      <c r="D185" s="121">
        <v>16</v>
      </c>
      <c r="E185" s="111"/>
      <c r="F185" s="81"/>
    </row>
    <row r="186" spans="1:6" x14ac:dyDescent="0.25">
      <c r="A186" s="150" t="s">
        <v>243</v>
      </c>
      <c r="B186" s="151">
        <v>16</v>
      </c>
      <c r="C186" s="151">
        <v>1</v>
      </c>
      <c r="D186" s="121">
        <v>17</v>
      </c>
      <c r="E186" s="111"/>
      <c r="F186" s="81"/>
    </row>
    <row r="187" spans="1:6" x14ac:dyDescent="0.25">
      <c r="A187" s="150" t="s">
        <v>244</v>
      </c>
      <c r="B187" s="151">
        <v>17</v>
      </c>
      <c r="C187" s="151">
        <v>1</v>
      </c>
      <c r="D187" s="121">
        <v>18</v>
      </c>
      <c r="E187" s="111"/>
      <c r="F187" s="81"/>
    </row>
    <row r="188" spans="1:6" x14ac:dyDescent="0.25">
      <c r="A188" s="150" t="s">
        <v>245</v>
      </c>
      <c r="B188" s="151">
        <v>18</v>
      </c>
      <c r="C188" s="151">
        <v>1</v>
      </c>
      <c r="D188" s="121">
        <v>19</v>
      </c>
      <c r="E188" s="111"/>
      <c r="F188" s="81"/>
    </row>
    <row r="189" spans="1:6" x14ac:dyDescent="0.25">
      <c r="A189" s="150" t="s">
        <v>246</v>
      </c>
      <c r="B189" s="151">
        <v>19</v>
      </c>
      <c r="C189" s="151">
        <v>1</v>
      </c>
      <c r="D189" s="121">
        <v>20</v>
      </c>
      <c r="E189" s="111"/>
      <c r="F189" s="81"/>
    </row>
    <row r="190" spans="1:6" ht="15.75" thickBot="1" x14ac:dyDescent="0.3">
      <c r="A190" s="152" t="s">
        <v>247</v>
      </c>
      <c r="B190" s="153">
        <v>20</v>
      </c>
      <c r="C190" s="153">
        <v>1</v>
      </c>
      <c r="D190" s="153">
        <v>21</v>
      </c>
      <c r="E190" s="111"/>
      <c r="F190" s="81"/>
    </row>
    <row r="191" spans="1:6" x14ac:dyDescent="0.25">
      <c r="A191" s="167"/>
      <c r="B191" s="128"/>
      <c r="C191" s="131"/>
      <c r="D191" s="131"/>
      <c r="E191" s="111"/>
      <c r="F191" s="81"/>
    </row>
    <row r="192" spans="1:6" ht="15.75" thickBot="1" x14ac:dyDescent="0.3">
      <c r="A192" s="167"/>
      <c r="B192" s="128"/>
      <c r="C192" s="128"/>
      <c r="D192" s="116"/>
      <c r="E192" s="111"/>
      <c r="F192" s="81"/>
    </row>
    <row r="193" spans="1:6" ht="15.75" thickBot="1" x14ac:dyDescent="0.3">
      <c r="A193" s="117" t="s">
        <v>42</v>
      </c>
      <c r="B193" s="125" t="s">
        <v>49</v>
      </c>
      <c r="C193" s="119" t="s">
        <v>50</v>
      </c>
      <c r="D193" s="147" t="s">
        <v>56</v>
      </c>
      <c r="E193" s="111"/>
      <c r="F193" s="81"/>
    </row>
    <row r="194" spans="1:6" ht="15.75" thickBot="1" x14ac:dyDescent="0.3">
      <c r="A194" s="160" t="s">
        <v>773</v>
      </c>
      <c r="B194" s="727">
        <v>4</v>
      </c>
      <c r="C194" s="728">
        <v>2</v>
      </c>
      <c r="D194" s="729">
        <v>6</v>
      </c>
      <c r="E194" s="111"/>
      <c r="F194" s="81"/>
    </row>
    <row r="195" spans="1:6" ht="15.75" thickBot="1" x14ac:dyDescent="0.3">
      <c r="A195" s="160" t="s">
        <v>43</v>
      </c>
      <c r="B195" s="727">
        <v>6</v>
      </c>
      <c r="C195" s="728">
        <v>2</v>
      </c>
      <c r="D195" s="729">
        <v>8</v>
      </c>
      <c r="E195" s="111"/>
      <c r="F195" s="81"/>
    </row>
    <row r="196" spans="1:6" ht="15.75" thickBot="1" x14ac:dyDescent="0.3">
      <c r="A196" s="160" t="s">
        <v>774</v>
      </c>
      <c r="B196" s="161">
        <v>8</v>
      </c>
      <c r="C196" s="162">
        <v>2</v>
      </c>
      <c r="D196" s="163">
        <v>10</v>
      </c>
      <c r="E196" s="111"/>
      <c r="F196" s="81"/>
    </row>
    <row r="197" spans="1:6" x14ac:dyDescent="0.25">
      <c r="A197" s="96"/>
      <c r="B197" s="33"/>
      <c r="C197" s="33"/>
      <c r="D197" s="433"/>
      <c r="E197" s="111"/>
      <c r="F197" s="81"/>
    </row>
    <row r="198" spans="1:6" ht="15.75" thickBot="1" x14ac:dyDescent="0.3">
      <c r="A198" s="96"/>
      <c r="B198" s="33"/>
      <c r="C198" s="33"/>
      <c r="D198" s="33"/>
      <c r="E198" s="111"/>
      <c r="F198" s="81"/>
    </row>
    <row r="199" spans="1:6" ht="15.75" thickBot="1" x14ac:dyDescent="0.3">
      <c r="A199" s="117" t="s">
        <v>77</v>
      </c>
      <c r="B199" s="117" t="s">
        <v>131</v>
      </c>
      <c r="C199" s="128"/>
      <c r="D199" s="128"/>
      <c r="E199" s="111"/>
      <c r="F199" s="81"/>
    </row>
    <row r="200" spans="1:6" x14ac:dyDescent="0.25">
      <c r="A200" s="164" t="s">
        <v>25</v>
      </c>
      <c r="B200" s="165" t="s">
        <v>25</v>
      </c>
      <c r="C200" s="128"/>
      <c r="D200" s="128"/>
      <c r="E200" s="111"/>
      <c r="F200" s="81"/>
    </row>
    <row r="201" spans="1:6" x14ac:dyDescent="0.25">
      <c r="A201" s="105" t="s">
        <v>124</v>
      </c>
      <c r="B201" s="107">
        <v>36</v>
      </c>
      <c r="C201" s="128"/>
      <c r="D201" s="128"/>
      <c r="E201" s="111"/>
      <c r="F201" s="81"/>
    </row>
    <row r="202" spans="1:6" x14ac:dyDescent="0.25">
      <c r="A202" s="105" t="s">
        <v>125</v>
      </c>
      <c r="B202" s="158">
        <v>72</v>
      </c>
      <c r="C202" s="128"/>
      <c r="D202" s="128"/>
      <c r="E202" s="111"/>
      <c r="F202" s="81"/>
    </row>
    <row r="203" spans="1:6" x14ac:dyDescent="0.25">
      <c r="A203" s="105" t="s">
        <v>471</v>
      </c>
      <c r="B203" s="107">
        <v>120</v>
      </c>
      <c r="C203" s="128"/>
      <c r="D203" s="128"/>
      <c r="E203" s="111"/>
      <c r="F203" s="81"/>
    </row>
    <row r="204" spans="1:6" x14ac:dyDescent="0.25">
      <c r="A204" s="166" t="s">
        <v>126</v>
      </c>
      <c r="B204" s="107">
        <v>146</v>
      </c>
      <c r="C204" s="128"/>
      <c r="D204" s="128"/>
      <c r="E204" s="111"/>
      <c r="F204" s="81"/>
    </row>
    <row r="205" spans="1:6" x14ac:dyDescent="0.25">
      <c r="A205" s="166" t="s">
        <v>472</v>
      </c>
      <c r="B205" s="107">
        <v>160</v>
      </c>
      <c r="C205" s="128"/>
      <c r="D205" s="128"/>
      <c r="E205" s="111"/>
      <c r="F205" s="81"/>
    </row>
    <row r="206" spans="1:6" x14ac:dyDescent="0.25">
      <c r="A206" s="166" t="s">
        <v>127</v>
      </c>
      <c r="B206" s="158">
        <v>250</v>
      </c>
      <c r="C206" s="128"/>
      <c r="D206" s="128"/>
      <c r="E206" s="111"/>
      <c r="F206" s="81"/>
    </row>
    <row r="207" spans="1:6" x14ac:dyDescent="0.25">
      <c r="A207" s="166" t="s">
        <v>128</v>
      </c>
      <c r="B207" s="158">
        <v>300</v>
      </c>
      <c r="C207" s="128"/>
      <c r="D207" s="128"/>
      <c r="E207" s="111"/>
      <c r="F207" s="81"/>
    </row>
    <row r="208" spans="1:6" x14ac:dyDescent="0.25">
      <c r="A208" s="166" t="s">
        <v>473</v>
      </c>
      <c r="B208" s="158">
        <v>320</v>
      </c>
      <c r="C208" s="128"/>
      <c r="D208" s="128"/>
      <c r="E208" s="111"/>
      <c r="F208" s="81"/>
    </row>
    <row r="209" spans="1:6" x14ac:dyDescent="0.25">
      <c r="A209" s="166" t="s">
        <v>196</v>
      </c>
      <c r="B209" s="158">
        <v>400</v>
      </c>
      <c r="C209" s="128"/>
      <c r="D209" s="128"/>
      <c r="E209" s="111"/>
      <c r="F209" s="81"/>
    </row>
    <row r="210" spans="1:6" x14ac:dyDescent="0.25">
      <c r="A210" s="166" t="s">
        <v>260</v>
      </c>
      <c r="B210" s="158">
        <v>450</v>
      </c>
      <c r="C210" s="128"/>
      <c r="D210" s="128"/>
      <c r="E210" s="111"/>
      <c r="F210" s="81"/>
    </row>
    <row r="211" spans="1:6" x14ac:dyDescent="0.25">
      <c r="A211" s="166" t="s">
        <v>129</v>
      </c>
      <c r="B211" s="158">
        <v>500</v>
      </c>
      <c r="C211" s="128"/>
      <c r="D211" s="128"/>
      <c r="E211" s="111"/>
      <c r="F211" s="81"/>
    </row>
    <row r="212" spans="1:6" x14ac:dyDescent="0.25">
      <c r="A212" s="166" t="s">
        <v>437</v>
      </c>
      <c r="B212" s="156">
        <v>600</v>
      </c>
      <c r="C212" s="128"/>
      <c r="D212" s="128"/>
      <c r="E212" s="111"/>
      <c r="F212" s="81"/>
    </row>
    <row r="213" spans="1:6" x14ac:dyDescent="0.25">
      <c r="A213" s="166" t="s">
        <v>474</v>
      </c>
      <c r="B213" s="156">
        <v>640</v>
      </c>
      <c r="C213" s="128"/>
      <c r="D213" s="128"/>
      <c r="E213" s="111"/>
      <c r="F213" s="81"/>
    </row>
    <row r="214" spans="1:6" x14ac:dyDescent="0.25">
      <c r="A214" s="166" t="s">
        <v>130</v>
      </c>
      <c r="B214" s="156">
        <v>750</v>
      </c>
      <c r="C214" s="128"/>
      <c r="D214" s="128"/>
      <c r="E214" s="111"/>
      <c r="F214" s="81"/>
    </row>
    <row r="215" spans="1:6" x14ac:dyDescent="0.25">
      <c r="A215" s="166" t="s">
        <v>772</v>
      </c>
      <c r="B215" s="156">
        <v>900</v>
      </c>
      <c r="C215" s="128"/>
      <c r="D215" s="128"/>
      <c r="E215" s="111"/>
      <c r="F215" s="81"/>
    </row>
    <row r="216" spans="1:6" x14ac:dyDescent="0.25">
      <c r="A216" s="166" t="s">
        <v>212</v>
      </c>
      <c r="B216" s="156">
        <v>1000</v>
      </c>
      <c r="C216" s="128"/>
      <c r="D216" s="128"/>
      <c r="E216" s="111"/>
      <c r="F216" s="81"/>
    </row>
    <row r="217" spans="1:6" x14ac:dyDescent="0.25">
      <c r="A217" s="166" t="s">
        <v>1739</v>
      </c>
      <c r="B217" s="156">
        <v>1200</v>
      </c>
      <c r="C217" s="128"/>
      <c r="D217" s="128"/>
      <c r="E217" s="111"/>
      <c r="F217" s="81"/>
    </row>
    <row r="218" spans="1:6" x14ac:dyDescent="0.25">
      <c r="A218" s="166" t="s">
        <v>475</v>
      </c>
      <c r="B218" s="156">
        <v>1500</v>
      </c>
      <c r="C218" s="128"/>
      <c r="D218" s="128"/>
      <c r="E218" s="111"/>
      <c r="F218" s="81"/>
    </row>
    <row r="219" spans="1:6" x14ac:dyDescent="0.25">
      <c r="A219" s="166" t="s">
        <v>280</v>
      </c>
      <c r="B219" s="156">
        <v>2000</v>
      </c>
      <c r="C219" s="128"/>
      <c r="D219" s="128"/>
      <c r="E219" s="111"/>
      <c r="F219" s="81"/>
    </row>
    <row r="220" spans="1:6" x14ac:dyDescent="0.25">
      <c r="A220" s="166" t="s">
        <v>775</v>
      </c>
      <c r="B220" s="156">
        <v>3000</v>
      </c>
      <c r="C220" s="128"/>
      <c r="D220" s="128"/>
      <c r="E220" s="111"/>
      <c r="F220" s="81"/>
    </row>
    <row r="221" spans="1:6" x14ac:dyDescent="0.25">
      <c r="A221" s="166" t="s">
        <v>788</v>
      </c>
      <c r="B221" s="156">
        <v>4000</v>
      </c>
      <c r="C221" s="128"/>
      <c r="D221" s="128"/>
      <c r="E221" s="111"/>
      <c r="F221" s="81"/>
    </row>
    <row r="222" spans="1:6" x14ac:dyDescent="0.25">
      <c r="A222" s="166" t="s">
        <v>1736</v>
      </c>
      <c r="B222" s="156">
        <v>6000</v>
      </c>
      <c r="C222" s="128"/>
      <c r="D222" s="128"/>
      <c r="E222" s="111"/>
      <c r="F222" s="81"/>
    </row>
    <row r="223" spans="1:6" ht="15.75" thickBot="1" x14ac:dyDescent="0.3">
      <c r="A223" s="159" t="s">
        <v>1737</v>
      </c>
      <c r="B223" s="130">
        <v>8000</v>
      </c>
      <c r="C223" s="128"/>
      <c r="D223" s="128"/>
      <c r="E223" s="111"/>
      <c r="F223" s="81"/>
    </row>
    <row r="224" spans="1:6" x14ac:dyDescent="0.25">
      <c r="A224" s="167"/>
      <c r="B224" s="128"/>
      <c r="C224" s="128"/>
      <c r="D224" s="128"/>
      <c r="E224" s="111"/>
      <c r="F224" s="81"/>
    </row>
    <row r="225" spans="1:6" ht="15.75" thickBot="1" x14ac:dyDescent="0.3">
      <c r="A225" s="167"/>
      <c r="B225" s="128"/>
      <c r="C225" s="128"/>
      <c r="D225" s="128"/>
      <c r="E225" s="111"/>
      <c r="F225" s="81"/>
    </row>
    <row r="226" spans="1:6" ht="15.75" thickBot="1" x14ac:dyDescent="0.3">
      <c r="A226" s="117" t="s">
        <v>11</v>
      </c>
      <c r="B226" s="117" t="s">
        <v>281</v>
      </c>
      <c r="C226" s="125" t="s">
        <v>336</v>
      </c>
      <c r="D226" s="128"/>
      <c r="E226" s="111"/>
      <c r="F226" s="81"/>
    </row>
    <row r="227" spans="1:6" x14ac:dyDescent="0.25">
      <c r="A227" s="120" t="s">
        <v>478</v>
      </c>
      <c r="B227" s="67">
        <v>55</v>
      </c>
      <c r="C227" s="427">
        <v>300</v>
      </c>
      <c r="D227" s="128"/>
      <c r="E227" s="111"/>
      <c r="F227" s="81"/>
    </row>
    <row r="228" spans="1:6" x14ac:dyDescent="0.25">
      <c r="A228" s="122" t="s">
        <v>479</v>
      </c>
      <c r="B228" s="67">
        <v>55</v>
      </c>
      <c r="C228" s="67">
        <v>300</v>
      </c>
      <c r="D228" s="128"/>
      <c r="E228" s="111"/>
      <c r="F228" s="81"/>
    </row>
    <row r="229" spans="1:6" x14ac:dyDescent="0.25">
      <c r="A229" s="122" t="s">
        <v>480</v>
      </c>
      <c r="B229" s="67">
        <v>55</v>
      </c>
      <c r="C229" s="67">
        <v>300</v>
      </c>
      <c r="D229" s="128"/>
      <c r="E229" s="111"/>
      <c r="F229" s="81"/>
    </row>
    <row r="230" spans="1:6" x14ac:dyDescent="0.25">
      <c r="A230" s="122" t="s">
        <v>481</v>
      </c>
      <c r="B230" s="67">
        <v>50</v>
      </c>
      <c r="C230" s="67">
        <v>300</v>
      </c>
      <c r="D230" s="128"/>
      <c r="E230" s="111"/>
      <c r="F230" s="81"/>
    </row>
    <row r="231" spans="1:6" x14ac:dyDescent="0.25">
      <c r="A231" s="122" t="s">
        <v>482</v>
      </c>
      <c r="B231" s="67">
        <v>50</v>
      </c>
      <c r="C231" s="67">
        <v>300</v>
      </c>
      <c r="D231" s="128"/>
      <c r="E231" s="111"/>
      <c r="F231" s="81"/>
    </row>
    <row r="232" spans="1:6" x14ac:dyDescent="0.25">
      <c r="A232" s="122" t="s">
        <v>483</v>
      </c>
      <c r="B232" s="67">
        <v>50</v>
      </c>
      <c r="C232" s="67">
        <v>300</v>
      </c>
      <c r="D232" s="128"/>
      <c r="E232" s="111"/>
      <c r="F232" s="81"/>
    </row>
    <row r="233" spans="1:6" x14ac:dyDescent="0.25">
      <c r="A233" s="122" t="s">
        <v>484</v>
      </c>
      <c r="B233" s="67">
        <v>52.5</v>
      </c>
      <c r="C233" s="67">
        <v>300</v>
      </c>
      <c r="D233" s="128"/>
      <c r="E233" s="111"/>
      <c r="F233" s="81"/>
    </row>
    <row r="234" spans="1:6" x14ac:dyDescent="0.25">
      <c r="A234" s="122" t="s">
        <v>485</v>
      </c>
      <c r="B234" s="67">
        <v>52.5</v>
      </c>
      <c r="C234" s="67">
        <v>300</v>
      </c>
      <c r="D234" s="128"/>
      <c r="E234" s="111"/>
      <c r="F234" s="81"/>
    </row>
    <row r="235" spans="1:6" x14ac:dyDescent="0.25">
      <c r="A235" s="122" t="s">
        <v>486</v>
      </c>
      <c r="B235" s="67">
        <v>52.5</v>
      </c>
      <c r="C235" s="67">
        <v>300</v>
      </c>
      <c r="D235" s="128"/>
      <c r="E235" s="111"/>
      <c r="F235" s="81"/>
    </row>
    <row r="236" spans="1:6" x14ac:dyDescent="0.25">
      <c r="A236" s="122" t="s">
        <v>477</v>
      </c>
      <c r="B236" s="67">
        <v>60</v>
      </c>
      <c r="C236" s="67">
        <v>300</v>
      </c>
      <c r="D236" s="128"/>
      <c r="E236" s="111"/>
      <c r="F236" s="81"/>
    </row>
    <row r="237" spans="1:6" x14ac:dyDescent="0.25">
      <c r="A237" s="122" t="s">
        <v>268</v>
      </c>
      <c r="B237" s="67">
        <v>55</v>
      </c>
      <c r="C237" s="67">
        <v>300</v>
      </c>
      <c r="D237" s="128"/>
      <c r="E237" s="111"/>
      <c r="F237" s="81"/>
    </row>
    <row r="238" spans="1:6" x14ac:dyDescent="0.25">
      <c r="A238" s="122" t="s">
        <v>476</v>
      </c>
      <c r="B238" s="67">
        <v>62.5</v>
      </c>
      <c r="C238" s="67">
        <v>300</v>
      </c>
      <c r="D238" s="128"/>
      <c r="E238" s="111"/>
      <c r="F238" s="19"/>
    </row>
    <row r="239" spans="1:6" x14ac:dyDescent="0.25">
      <c r="A239" s="122" t="s">
        <v>267</v>
      </c>
      <c r="B239" s="67">
        <v>57.5</v>
      </c>
      <c r="C239" s="67">
        <v>300</v>
      </c>
      <c r="D239" s="128"/>
      <c r="E239" s="111"/>
      <c r="F239" s="81"/>
    </row>
    <row r="240" spans="1:6" x14ac:dyDescent="0.25">
      <c r="A240" s="122" t="s">
        <v>80</v>
      </c>
      <c r="B240" s="67">
        <v>165</v>
      </c>
      <c r="C240" s="67">
        <v>300</v>
      </c>
      <c r="D240" s="128"/>
      <c r="E240" s="111"/>
      <c r="F240" s="81"/>
    </row>
    <row r="241" spans="1:6" x14ac:dyDescent="0.25">
      <c r="A241" s="122" t="s">
        <v>195</v>
      </c>
      <c r="B241" s="67">
        <v>230</v>
      </c>
      <c r="C241" s="67">
        <v>300</v>
      </c>
      <c r="D241" s="128"/>
      <c r="E241" s="111"/>
      <c r="F241" s="81"/>
    </row>
    <row r="242" spans="1:6" x14ac:dyDescent="0.25">
      <c r="A242" s="122" t="s">
        <v>78</v>
      </c>
      <c r="B242" s="67">
        <v>130</v>
      </c>
      <c r="C242" s="67">
        <v>300</v>
      </c>
      <c r="D242" s="128"/>
      <c r="E242" s="111"/>
      <c r="F242" s="81"/>
    </row>
    <row r="243" spans="1:6" ht="15.75" thickBot="1" x14ac:dyDescent="0.3">
      <c r="A243" s="123" t="s">
        <v>79</v>
      </c>
      <c r="B243" s="114">
        <v>180</v>
      </c>
      <c r="C243" s="114">
        <v>300</v>
      </c>
      <c r="D243" s="128"/>
      <c r="E243" s="111"/>
      <c r="F243" s="81"/>
    </row>
    <row r="244" spans="1:6" x14ac:dyDescent="0.25">
      <c r="A244" s="167"/>
      <c r="B244" s="128"/>
      <c r="C244" s="128"/>
      <c r="D244" s="128"/>
      <c r="E244" s="111"/>
      <c r="F244" s="81"/>
    </row>
    <row r="245" spans="1:6" ht="15.75" thickBot="1" x14ac:dyDescent="0.3">
      <c r="A245" s="167"/>
      <c r="B245" s="128"/>
      <c r="C245" s="128"/>
      <c r="D245" s="128"/>
      <c r="E245" s="111"/>
      <c r="F245" s="81"/>
    </row>
    <row r="246" spans="1:6" ht="15.75" thickBot="1" x14ac:dyDescent="0.3">
      <c r="A246" s="353" t="s">
        <v>376</v>
      </c>
      <c r="B246" s="161" t="s">
        <v>141</v>
      </c>
      <c r="C246" s="353" t="s">
        <v>376</v>
      </c>
      <c r="D246" s="128"/>
      <c r="E246" s="111"/>
      <c r="F246" s="81"/>
    </row>
    <row r="247" spans="1:6" x14ac:dyDescent="0.25">
      <c r="A247" s="67">
        <v>0.4</v>
      </c>
      <c r="B247" s="132" t="s">
        <v>377</v>
      </c>
      <c r="C247" s="107">
        <v>0.4</v>
      </c>
      <c r="D247" s="128"/>
      <c r="E247" s="111"/>
      <c r="F247" s="81"/>
    </row>
    <row r="248" spans="1:6" x14ac:dyDescent="0.25">
      <c r="A248" s="67">
        <v>0.5</v>
      </c>
      <c r="B248" s="132" t="s">
        <v>378</v>
      </c>
      <c r="C248" s="107">
        <v>0.5</v>
      </c>
      <c r="D248" s="128"/>
      <c r="E248" s="111"/>
      <c r="F248" s="81"/>
    </row>
    <row r="249" spans="1:6" x14ac:dyDescent="0.25">
      <c r="A249" s="67">
        <v>0.6</v>
      </c>
      <c r="B249" s="132" t="s">
        <v>379</v>
      </c>
      <c r="C249" s="107">
        <v>0.6</v>
      </c>
      <c r="D249" s="128"/>
      <c r="E249" s="111"/>
      <c r="F249" s="81"/>
    </row>
    <row r="250" spans="1:6" x14ac:dyDescent="0.25">
      <c r="A250" s="67">
        <v>0.66</v>
      </c>
      <c r="B250" s="132" t="s">
        <v>380</v>
      </c>
      <c r="C250" s="107">
        <v>0.66</v>
      </c>
      <c r="D250" s="128"/>
      <c r="E250" s="111"/>
      <c r="F250" s="81"/>
    </row>
    <row r="251" spans="1:6" ht="15.75" thickBot="1" x14ac:dyDescent="0.3">
      <c r="A251" s="114">
        <v>0.75</v>
      </c>
      <c r="B251" s="133" t="s">
        <v>381</v>
      </c>
      <c r="C251" s="110">
        <v>0.75</v>
      </c>
      <c r="D251" s="128"/>
      <c r="E251" s="111"/>
      <c r="F251" s="81"/>
    </row>
    <row r="252" spans="1:6" x14ac:dyDescent="0.25">
      <c r="A252" s="61"/>
      <c r="B252" s="546"/>
      <c r="C252" s="61"/>
      <c r="D252" s="128"/>
      <c r="E252" s="111"/>
      <c r="F252" s="81"/>
    </row>
    <row r="253" spans="1:6" ht="15.75" thickBot="1" x14ac:dyDescent="0.3">
      <c r="A253" s="61"/>
      <c r="B253" s="61"/>
      <c r="C253" s="61"/>
      <c r="D253" s="61"/>
      <c r="E253" s="61"/>
      <c r="F253" s="81"/>
    </row>
    <row r="254" spans="1:6" ht="15.75" thickBot="1" x14ac:dyDescent="0.3">
      <c r="A254" s="706" t="s">
        <v>746</v>
      </c>
      <c r="B254" s="707" t="s">
        <v>747</v>
      </c>
      <c r="E254" s="58"/>
      <c r="F254" s="81"/>
    </row>
    <row r="255" spans="1:6" x14ac:dyDescent="0.25">
      <c r="A255" s="687">
        <v>1</v>
      </c>
      <c r="B255" s="688">
        <v>1</v>
      </c>
      <c r="F255" s="81"/>
    </row>
    <row r="256" spans="1:6" x14ac:dyDescent="0.25">
      <c r="A256" s="689">
        <v>2</v>
      </c>
      <c r="B256" s="688">
        <v>2</v>
      </c>
      <c r="F256" s="81"/>
    </row>
    <row r="257" spans="1:6" x14ac:dyDescent="0.25">
      <c r="A257" s="690">
        <v>3</v>
      </c>
      <c r="B257" s="688">
        <v>3</v>
      </c>
      <c r="F257" s="81"/>
    </row>
    <row r="258" spans="1:6" x14ac:dyDescent="0.25">
      <c r="A258" s="691">
        <v>4</v>
      </c>
      <c r="B258" s="688">
        <v>4</v>
      </c>
      <c r="F258" s="81"/>
    </row>
    <row r="259" spans="1:6" x14ac:dyDescent="0.25">
      <c r="A259" s="692">
        <v>5</v>
      </c>
      <c r="B259" s="688">
        <v>5</v>
      </c>
      <c r="F259" s="81"/>
    </row>
    <row r="260" spans="1:6" x14ac:dyDescent="0.25">
      <c r="A260" s="693">
        <v>6</v>
      </c>
      <c r="B260" s="688">
        <v>6</v>
      </c>
      <c r="F260" s="81"/>
    </row>
    <row r="261" spans="1:6" x14ac:dyDescent="0.25">
      <c r="A261" s="694">
        <v>7</v>
      </c>
      <c r="B261" s="688">
        <v>7</v>
      </c>
      <c r="C261" s="58"/>
      <c r="F261" s="81"/>
    </row>
    <row r="262" spans="1:6" x14ac:dyDescent="0.25">
      <c r="A262" s="695">
        <v>8</v>
      </c>
      <c r="B262" s="688">
        <v>8</v>
      </c>
      <c r="F262" s="81"/>
    </row>
    <row r="263" spans="1:6" x14ac:dyDescent="0.25">
      <c r="A263" s="696">
        <v>9</v>
      </c>
      <c r="B263" s="688">
        <v>9</v>
      </c>
      <c r="F263" s="81"/>
    </row>
    <row r="264" spans="1:6" x14ac:dyDescent="0.25">
      <c r="A264" s="697">
        <v>10</v>
      </c>
      <c r="B264" s="698">
        <v>10</v>
      </c>
      <c r="F264" s="81"/>
    </row>
    <row r="265" spans="1:6" x14ac:dyDescent="0.25">
      <c r="A265" s="699">
        <v>11</v>
      </c>
      <c r="B265" s="698">
        <v>11</v>
      </c>
      <c r="F265" s="81"/>
    </row>
    <row r="266" spans="1:6" x14ac:dyDescent="0.25">
      <c r="A266" s="700">
        <v>12</v>
      </c>
      <c r="B266" s="698">
        <v>12</v>
      </c>
      <c r="F266" s="81"/>
    </row>
    <row r="267" spans="1:6" x14ac:dyDescent="0.25">
      <c r="A267" s="701">
        <v>13</v>
      </c>
      <c r="B267" s="698">
        <v>13</v>
      </c>
      <c r="F267" s="81"/>
    </row>
    <row r="268" spans="1:6" x14ac:dyDescent="0.25">
      <c r="A268" s="702">
        <v>14</v>
      </c>
      <c r="B268" s="698">
        <v>14</v>
      </c>
      <c r="F268" s="81"/>
    </row>
    <row r="269" spans="1:6" x14ac:dyDescent="0.25">
      <c r="A269" s="703">
        <v>15</v>
      </c>
      <c r="B269" s="698">
        <v>15</v>
      </c>
      <c r="F269" s="81"/>
    </row>
    <row r="270" spans="1:6" ht="15.75" thickBot="1" x14ac:dyDescent="0.3">
      <c r="A270" s="704">
        <v>16</v>
      </c>
      <c r="B270" s="705">
        <v>16</v>
      </c>
      <c r="F270" s="81"/>
    </row>
    <row r="271" spans="1:6" x14ac:dyDescent="0.25">
      <c r="F271" s="81"/>
    </row>
    <row r="272" spans="1:6" ht="15.75" thickBot="1" x14ac:dyDescent="0.3">
      <c r="F272" s="81"/>
    </row>
    <row r="273" spans="1:6" ht="15.75" thickBot="1" x14ac:dyDescent="0.3">
      <c r="A273" s="1080" t="s">
        <v>1837</v>
      </c>
      <c r="F273" s="81"/>
    </row>
    <row r="274" spans="1:6" x14ac:dyDescent="0.25">
      <c r="A274" s="1081">
        <v>0</v>
      </c>
      <c r="F274" s="81"/>
    </row>
    <row r="275" spans="1:6" x14ac:dyDescent="0.25">
      <c r="A275" s="1081">
        <v>1</v>
      </c>
      <c r="F275" s="81"/>
    </row>
    <row r="276" spans="1:6" x14ac:dyDescent="0.25">
      <c r="A276" s="1081">
        <v>2</v>
      </c>
      <c r="F276" s="81"/>
    </row>
    <row r="277" spans="1:6" x14ac:dyDescent="0.25">
      <c r="A277" s="1081">
        <v>3</v>
      </c>
      <c r="F277" s="81"/>
    </row>
    <row r="278" spans="1:6" x14ac:dyDescent="0.25">
      <c r="A278" s="1081">
        <v>4</v>
      </c>
      <c r="F278" s="81"/>
    </row>
    <row r="279" spans="1:6" x14ac:dyDescent="0.25">
      <c r="A279" s="1081">
        <v>5</v>
      </c>
      <c r="F279" s="81"/>
    </row>
    <row r="280" spans="1:6" ht="15.75" thickBot="1" x14ac:dyDescent="0.3">
      <c r="A280" s="1082">
        <v>6</v>
      </c>
      <c r="F280" s="81"/>
    </row>
    <row r="281" spans="1:6" ht="15.75" thickBot="1" x14ac:dyDescent="0.3">
      <c r="A281" s="88"/>
      <c r="B281" s="88"/>
      <c r="C281" s="88"/>
      <c r="D281" s="88"/>
      <c r="E281" s="88"/>
      <c r="F281" s="89"/>
    </row>
  </sheetData>
  <mergeCells count="1">
    <mergeCell ref="A1:C1"/>
  </mergeCells>
  <phoneticPr fontId="40"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756"/>
  <sheetViews>
    <sheetView showGridLines="0" showRowColHeaders="0" topLeftCell="A61" zoomScale="85" zoomScaleNormal="85" workbookViewId="0">
      <selection activeCell="K57" sqref="K57"/>
    </sheetView>
  </sheetViews>
  <sheetFormatPr defaultColWidth="9.140625" defaultRowHeight="12.75" x14ac:dyDescent="0.2"/>
  <cols>
    <col min="1" max="1" width="3.42578125" style="666" customWidth="1"/>
    <col min="2" max="16" width="9.140625" style="666"/>
    <col min="17" max="17" width="48" style="666" customWidth="1"/>
    <col min="18" max="16384" width="9.140625" style="666"/>
  </cols>
  <sheetData>
    <row r="1" spans="1:17" x14ac:dyDescent="0.2">
      <c r="B1" s="1400" t="s">
        <v>34</v>
      </c>
      <c r="C1" s="1401"/>
      <c r="D1" s="1401"/>
      <c r="E1" s="1401"/>
      <c r="F1" s="1401"/>
      <c r="G1" s="1401"/>
      <c r="H1" s="1401"/>
      <c r="I1" s="1401"/>
      <c r="J1" s="1401"/>
      <c r="K1" s="1401"/>
      <c r="L1" s="1401"/>
      <c r="M1" s="1401"/>
      <c r="N1" s="1401"/>
      <c r="O1" s="1401"/>
      <c r="P1" s="1401"/>
      <c r="Q1" s="1402"/>
    </row>
    <row r="2" spans="1:17" x14ac:dyDescent="0.2">
      <c r="B2" s="667"/>
      <c r="C2" s="668"/>
      <c r="D2" s="668"/>
      <c r="E2" s="668"/>
      <c r="F2" s="668"/>
      <c r="G2" s="668"/>
      <c r="H2" s="668"/>
      <c r="I2" s="668"/>
      <c r="J2" s="668"/>
      <c r="K2" s="668"/>
      <c r="L2" s="668"/>
      <c r="M2" s="668"/>
      <c r="N2" s="668"/>
      <c r="O2" s="668"/>
      <c r="P2" s="668"/>
      <c r="Q2" s="669"/>
    </row>
    <row r="3" spans="1:17" ht="15" x14ac:dyDescent="0.2">
      <c r="B3" s="1098" t="s">
        <v>512</v>
      </c>
      <c r="C3" s="1099"/>
      <c r="D3" s="1099"/>
      <c r="E3" s="1099"/>
      <c r="F3" s="1099"/>
      <c r="G3" s="1403"/>
      <c r="H3" s="1099"/>
      <c r="I3" s="1099"/>
      <c r="J3" s="1099"/>
      <c r="K3" s="1099"/>
      <c r="L3" s="1403"/>
      <c r="M3" s="1099"/>
      <c r="N3" s="1099"/>
      <c r="O3" s="1099"/>
      <c r="P3" s="1099"/>
      <c r="Q3" s="659"/>
    </row>
    <row r="4" spans="1:17" ht="15" x14ac:dyDescent="0.2">
      <c r="A4" s="670"/>
      <c r="B4" s="1384" t="s">
        <v>791</v>
      </c>
      <c r="C4" s="1384"/>
      <c r="D4" s="1384"/>
      <c r="E4" s="1384"/>
      <c r="F4" s="1384"/>
      <c r="G4" s="1384"/>
      <c r="H4" s="1384"/>
      <c r="I4" s="1384"/>
      <c r="J4" s="1384"/>
      <c r="K4" s="1384"/>
      <c r="L4" s="1384"/>
      <c r="M4" s="1384"/>
      <c r="N4" s="1384"/>
      <c r="O4" s="1384"/>
      <c r="P4" s="1384"/>
      <c r="Q4" s="1385"/>
    </row>
    <row r="5" spans="1:17" ht="15" x14ac:dyDescent="0.2">
      <c r="A5" s="670"/>
      <c r="B5" s="33" t="s">
        <v>792</v>
      </c>
      <c r="C5" s="33"/>
      <c r="D5" s="33"/>
      <c r="E5" s="33"/>
      <c r="F5" s="33"/>
      <c r="G5" s="664"/>
      <c r="H5" s="660"/>
      <c r="I5" s="660"/>
      <c r="J5" s="660"/>
      <c r="K5" s="660"/>
      <c r="L5" s="660"/>
      <c r="M5" s="660"/>
      <c r="N5" s="660"/>
      <c r="O5" s="660"/>
      <c r="P5" s="660"/>
      <c r="Q5" s="661"/>
    </row>
    <row r="6" spans="1:17" ht="15" x14ac:dyDescent="0.2">
      <c r="A6" s="670"/>
      <c r="B6" s="1386" t="s">
        <v>793</v>
      </c>
      <c r="C6" s="1386"/>
      <c r="D6" s="1386"/>
      <c r="E6" s="1386"/>
      <c r="F6" s="1386"/>
      <c r="G6" s="1386"/>
      <c r="H6" s="1386"/>
      <c r="I6" s="1386"/>
      <c r="J6" s="1386"/>
      <c r="K6" s="1386"/>
      <c r="L6" s="1386"/>
      <c r="M6" s="1386"/>
      <c r="N6" s="1386"/>
      <c r="O6" s="1386"/>
      <c r="P6" s="1386"/>
      <c r="Q6" s="1385"/>
    </row>
    <row r="7" spans="1:17" ht="15" x14ac:dyDescent="0.2">
      <c r="A7" s="670"/>
      <c r="B7" s="1386" t="s">
        <v>797</v>
      </c>
      <c r="C7" s="1386"/>
      <c r="D7" s="1386"/>
      <c r="E7" s="1386"/>
      <c r="F7" s="1386"/>
      <c r="G7" s="1386"/>
      <c r="H7" s="1386"/>
      <c r="I7" s="1386"/>
      <c r="J7" s="1386"/>
      <c r="K7" s="1386"/>
      <c r="L7" s="1386"/>
      <c r="M7" s="1386"/>
      <c r="N7" s="1386"/>
      <c r="O7" s="1386"/>
      <c r="P7" s="1386"/>
      <c r="Q7" s="1385"/>
    </row>
    <row r="8" spans="1:17" ht="15" x14ac:dyDescent="0.2">
      <c r="A8" s="670"/>
      <c r="B8" s="1382" t="s">
        <v>798</v>
      </c>
      <c r="C8" s="1382"/>
      <c r="D8" s="1382"/>
      <c r="E8" s="1382"/>
      <c r="F8" s="1382"/>
      <c r="G8" s="1382"/>
      <c r="H8" s="1382"/>
      <c r="I8" s="1382"/>
      <c r="J8" s="1382"/>
      <c r="K8" s="1382"/>
      <c r="L8" s="1382"/>
      <c r="M8" s="1382"/>
      <c r="N8" s="1382"/>
      <c r="O8" s="1382"/>
      <c r="P8" s="1382"/>
      <c r="Q8" s="1383"/>
    </row>
    <row r="9" spans="1:17" ht="15" x14ac:dyDescent="0.2">
      <c r="A9" s="670"/>
      <c r="B9" s="35" t="s">
        <v>826</v>
      </c>
      <c r="C9" s="35"/>
      <c r="D9" s="35"/>
      <c r="E9" s="35"/>
      <c r="F9" s="662"/>
      <c r="G9" s="662"/>
      <c r="H9" s="662"/>
      <c r="I9" s="662"/>
      <c r="J9" s="662"/>
      <c r="K9" s="662"/>
      <c r="L9" s="662"/>
      <c r="M9" s="662"/>
      <c r="N9" s="662"/>
      <c r="O9" s="662"/>
      <c r="P9" s="662"/>
      <c r="Q9" s="663"/>
    </row>
    <row r="10" spans="1:17" x14ac:dyDescent="0.2">
      <c r="A10" s="670"/>
      <c r="B10" s="1386" t="s">
        <v>1388</v>
      </c>
      <c r="C10" s="1384"/>
      <c r="D10" s="1384"/>
      <c r="E10" s="1384"/>
      <c r="F10" s="1384"/>
      <c r="G10" s="1384"/>
      <c r="H10" s="1384"/>
      <c r="I10" s="1384"/>
      <c r="J10" s="1384"/>
      <c r="K10" s="1384"/>
      <c r="L10" s="1384"/>
      <c r="M10" s="1384"/>
      <c r="N10" s="1384"/>
      <c r="O10" s="1384"/>
      <c r="P10" s="1384"/>
      <c r="Q10" s="1385"/>
    </row>
    <row r="11" spans="1:17" x14ac:dyDescent="0.2">
      <c r="A11" s="670"/>
      <c r="B11" s="1386"/>
      <c r="C11" s="1384"/>
      <c r="D11" s="1384"/>
      <c r="E11" s="1384"/>
      <c r="F11" s="1384"/>
      <c r="G11" s="1384"/>
      <c r="H11" s="1384"/>
      <c r="I11" s="1384"/>
      <c r="J11" s="1384"/>
      <c r="K11" s="1384"/>
      <c r="L11" s="1384"/>
      <c r="M11" s="1384"/>
      <c r="N11" s="1384"/>
      <c r="O11" s="1384"/>
      <c r="P11" s="1384"/>
      <c r="Q11" s="1385"/>
    </row>
    <row r="12" spans="1:17" ht="15" x14ac:dyDescent="0.2">
      <c r="A12" s="670"/>
      <c r="B12" s="1386" t="s">
        <v>869</v>
      </c>
      <c r="C12" s="1386"/>
      <c r="D12" s="1386"/>
      <c r="E12" s="1386"/>
      <c r="F12" s="1386"/>
      <c r="G12" s="1386"/>
      <c r="H12" s="1386"/>
      <c r="I12" s="1386"/>
      <c r="J12" s="1386"/>
      <c r="K12" s="1386"/>
      <c r="L12" s="1386"/>
      <c r="M12" s="1386"/>
      <c r="N12" s="1386"/>
      <c r="O12" s="1386"/>
      <c r="P12" s="1386"/>
      <c r="Q12" s="1385"/>
    </row>
    <row r="13" spans="1:17" ht="15" x14ac:dyDescent="0.2">
      <c r="A13" s="670"/>
      <c r="B13" s="1386" t="s">
        <v>870</v>
      </c>
      <c r="C13" s="1386"/>
      <c r="D13" s="1386"/>
      <c r="E13" s="1386"/>
      <c r="F13" s="1386"/>
      <c r="G13" s="1386"/>
      <c r="H13" s="1386"/>
      <c r="I13" s="1386"/>
      <c r="J13" s="1386"/>
      <c r="K13" s="1386"/>
      <c r="L13" s="1386"/>
      <c r="M13" s="1386"/>
      <c r="N13" s="1386"/>
      <c r="O13" s="1386"/>
      <c r="P13" s="1386"/>
      <c r="Q13" s="1385"/>
    </row>
    <row r="14" spans="1:17" ht="15" x14ac:dyDescent="0.2">
      <c r="A14" s="670"/>
      <c r="B14" s="1386" t="s">
        <v>1274</v>
      </c>
      <c r="C14" s="1386"/>
      <c r="D14" s="1386"/>
      <c r="E14" s="1386"/>
      <c r="F14" s="1386"/>
      <c r="G14" s="1386"/>
      <c r="H14" s="1386"/>
      <c r="I14" s="1386"/>
      <c r="J14" s="1386"/>
      <c r="K14" s="1386"/>
      <c r="L14" s="1386"/>
      <c r="M14" s="1386"/>
      <c r="N14" s="1386"/>
      <c r="O14" s="1386"/>
      <c r="P14" s="1386"/>
      <c r="Q14" s="1385"/>
    </row>
    <row r="15" spans="1:17" ht="15" x14ac:dyDescent="0.2">
      <c r="A15" s="670"/>
      <c r="B15" s="1382" t="s">
        <v>1279</v>
      </c>
      <c r="C15" s="1382"/>
      <c r="D15" s="1382"/>
      <c r="E15" s="1382"/>
      <c r="F15" s="1382"/>
      <c r="G15" s="1382"/>
      <c r="H15" s="1382"/>
      <c r="I15" s="1382"/>
      <c r="J15" s="1382"/>
      <c r="K15" s="1382"/>
      <c r="L15" s="1382"/>
      <c r="M15" s="1382"/>
      <c r="N15" s="1382"/>
      <c r="O15" s="1382"/>
      <c r="P15" s="1382"/>
      <c r="Q15" s="1383"/>
    </row>
    <row r="16" spans="1:17" ht="15" x14ac:dyDescent="0.2">
      <c r="A16" s="670"/>
      <c r="B16" s="33" t="s">
        <v>1280</v>
      </c>
      <c r="C16" s="39"/>
      <c r="D16" s="39"/>
      <c r="E16" s="39"/>
      <c r="F16" s="39"/>
      <c r="G16" s="39"/>
      <c r="H16" s="39"/>
      <c r="I16" s="39"/>
      <c r="J16" s="39"/>
      <c r="K16" s="533"/>
      <c r="L16" s="533"/>
      <c r="M16" s="533"/>
      <c r="N16" s="533"/>
      <c r="O16" s="533"/>
      <c r="P16" s="533"/>
      <c r="Q16" s="534"/>
    </row>
    <row r="17" spans="1:17" ht="15" x14ac:dyDescent="0.2">
      <c r="A17" s="670"/>
      <c r="B17" s="289" t="s">
        <v>1284</v>
      </c>
      <c r="C17" s="289"/>
      <c r="D17" s="289"/>
      <c r="E17" s="289"/>
      <c r="F17" s="289"/>
      <c r="G17" s="289"/>
      <c r="H17" s="289"/>
      <c r="I17" s="289"/>
      <c r="J17" s="289"/>
      <c r="K17" s="289"/>
      <c r="L17" s="289"/>
      <c r="M17" s="289"/>
      <c r="N17" s="289"/>
      <c r="O17" s="289"/>
      <c r="P17" s="289"/>
      <c r="Q17" s="37"/>
    </row>
    <row r="18" spans="1:17" ht="15" x14ac:dyDescent="0.2">
      <c r="A18" s="670"/>
      <c r="B18" s="1404" t="s">
        <v>1287</v>
      </c>
      <c r="C18" s="1404"/>
      <c r="D18" s="1404"/>
      <c r="E18" s="1404"/>
      <c r="F18" s="1404"/>
      <c r="G18" s="1404"/>
      <c r="H18" s="1404"/>
      <c r="I18" s="1404"/>
      <c r="J18" s="1404"/>
      <c r="K18" s="1404"/>
      <c r="L18" s="1404"/>
      <c r="M18" s="1404"/>
      <c r="N18" s="1404"/>
      <c r="O18" s="1404"/>
      <c r="P18" s="1404"/>
      <c r="Q18" s="1383"/>
    </row>
    <row r="19" spans="1:17" ht="15" x14ac:dyDescent="0.2">
      <c r="A19" s="670"/>
      <c r="B19" s="1384" t="s">
        <v>1295</v>
      </c>
      <c r="C19" s="1384"/>
      <c r="D19" s="1384"/>
      <c r="E19" s="1384"/>
      <c r="F19" s="1384"/>
      <c r="G19" s="1384"/>
      <c r="H19" s="1384"/>
      <c r="I19" s="1384"/>
      <c r="J19" s="1384"/>
      <c r="K19" s="1384"/>
      <c r="L19" s="1384"/>
      <c r="M19" s="1384"/>
      <c r="N19" s="1384"/>
      <c r="O19" s="1384"/>
      <c r="P19" s="1384"/>
      <c r="Q19" s="1385"/>
    </row>
    <row r="20" spans="1:17" ht="15" x14ac:dyDescent="0.2">
      <c r="A20" s="670"/>
      <c r="B20" s="860" t="s">
        <v>1311</v>
      </c>
      <c r="C20" s="861"/>
      <c r="D20" s="861"/>
      <c r="E20" s="861"/>
      <c r="F20" s="861"/>
      <c r="G20" s="861"/>
      <c r="H20" s="861"/>
      <c r="I20" s="861"/>
      <c r="J20" s="861"/>
      <c r="K20" s="861"/>
      <c r="L20" s="861"/>
      <c r="M20" s="861"/>
      <c r="N20" s="861"/>
      <c r="O20" s="861"/>
      <c r="P20" s="861"/>
      <c r="Q20" s="862"/>
    </row>
    <row r="21" spans="1:17" ht="15" x14ac:dyDescent="0.2">
      <c r="A21" s="670"/>
      <c r="B21" s="1386" t="s">
        <v>1315</v>
      </c>
      <c r="C21" s="1384"/>
      <c r="D21" s="1384"/>
      <c r="E21" s="1384"/>
      <c r="F21" s="1384"/>
      <c r="G21" s="1384"/>
      <c r="H21" s="1384"/>
      <c r="I21" s="1384"/>
      <c r="J21" s="1384"/>
      <c r="K21" s="1384"/>
      <c r="L21" s="1384"/>
      <c r="M21" s="1384"/>
      <c r="N21" s="1384"/>
      <c r="O21" s="1384"/>
      <c r="P21" s="1384"/>
      <c r="Q21" s="1385"/>
    </row>
    <row r="22" spans="1:17" ht="15" x14ac:dyDescent="0.2">
      <c r="A22" s="670"/>
      <c r="B22" s="860" t="s">
        <v>1316</v>
      </c>
      <c r="C22" s="861"/>
      <c r="D22" s="861"/>
      <c r="E22" s="861"/>
      <c r="F22" s="861"/>
      <c r="G22" s="861"/>
      <c r="H22" s="861"/>
      <c r="I22" s="861"/>
      <c r="J22" s="861"/>
      <c r="K22" s="861"/>
      <c r="L22" s="861"/>
      <c r="M22" s="861"/>
      <c r="N22" s="861"/>
      <c r="O22" s="861"/>
      <c r="P22" s="861"/>
      <c r="Q22" s="862"/>
    </row>
    <row r="23" spans="1:17" ht="15" x14ac:dyDescent="0.2">
      <c r="A23" s="670"/>
      <c r="B23" s="860" t="s">
        <v>1323</v>
      </c>
      <c r="C23" s="861"/>
      <c r="D23" s="861"/>
      <c r="E23" s="861"/>
      <c r="F23" s="861"/>
      <c r="G23" s="861"/>
      <c r="H23" s="861"/>
      <c r="I23" s="861"/>
      <c r="J23" s="861"/>
      <c r="K23" s="861"/>
      <c r="L23" s="861"/>
      <c r="M23" s="861"/>
      <c r="N23" s="861"/>
      <c r="O23" s="861"/>
      <c r="P23" s="861"/>
      <c r="Q23" s="862"/>
    </row>
    <row r="24" spans="1:17" ht="15" x14ac:dyDescent="0.2">
      <c r="A24" s="670"/>
      <c r="B24" s="883" t="s">
        <v>1326</v>
      </c>
      <c r="C24" s="885"/>
      <c r="D24" s="885"/>
      <c r="E24" s="885"/>
      <c r="F24" s="885"/>
      <c r="G24" s="885"/>
      <c r="H24" s="885"/>
      <c r="I24" s="885"/>
      <c r="J24" s="885"/>
      <c r="K24" s="885"/>
      <c r="L24" s="885"/>
      <c r="M24" s="885"/>
      <c r="N24" s="885"/>
      <c r="O24" s="885"/>
      <c r="P24" s="885"/>
      <c r="Q24" s="884"/>
    </row>
    <row r="25" spans="1:17" ht="15" x14ac:dyDescent="0.2">
      <c r="A25" s="670"/>
      <c r="B25" s="883" t="s">
        <v>1389</v>
      </c>
      <c r="C25" s="885"/>
      <c r="D25" s="885"/>
      <c r="E25" s="885"/>
      <c r="F25" s="885"/>
      <c r="G25" s="885"/>
      <c r="H25" s="885"/>
      <c r="I25" s="885"/>
      <c r="J25" s="885"/>
      <c r="K25" s="885"/>
      <c r="L25" s="885"/>
      <c r="M25" s="885"/>
      <c r="N25" s="885"/>
      <c r="O25" s="885"/>
      <c r="P25" s="885"/>
      <c r="Q25" s="884"/>
    </row>
    <row r="26" spans="1:17" ht="15" x14ac:dyDescent="0.2">
      <c r="A26" s="670"/>
      <c r="B26" s="883" t="s">
        <v>1327</v>
      </c>
      <c r="C26" s="885"/>
      <c r="D26" s="885"/>
      <c r="E26" s="885"/>
      <c r="F26" s="885"/>
      <c r="G26" s="885"/>
      <c r="H26" s="885"/>
      <c r="I26" s="885"/>
      <c r="J26" s="885"/>
      <c r="K26" s="885"/>
      <c r="L26" s="885"/>
      <c r="M26" s="885"/>
      <c r="N26" s="885"/>
      <c r="O26" s="885"/>
      <c r="P26" s="885"/>
      <c r="Q26" s="884"/>
    </row>
    <row r="27" spans="1:17" ht="15" x14ac:dyDescent="0.2">
      <c r="A27" s="670"/>
      <c r="B27" s="883" t="s">
        <v>1328</v>
      </c>
      <c r="C27" s="885"/>
      <c r="D27" s="885"/>
      <c r="E27" s="885"/>
      <c r="F27" s="885"/>
      <c r="G27" s="885"/>
      <c r="H27" s="885"/>
      <c r="I27" s="885"/>
      <c r="J27" s="885"/>
      <c r="K27" s="885"/>
      <c r="L27" s="885"/>
      <c r="M27" s="885"/>
      <c r="N27" s="885"/>
      <c r="O27" s="885"/>
      <c r="P27" s="885"/>
      <c r="Q27" s="884"/>
    </row>
    <row r="28" spans="1:17" ht="15" x14ac:dyDescent="0.2">
      <c r="A28" s="670"/>
      <c r="B28" s="904" t="s">
        <v>1331</v>
      </c>
      <c r="C28" s="906"/>
      <c r="D28" s="906"/>
      <c r="E28" s="906"/>
      <c r="F28" s="906"/>
      <c r="G28" s="906"/>
      <c r="H28" s="906"/>
      <c r="I28" s="906"/>
      <c r="J28" s="906"/>
      <c r="K28" s="906"/>
      <c r="L28" s="906"/>
      <c r="M28" s="906"/>
      <c r="N28" s="906"/>
      <c r="O28" s="906"/>
      <c r="P28" s="906"/>
      <c r="Q28" s="905"/>
    </row>
    <row r="29" spans="1:17" ht="15" x14ac:dyDescent="0.2">
      <c r="A29" s="670"/>
      <c r="B29" s="904" t="s">
        <v>1332</v>
      </c>
      <c r="C29" s="906"/>
      <c r="D29" s="906"/>
      <c r="E29" s="906"/>
      <c r="F29" s="906"/>
      <c r="G29" s="906"/>
      <c r="H29" s="906"/>
      <c r="I29" s="906"/>
      <c r="J29" s="906"/>
      <c r="K29" s="906"/>
      <c r="L29" s="906"/>
      <c r="M29" s="906"/>
      <c r="N29" s="906"/>
      <c r="O29" s="906"/>
      <c r="P29" s="906"/>
      <c r="Q29" s="905"/>
    </row>
    <row r="30" spans="1:17" ht="15" x14ac:dyDescent="0.2">
      <c r="A30" s="670"/>
      <c r="B30" s="908" t="s">
        <v>1333</v>
      </c>
      <c r="C30" s="910"/>
      <c r="D30" s="910"/>
      <c r="E30" s="910"/>
      <c r="F30" s="910"/>
      <c r="G30" s="910"/>
      <c r="H30" s="910"/>
      <c r="I30" s="910"/>
      <c r="J30" s="910"/>
      <c r="K30" s="910"/>
      <c r="L30" s="910"/>
      <c r="M30" s="910"/>
      <c r="N30" s="910"/>
      <c r="O30" s="910"/>
      <c r="P30" s="910"/>
      <c r="Q30" s="909"/>
    </row>
    <row r="31" spans="1:17" ht="15" x14ac:dyDescent="0.2">
      <c r="A31" s="670"/>
      <c r="B31" s="908" t="s">
        <v>1390</v>
      </c>
      <c r="C31" s="910"/>
      <c r="D31" s="910"/>
      <c r="E31" s="910"/>
      <c r="F31" s="910"/>
      <c r="G31" s="910"/>
      <c r="H31" s="910"/>
      <c r="I31" s="910"/>
      <c r="J31" s="910"/>
      <c r="K31" s="910"/>
      <c r="L31" s="910"/>
      <c r="M31" s="910"/>
      <c r="N31" s="910"/>
      <c r="O31" s="910"/>
      <c r="P31" s="910"/>
      <c r="Q31" s="909"/>
    </row>
    <row r="32" spans="1:17" ht="15" x14ac:dyDescent="0.2">
      <c r="A32" s="670"/>
      <c r="B32" s="908" t="s">
        <v>1391</v>
      </c>
      <c r="C32" s="910"/>
      <c r="D32" s="910"/>
      <c r="E32" s="910"/>
      <c r="F32" s="910"/>
      <c r="G32" s="910"/>
      <c r="H32" s="910"/>
      <c r="I32" s="910"/>
      <c r="J32" s="910"/>
      <c r="K32" s="910"/>
      <c r="L32" s="910"/>
      <c r="M32" s="910"/>
      <c r="N32" s="910"/>
      <c r="O32" s="910"/>
      <c r="P32" s="910"/>
      <c r="Q32" s="909"/>
    </row>
    <row r="33" spans="1:17" ht="15" x14ac:dyDescent="0.2">
      <c r="A33" s="670"/>
      <c r="B33" s="908" t="s">
        <v>1339</v>
      </c>
      <c r="C33" s="910"/>
      <c r="D33" s="910"/>
      <c r="E33" s="910"/>
      <c r="F33" s="910"/>
      <c r="G33" s="910"/>
      <c r="H33" s="910"/>
      <c r="I33" s="910"/>
      <c r="J33" s="910"/>
      <c r="K33" s="910"/>
      <c r="L33" s="910"/>
      <c r="M33" s="910"/>
      <c r="N33" s="910"/>
      <c r="O33" s="910"/>
      <c r="P33" s="910"/>
      <c r="Q33" s="909"/>
    </row>
    <row r="34" spans="1:17" ht="15" x14ac:dyDescent="0.2">
      <c r="A34" s="670"/>
      <c r="B34" s="1384" t="s">
        <v>1392</v>
      </c>
      <c r="C34" s="1384"/>
      <c r="D34" s="1384"/>
      <c r="E34" s="1384"/>
      <c r="F34" s="1384"/>
      <c r="G34" s="1384"/>
      <c r="H34" s="1384"/>
      <c r="I34" s="1384"/>
      <c r="J34" s="1384"/>
      <c r="K34" s="1384"/>
      <c r="L34" s="1384"/>
      <c r="M34" s="1384"/>
      <c r="N34" s="1384"/>
      <c r="O34" s="1384"/>
      <c r="P34" s="1384"/>
      <c r="Q34" s="1385"/>
    </row>
    <row r="35" spans="1:17" ht="15" x14ac:dyDescent="0.2">
      <c r="A35" s="670"/>
      <c r="B35" s="920" t="s">
        <v>1340</v>
      </c>
      <c r="C35" s="921"/>
      <c r="D35" s="921"/>
      <c r="E35" s="921"/>
      <c r="F35" s="921"/>
      <c r="G35" s="921"/>
      <c r="H35" s="921"/>
      <c r="I35" s="921"/>
      <c r="J35" s="921"/>
      <c r="K35" s="921"/>
      <c r="L35" s="921"/>
      <c r="M35" s="921"/>
      <c r="N35" s="921"/>
      <c r="O35" s="921"/>
      <c r="P35" s="921"/>
      <c r="Q35" s="922"/>
    </row>
    <row r="36" spans="1:17" ht="15" x14ac:dyDescent="0.2">
      <c r="A36" s="670"/>
      <c r="B36" s="1386" t="s">
        <v>1393</v>
      </c>
      <c r="C36" s="1384"/>
      <c r="D36" s="1384"/>
      <c r="E36" s="1384"/>
      <c r="F36" s="1384"/>
      <c r="G36" s="1384"/>
      <c r="H36" s="1384"/>
      <c r="I36" s="1384"/>
      <c r="J36" s="1384"/>
      <c r="K36" s="1384"/>
      <c r="L36" s="1384"/>
      <c r="M36" s="1384"/>
      <c r="N36" s="1384"/>
      <c r="O36" s="1384"/>
      <c r="P36" s="1384"/>
      <c r="Q36" s="1385"/>
    </row>
    <row r="37" spans="1:17" ht="15" x14ac:dyDescent="0.2">
      <c r="A37" s="670"/>
      <c r="B37" s="928" t="s">
        <v>1385</v>
      </c>
      <c r="C37" s="929"/>
      <c r="D37" s="929"/>
      <c r="E37" s="929"/>
      <c r="F37" s="929"/>
      <c r="G37" s="929"/>
      <c r="H37" s="929"/>
      <c r="I37" s="929"/>
      <c r="J37" s="929"/>
      <c r="K37" s="929"/>
      <c r="L37" s="929"/>
      <c r="M37" s="929"/>
      <c r="N37" s="929"/>
      <c r="O37" s="929"/>
      <c r="P37" s="929"/>
      <c r="Q37" s="940"/>
    </row>
    <row r="38" spans="1:17" ht="15" x14ac:dyDescent="0.2">
      <c r="A38" s="670"/>
      <c r="B38" s="941" t="s">
        <v>1387</v>
      </c>
      <c r="C38" s="939"/>
      <c r="D38" s="939"/>
      <c r="E38" s="939"/>
      <c r="F38" s="939"/>
      <c r="G38" s="939"/>
      <c r="H38" s="939"/>
      <c r="I38" s="939"/>
      <c r="J38" s="939"/>
      <c r="K38" s="939"/>
      <c r="L38" s="939"/>
      <c r="M38" s="939"/>
      <c r="N38" s="939"/>
      <c r="O38" s="939"/>
      <c r="P38" s="939"/>
      <c r="Q38" s="940"/>
    </row>
    <row r="39" spans="1:17" ht="15" x14ac:dyDescent="0.2">
      <c r="A39" s="670"/>
      <c r="B39" s="950" t="s">
        <v>1407</v>
      </c>
      <c r="C39" s="948"/>
      <c r="D39" s="948"/>
      <c r="E39" s="948"/>
      <c r="F39" s="948"/>
      <c r="G39" s="948"/>
      <c r="H39" s="948"/>
      <c r="I39" s="948"/>
      <c r="J39" s="948"/>
      <c r="K39" s="948"/>
      <c r="L39" s="948"/>
      <c r="M39" s="948"/>
      <c r="N39" s="948"/>
      <c r="O39" s="948"/>
      <c r="P39" s="948"/>
      <c r="Q39" s="949"/>
    </row>
    <row r="40" spans="1:17" ht="15" x14ac:dyDescent="0.2">
      <c r="A40" s="670"/>
      <c r="B40" s="950" t="s">
        <v>1409</v>
      </c>
      <c r="C40" s="948"/>
      <c r="D40" s="948"/>
      <c r="E40" s="948"/>
      <c r="F40" s="948"/>
      <c r="G40" s="948"/>
      <c r="H40" s="948"/>
      <c r="I40" s="948"/>
      <c r="J40" s="948"/>
      <c r="K40" s="948"/>
      <c r="L40" s="948"/>
      <c r="M40" s="948"/>
      <c r="N40" s="948"/>
      <c r="O40" s="948"/>
      <c r="P40" s="948"/>
      <c r="Q40" s="949"/>
    </row>
    <row r="41" spans="1:17" ht="15" x14ac:dyDescent="0.2">
      <c r="A41" s="670"/>
      <c r="B41" s="950" t="s">
        <v>1411</v>
      </c>
      <c r="C41" s="948"/>
      <c r="D41" s="948"/>
      <c r="E41" s="948"/>
      <c r="F41" s="948"/>
      <c r="G41" s="948"/>
      <c r="H41" s="948"/>
      <c r="I41" s="948"/>
      <c r="J41" s="948"/>
      <c r="K41" s="948"/>
      <c r="L41" s="948"/>
      <c r="M41" s="948"/>
      <c r="N41" s="948"/>
      <c r="O41" s="948"/>
      <c r="P41" s="948"/>
      <c r="Q41" s="949"/>
    </row>
    <row r="42" spans="1:17" ht="15" x14ac:dyDescent="0.2">
      <c r="A42" s="670"/>
      <c r="B42" s="972" t="s">
        <v>1412</v>
      </c>
      <c r="C42" s="970"/>
      <c r="D42" s="970"/>
      <c r="E42" s="970"/>
      <c r="F42" s="970"/>
      <c r="G42" s="970"/>
      <c r="H42" s="970"/>
      <c r="I42" s="970"/>
      <c r="J42" s="970"/>
      <c r="K42" s="970"/>
      <c r="L42" s="970"/>
      <c r="M42" s="970"/>
      <c r="N42" s="970"/>
      <c r="O42" s="970"/>
      <c r="P42" s="970"/>
      <c r="Q42" s="971"/>
    </row>
    <row r="43" spans="1:17" ht="15" x14ac:dyDescent="0.2">
      <c r="A43" s="670"/>
      <c r="B43" s="972" t="s">
        <v>1418</v>
      </c>
      <c r="C43" s="970"/>
      <c r="D43" s="970"/>
      <c r="E43" s="970"/>
      <c r="F43" s="970"/>
      <c r="G43" s="970"/>
      <c r="H43" s="970"/>
      <c r="I43" s="970"/>
      <c r="J43" s="970"/>
      <c r="K43" s="970"/>
      <c r="L43" s="970"/>
      <c r="M43" s="970"/>
      <c r="N43" s="970"/>
      <c r="O43" s="970"/>
      <c r="P43" s="970"/>
      <c r="Q43" s="971"/>
    </row>
    <row r="44" spans="1:17" ht="15" x14ac:dyDescent="0.2">
      <c r="A44" s="670"/>
      <c r="B44" s="976" t="s">
        <v>1419</v>
      </c>
      <c r="C44" s="974"/>
      <c r="D44" s="974"/>
      <c r="E44" s="974"/>
      <c r="F44" s="974"/>
      <c r="G44" s="974"/>
      <c r="H44" s="974"/>
      <c r="I44" s="974"/>
      <c r="J44" s="974"/>
      <c r="K44" s="974"/>
      <c r="L44" s="974"/>
      <c r="M44" s="974"/>
      <c r="N44" s="974"/>
      <c r="O44" s="974"/>
      <c r="P44" s="974"/>
      <c r="Q44" s="975"/>
    </row>
    <row r="45" spans="1:17" ht="15" customHeight="1" x14ac:dyDescent="0.2">
      <c r="A45" s="670"/>
      <c r="B45" s="1098" t="s">
        <v>546</v>
      </c>
      <c r="C45" s="1099"/>
      <c r="D45" s="1099"/>
      <c r="E45" s="1099"/>
      <c r="F45" s="1099"/>
      <c r="G45" s="1403"/>
      <c r="H45" s="1099"/>
      <c r="I45" s="1099"/>
      <c r="J45" s="1099"/>
      <c r="K45" s="1099"/>
      <c r="L45" s="1403"/>
      <c r="M45" s="1099"/>
      <c r="N45" s="1099"/>
      <c r="O45" s="1099"/>
      <c r="P45" s="1099"/>
      <c r="Q45" s="659"/>
    </row>
    <row r="46" spans="1:17" ht="14.25" customHeight="1" x14ac:dyDescent="0.2">
      <c r="A46" s="670"/>
      <c r="B46" s="983" t="s">
        <v>1420</v>
      </c>
      <c r="C46" s="981"/>
      <c r="D46" s="981"/>
      <c r="E46" s="981"/>
      <c r="F46" s="981"/>
      <c r="G46" s="981"/>
      <c r="H46" s="981"/>
      <c r="I46" s="981"/>
      <c r="J46" s="981"/>
      <c r="K46" s="981"/>
      <c r="L46" s="981"/>
      <c r="M46" s="981"/>
      <c r="N46" s="981"/>
      <c r="O46" s="981"/>
      <c r="P46" s="981"/>
      <c r="Q46" s="982"/>
    </row>
    <row r="47" spans="1:17" ht="37.5" customHeight="1" x14ac:dyDescent="0.2">
      <c r="A47" s="670"/>
      <c r="B47" s="1398" t="s">
        <v>1421</v>
      </c>
      <c r="C47" s="1384"/>
      <c r="D47" s="1384"/>
      <c r="E47" s="1384"/>
      <c r="F47" s="1384"/>
      <c r="G47" s="1384"/>
      <c r="H47" s="1384"/>
      <c r="I47" s="1384"/>
      <c r="J47" s="1384"/>
      <c r="K47" s="1384"/>
      <c r="L47" s="1384"/>
      <c r="M47" s="1384"/>
      <c r="N47" s="1384"/>
      <c r="O47" s="1384"/>
      <c r="P47" s="1384"/>
      <c r="Q47" s="1385"/>
    </row>
    <row r="48" spans="1:17" ht="15" customHeight="1" x14ac:dyDescent="0.2">
      <c r="A48" s="670"/>
      <c r="B48" s="986" t="s">
        <v>1422</v>
      </c>
      <c r="C48" s="984"/>
      <c r="D48" s="984"/>
      <c r="E48" s="984"/>
      <c r="F48" s="984"/>
      <c r="G48" s="984"/>
      <c r="H48" s="984"/>
      <c r="I48" s="984"/>
      <c r="J48" s="984"/>
      <c r="K48" s="984"/>
      <c r="L48" s="984"/>
      <c r="M48" s="984"/>
      <c r="N48" s="984"/>
      <c r="O48" s="984"/>
      <c r="P48" s="984"/>
      <c r="Q48" s="985"/>
    </row>
    <row r="49" spans="1:18" ht="15" customHeight="1" x14ac:dyDescent="0.2">
      <c r="A49" s="670"/>
      <c r="B49" s="986" t="s">
        <v>1423</v>
      </c>
      <c r="C49" s="984"/>
      <c r="D49" s="984"/>
      <c r="E49" s="984"/>
      <c r="F49" s="984"/>
      <c r="G49" s="984"/>
      <c r="H49" s="984"/>
      <c r="I49" s="984"/>
      <c r="J49" s="984"/>
      <c r="K49" s="984"/>
      <c r="L49" s="984"/>
      <c r="M49" s="984"/>
      <c r="N49" s="984"/>
      <c r="O49" s="984"/>
      <c r="P49" s="984"/>
      <c r="Q49" s="985"/>
    </row>
    <row r="50" spans="1:18" ht="15" customHeight="1" x14ac:dyDescent="0.2">
      <c r="A50" s="670"/>
      <c r="B50" s="990" t="s">
        <v>1428</v>
      </c>
      <c r="C50" s="988"/>
      <c r="D50" s="988"/>
      <c r="E50" s="988"/>
      <c r="F50" s="988"/>
      <c r="G50" s="988"/>
      <c r="H50" s="988"/>
      <c r="I50" s="988"/>
      <c r="J50" s="988"/>
      <c r="K50" s="988"/>
      <c r="L50" s="988"/>
      <c r="M50" s="988"/>
      <c r="N50" s="988"/>
      <c r="O50" s="988"/>
      <c r="P50" s="988"/>
      <c r="Q50" s="989"/>
    </row>
    <row r="51" spans="1:18" ht="15" customHeight="1" x14ac:dyDescent="0.2">
      <c r="A51" s="670"/>
      <c r="B51" s="1000" t="s">
        <v>1433</v>
      </c>
      <c r="C51" s="998"/>
      <c r="D51" s="998"/>
      <c r="E51" s="998"/>
      <c r="F51" s="998"/>
      <c r="G51" s="998"/>
      <c r="H51" s="998"/>
      <c r="I51" s="998"/>
      <c r="J51" s="998"/>
      <c r="K51" s="998"/>
      <c r="L51" s="998"/>
      <c r="M51" s="998"/>
      <c r="N51" s="998"/>
      <c r="O51" s="998"/>
      <c r="P51" s="998"/>
      <c r="Q51" s="999"/>
    </row>
    <row r="52" spans="1:18" ht="15" customHeight="1" x14ac:dyDescent="0.2">
      <c r="A52" s="670"/>
      <c r="B52" s="1004" t="s">
        <v>1435</v>
      </c>
      <c r="C52" s="1002"/>
      <c r="D52" s="1002"/>
      <c r="E52" s="1002"/>
      <c r="F52" s="1002"/>
      <c r="G52" s="1002"/>
      <c r="H52" s="1002"/>
      <c r="I52" s="1002"/>
      <c r="J52" s="1002"/>
      <c r="K52" s="1002"/>
      <c r="L52" s="1002"/>
      <c r="M52" s="1002"/>
      <c r="N52" s="1002"/>
      <c r="O52" s="1002"/>
      <c r="P52" s="1002"/>
      <c r="Q52" s="1003"/>
    </row>
    <row r="53" spans="1:18" ht="49.5" customHeight="1" x14ac:dyDescent="0.2">
      <c r="A53" s="670"/>
      <c r="B53" s="1398" t="s">
        <v>1438</v>
      </c>
      <c r="C53" s="1384"/>
      <c r="D53" s="1384"/>
      <c r="E53" s="1384"/>
      <c r="F53" s="1384"/>
      <c r="G53" s="1384"/>
      <c r="H53" s="1384"/>
      <c r="I53" s="1384"/>
      <c r="J53" s="1384"/>
      <c r="K53" s="1384"/>
      <c r="L53" s="1384"/>
      <c r="M53" s="1384"/>
      <c r="N53" s="1384"/>
      <c r="O53" s="1384"/>
      <c r="P53" s="1384"/>
      <c r="Q53" s="1385"/>
      <c r="R53" s="671"/>
    </row>
    <row r="54" spans="1:18" ht="15" x14ac:dyDescent="0.2">
      <c r="A54" s="670"/>
      <c r="B54" s="1007" t="s">
        <v>1440</v>
      </c>
      <c r="Q54" s="670"/>
      <c r="R54" s="671"/>
    </row>
    <row r="55" spans="1:18" ht="15" x14ac:dyDescent="0.2">
      <c r="A55" s="670"/>
      <c r="B55" s="1007" t="s">
        <v>1441</v>
      </c>
      <c r="Q55" s="670"/>
      <c r="R55" s="671"/>
    </row>
    <row r="56" spans="1:18" ht="15" x14ac:dyDescent="0.2">
      <c r="A56" s="670"/>
      <c r="B56" s="1007" t="s">
        <v>1443</v>
      </c>
      <c r="Q56" s="670"/>
      <c r="R56" s="671"/>
    </row>
    <row r="57" spans="1:18" ht="15" customHeight="1" x14ac:dyDescent="0.2">
      <c r="A57" s="670"/>
      <c r="B57" s="1098" t="s">
        <v>547</v>
      </c>
      <c r="C57" s="1099"/>
      <c r="D57" s="1099"/>
      <c r="E57" s="1099"/>
      <c r="F57" s="1099"/>
      <c r="G57" s="658"/>
      <c r="H57" s="658"/>
      <c r="I57" s="1389" t="s">
        <v>573</v>
      </c>
      <c r="J57" s="1389"/>
      <c r="K57" s="541">
        <v>6.6</v>
      </c>
      <c r="L57" s="541"/>
      <c r="M57" s="541"/>
      <c r="N57" s="541"/>
      <c r="O57" s="541"/>
      <c r="P57" s="541"/>
      <c r="Q57" s="541"/>
    </row>
    <row r="58" spans="1:18" ht="15" customHeight="1" x14ac:dyDescent="0.2">
      <c r="A58" s="670"/>
      <c r="B58" s="642" t="s">
        <v>1444</v>
      </c>
      <c r="C58" s="642"/>
      <c r="D58" s="642"/>
      <c r="E58" s="642"/>
      <c r="F58" s="642"/>
      <c r="G58" s="642"/>
      <c r="H58" s="642"/>
      <c r="I58" s="642"/>
      <c r="J58" s="642"/>
      <c r="K58" s="642"/>
      <c r="L58" s="642"/>
      <c r="M58" s="642"/>
      <c r="N58" s="642"/>
      <c r="O58" s="642"/>
      <c r="P58" s="642"/>
      <c r="Q58" s="17"/>
    </row>
    <row r="59" spans="1:18" ht="27" customHeight="1" x14ac:dyDescent="0.2">
      <c r="A59" s="670"/>
      <c r="B59" s="1387" t="s">
        <v>1445</v>
      </c>
      <c r="C59" s="1165"/>
      <c r="D59" s="1165"/>
      <c r="E59" s="1165"/>
      <c r="F59" s="1165"/>
      <c r="G59" s="1165"/>
      <c r="H59" s="1165"/>
      <c r="I59" s="1165"/>
      <c r="J59" s="1165"/>
      <c r="K59" s="1165"/>
      <c r="L59" s="1165"/>
      <c r="M59" s="1165"/>
      <c r="N59" s="1165"/>
      <c r="O59" s="1165"/>
      <c r="P59" s="1165"/>
      <c r="Q59" s="1388"/>
    </row>
    <row r="60" spans="1:18" ht="30.75" customHeight="1" x14ac:dyDescent="0.2">
      <c r="A60" s="670"/>
      <c r="B60" s="1395" t="s">
        <v>1447</v>
      </c>
      <c r="C60" s="1396"/>
      <c r="D60" s="1396"/>
      <c r="E60" s="1396"/>
      <c r="F60" s="1396"/>
      <c r="G60" s="1396"/>
      <c r="H60" s="1396"/>
      <c r="I60" s="1396"/>
      <c r="J60" s="1396"/>
      <c r="K60" s="1396"/>
      <c r="L60" s="1396"/>
      <c r="M60" s="1396"/>
      <c r="N60" s="1396"/>
      <c r="O60" s="1396"/>
      <c r="P60" s="1396"/>
      <c r="Q60" s="1397"/>
    </row>
    <row r="61" spans="1:18" ht="15" x14ac:dyDescent="0.2">
      <c r="A61" s="670"/>
      <c r="B61" s="1387" t="s">
        <v>1449</v>
      </c>
      <c r="C61" s="1165"/>
      <c r="D61" s="1165"/>
      <c r="E61" s="1165"/>
      <c r="F61" s="1165"/>
      <c r="G61" s="1165"/>
      <c r="H61" s="1165"/>
      <c r="I61" s="1165"/>
      <c r="J61" s="1165"/>
      <c r="K61" s="1165"/>
      <c r="L61" s="1165"/>
      <c r="M61" s="1165"/>
      <c r="N61" s="1165"/>
      <c r="O61" s="1165"/>
      <c r="P61" s="1165"/>
      <c r="Q61" s="1388"/>
    </row>
    <row r="62" spans="1:18" ht="27" customHeight="1" x14ac:dyDescent="0.2">
      <c r="A62" s="670"/>
      <c r="B62" s="1387" t="s">
        <v>1450</v>
      </c>
      <c r="C62" s="1165"/>
      <c r="D62" s="1165"/>
      <c r="E62" s="1165"/>
      <c r="F62" s="1165"/>
      <c r="G62" s="1165"/>
      <c r="H62" s="1165"/>
      <c r="I62" s="1165"/>
      <c r="J62" s="1165"/>
      <c r="K62" s="1165"/>
      <c r="L62" s="1165"/>
      <c r="M62" s="1165"/>
      <c r="N62" s="1165"/>
      <c r="O62" s="1165"/>
      <c r="P62" s="1165"/>
      <c r="Q62" s="1388"/>
    </row>
    <row r="63" spans="1:18" ht="57" customHeight="1" x14ac:dyDescent="0.2">
      <c r="A63" s="670"/>
      <c r="B63" s="1387" t="s">
        <v>1591</v>
      </c>
      <c r="C63" s="1165"/>
      <c r="D63" s="1165"/>
      <c r="E63" s="1165"/>
      <c r="F63" s="1165"/>
      <c r="G63" s="1165"/>
      <c r="H63" s="1165"/>
      <c r="I63" s="1165"/>
      <c r="J63" s="1165"/>
      <c r="K63" s="1165"/>
      <c r="L63" s="1165"/>
      <c r="M63" s="1165"/>
      <c r="N63" s="1165"/>
      <c r="O63" s="1165"/>
      <c r="P63" s="1165"/>
      <c r="Q63" s="1388"/>
    </row>
    <row r="64" spans="1:18" ht="31.5" customHeight="1" x14ac:dyDescent="0.2">
      <c r="A64" s="670"/>
      <c r="B64" s="1387" t="s">
        <v>1598</v>
      </c>
      <c r="C64" s="1165"/>
      <c r="D64" s="1165"/>
      <c r="E64" s="1165"/>
      <c r="F64" s="1165"/>
      <c r="G64" s="1165"/>
      <c r="H64" s="1165"/>
      <c r="I64" s="1165"/>
      <c r="J64" s="1165"/>
      <c r="K64" s="1165"/>
      <c r="L64" s="1165"/>
      <c r="M64" s="1165"/>
      <c r="N64" s="1165"/>
      <c r="O64" s="1165"/>
      <c r="P64" s="1165"/>
      <c r="Q64" s="1388"/>
    </row>
    <row r="65" spans="1:17" ht="15" x14ac:dyDescent="0.2">
      <c r="A65" s="670"/>
      <c r="B65" s="642" t="s">
        <v>1733</v>
      </c>
      <c r="C65" s="642"/>
      <c r="D65" s="642"/>
      <c r="E65" s="642"/>
      <c r="F65" s="642"/>
      <c r="G65" s="642"/>
      <c r="H65" s="642"/>
      <c r="I65" s="642"/>
      <c r="J65" s="642"/>
      <c r="K65" s="642"/>
      <c r="L65" s="642"/>
      <c r="M65" s="642"/>
      <c r="N65" s="642"/>
      <c r="O65" s="642"/>
      <c r="P65" s="642"/>
      <c r="Q65" s="17"/>
    </row>
    <row r="66" spans="1:17" ht="41.25" customHeight="1" x14ac:dyDescent="0.2">
      <c r="A66" s="670"/>
      <c r="B66" s="1387" t="s">
        <v>1738</v>
      </c>
      <c r="C66" s="1390"/>
      <c r="D66" s="1390"/>
      <c r="E66" s="1390"/>
      <c r="F66" s="1390"/>
      <c r="G66" s="1390"/>
      <c r="H66" s="1390"/>
      <c r="I66" s="1390"/>
      <c r="J66" s="1390"/>
      <c r="K66" s="1390"/>
      <c r="L66" s="1390"/>
      <c r="M66" s="1390"/>
      <c r="N66" s="1390"/>
      <c r="O66" s="1390"/>
      <c r="P66" s="1390"/>
      <c r="Q66" s="1388"/>
    </row>
    <row r="67" spans="1:17" ht="15" customHeight="1" x14ac:dyDescent="0.2">
      <c r="A67" s="670"/>
      <c r="B67" s="1387"/>
      <c r="C67" s="1390"/>
      <c r="D67" s="1390"/>
      <c r="E67" s="1390"/>
      <c r="F67" s="1390"/>
      <c r="G67" s="1390"/>
      <c r="H67" s="1390"/>
      <c r="I67" s="1390"/>
      <c r="J67" s="1390"/>
      <c r="K67" s="1390"/>
      <c r="L67" s="1390"/>
      <c r="M67" s="1390"/>
      <c r="N67" s="1390"/>
      <c r="O67" s="1390"/>
      <c r="P67" s="1390"/>
      <c r="Q67" s="1388"/>
    </row>
    <row r="68" spans="1:17" ht="15" x14ac:dyDescent="0.2">
      <c r="A68" s="670"/>
      <c r="B68" s="642" t="s">
        <v>1740</v>
      </c>
      <c r="C68" s="642"/>
      <c r="D68" s="642"/>
      <c r="E68" s="642"/>
      <c r="F68" s="642"/>
      <c r="G68" s="642"/>
      <c r="H68" s="642"/>
      <c r="I68" s="642"/>
      <c r="J68" s="642"/>
      <c r="K68" s="642"/>
      <c r="L68" s="642"/>
      <c r="M68" s="642"/>
      <c r="N68" s="642"/>
      <c r="O68" s="642"/>
      <c r="P68" s="642"/>
      <c r="Q68" s="17"/>
    </row>
    <row r="69" spans="1:17" ht="60.75" customHeight="1" x14ac:dyDescent="0.2">
      <c r="A69" s="670"/>
      <c r="B69" s="1387" t="s">
        <v>1742</v>
      </c>
      <c r="C69" s="1165"/>
      <c r="D69" s="1165"/>
      <c r="E69" s="1165"/>
      <c r="F69" s="1165"/>
      <c r="G69" s="1165"/>
      <c r="H69" s="1165"/>
      <c r="I69" s="1165"/>
      <c r="J69" s="1165"/>
      <c r="K69" s="1165"/>
      <c r="L69" s="1165"/>
      <c r="M69" s="1165"/>
      <c r="N69" s="1165"/>
      <c r="O69" s="1165"/>
      <c r="P69" s="1165"/>
      <c r="Q69" s="1388"/>
    </row>
    <row r="70" spans="1:17" ht="15" x14ac:dyDescent="0.2">
      <c r="A70" s="670"/>
      <c r="B70" s="1387" t="s">
        <v>1743</v>
      </c>
      <c r="C70" s="1165"/>
      <c r="D70" s="1165"/>
      <c r="E70" s="1165"/>
      <c r="F70" s="1165"/>
      <c r="G70" s="1165"/>
      <c r="H70" s="1165"/>
      <c r="I70" s="1165"/>
      <c r="J70" s="1165"/>
      <c r="K70" s="1165"/>
      <c r="L70" s="1165"/>
      <c r="M70" s="1165"/>
      <c r="N70" s="1165"/>
      <c r="O70" s="1165"/>
      <c r="P70" s="1165"/>
      <c r="Q70" s="1388"/>
    </row>
    <row r="71" spans="1:17" s="1017" customFormat="1" ht="43.5" customHeight="1" x14ac:dyDescent="0.2">
      <c r="A71" s="1016"/>
      <c r="B71" s="1392" t="s">
        <v>1804</v>
      </c>
      <c r="C71" s="1393"/>
      <c r="D71" s="1393"/>
      <c r="E71" s="1393"/>
      <c r="F71" s="1393"/>
      <c r="G71" s="1393"/>
      <c r="H71" s="1393"/>
      <c r="I71" s="1393"/>
      <c r="J71" s="1393"/>
      <c r="K71" s="1393"/>
      <c r="L71" s="1393"/>
      <c r="M71" s="1393"/>
      <c r="N71" s="1393"/>
      <c r="O71" s="1393"/>
      <c r="P71" s="1393"/>
      <c r="Q71" s="1394"/>
    </row>
    <row r="72" spans="1:17" ht="77.25" customHeight="1" x14ac:dyDescent="0.2">
      <c r="A72" s="670"/>
      <c r="B72" s="1386" t="s">
        <v>1867</v>
      </c>
      <c r="C72" s="1386"/>
      <c r="D72" s="1386"/>
      <c r="E72" s="1386"/>
      <c r="F72" s="1386"/>
      <c r="G72" s="1386"/>
      <c r="H72" s="1386"/>
      <c r="I72" s="1386"/>
      <c r="J72" s="1386"/>
      <c r="K72" s="1386"/>
      <c r="L72" s="1386"/>
      <c r="M72" s="1386"/>
      <c r="N72" s="1386"/>
      <c r="O72" s="1386"/>
      <c r="P72" s="1386"/>
      <c r="Q72" s="1385"/>
    </row>
    <row r="73" spans="1:17" ht="14.45" customHeight="1" x14ac:dyDescent="0.2">
      <c r="A73" s="670"/>
      <c r="B73" s="1399" t="s">
        <v>1868</v>
      </c>
      <c r="C73" s="1382"/>
      <c r="D73" s="1382"/>
      <c r="E73" s="1382"/>
      <c r="F73" s="1382"/>
      <c r="G73" s="1382"/>
      <c r="H73" s="1382"/>
      <c r="I73" s="1382"/>
      <c r="J73" s="1382"/>
      <c r="K73" s="1382"/>
      <c r="L73" s="1382"/>
      <c r="M73" s="1382"/>
      <c r="N73" s="1382"/>
      <c r="O73" s="1382"/>
      <c r="P73" s="1382"/>
      <c r="Q73" s="1383"/>
    </row>
    <row r="74" spans="1:17" ht="15" x14ac:dyDescent="0.2">
      <c r="A74" s="670"/>
      <c r="B74" s="1399"/>
      <c r="C74" s="1382"/>
      <c r="D74" s="1382"/>
      <c r="E74" s="1382"/>
      <c r="F74" s="1382"/>
      <c r="G74" s="1382"/>
      <c r="H74" s="1382"/>
      <c r="I74" s="1382"/>
      <c r="J74" s="1382"/>
      <c r="K74" s="1382"/>
      <c r="L74" s="1382"/>
      <c r="M74" s="1382"/>
      <c r="N74" s="1382"/>
      <c r="O74" s="1382"/>
      <c r="P74" s="1382"/>
      <c r="Q74" s="1383"/>
    </row>
    <row r="75" spans="1:17" ht="15" x14ac:dyDescent="0.2">
      <c r="A75" s="670"/>
      <c r="B75" s="1382"/>
      <c r="C75" s="1382"/>
      <c r="D75" s="1382"/>
      <c r="E75" s="1382"/>
      <c r="F75" s="1382"/>
      <c r="G75" s="1382"/>
      <c r="H75" s="1382"/>
      <c r="I75" s="1382"/>
      <c r="J75" s="1382"/>
      <c r="K75" s="1382"/>
      <c r="L75" s="1382"/>
      <c r="M75" s="1382"/>
      <c r="N75" s="1382"/>
      <c r="O75" s="1382"/>
      <c r="P75" s="1382"/>
      <c r="Q75" s="1383"/>
    </row>
    <row r="76" spans="1:17" ht="15" x14ac:dyDescent="0.2">
      <c r="A76" s="670"/>
      <c r="B76" s="1382"/>
      <c r="C76" s="1382"/>
      <c r="D76" s="1382"/>
      <c r="E76" s="1382"/>
      <c r="F76" s="1382"/>
      <c r="G76" s="1382"/>
      <c r="H76" s="1382"/>
      <c r="I76" s="1382"/>
      <c r="J76" s="1382"/>
      <c r="K76" s="1382"/>
      <c r="L76" s="1382"/>
      <c r="M76" s="1382"/>
      <c r="N76" s="1382"/>
      <c r="O76" s="1382"/>
      <c r="P76" s="1382"/>
      <c r="Q76" s="1383"/>
    </row>
    <row r="77" spans="1:17" ht="15" customHeight="1" x14ac:dyDescent="0.2">
      <c r="A77" s="670"/>
      <c r="B77" s="1370"/>
      <c r="C77" s="1370"/>
      <c r="D77" s="1370"/>
      <c r="E77" s="1370"/>
      <c r="F77" s="1370"/>
      <c r="G77" s="1370"/>
      <c r="H77" s="1370"/>
      <c r="I77" s="1370"/>
      <c r="J77" s="1370"/>
      <c r="K77" s="1370"/>
      <c r="L77" s="1370"/>
      <c r="M77" s="1370"/>
      <c r="N77" s="1370"/>
      <c r="O77" s="1370"/>
      <c r="P77" s="1370"/>
      <c r="Q77" s="1371"/>
    </row>
    <row r="78" spans="1:17" ht="15" customHeight="1" x14ac:dyDescent="0.2">
      <c r="A78" s="670"/>
      <c r="B78" s="1370"/>
      <c r="C78" s="1370"/>
      <c r="D78" s="1370"/>
      <c r="E78" s="1370"/>
      <c r="F78" s="1370"/>
      <c r="G78" s="1370"/>
      <c r="H78" s="1370"/>
      <c r="I78" s="1370"/>
      <c r="J78" s="1370"/>
      <c r="K78" s="1370"/>
      <c r="L78" s="1370"/>
      <c r="M78" s="1370"/>
      <c r="N78" s="1370"/>
      <c r="O78" s="1370"/>
      <c r="P78" s="1370"/>
      <c r="Q78" s="1371"/>
    </row>
    <row r="79" spans="1:17" ht="15" customHeight="1" x14ac:dyDescent="0.2">
      <c r="A79" s="670"/>
      <c r="B79" s="1370"/>
      <c r="C79" s="1370"/>
      <c r="D79" s="1370"/>
      <c r="E79" s="1370"/>
      <c r="F79" s="1370"/>
      <c r="G79" s="1370"/>
      <c r="H79" s="1370"/>
      <c r="I79" s="1370"/>
      <c r="J79" s="1370"/>
      <c r="K79" s="1370"/>
      <c r="L79" s="1370"/>
      <c r="M79" s="1370"/>
      <c r="N79" s="1370"/>
      <c r="O79" s="1370"/>
      <c r="P79" s="1370"/>
      <c r="Q79" s="1371"/>
    </row>
    <row r="80" spans="1:17" ht="15" customHeight="1" x14ac:dyDescent="0.2">
      <c r="A80" s="670"/>
      <c r="B80" s="1370"/>
      <c r="C80" s="1370"/>
      <c r="D80" s="1370"/>
      <c r="E80" s="1370"/>
      <c r="F80" s="1370"/>
      <c r="G80" s="1370"/>
      <c r="H80" s="1370"/>
      <c r="I80" s="1370"/>
      <c r="J80" s="1370"/>
      <c r="K80" s="1370"/>
      <c r="L80" s="1370"/>
      <c r="M80" s="1370"/>
      <c r="N80" s="1370"/>
      <c r="O80" s="1370"/>
      <c r="P80" s="1370"/>
      <c r="Q80" s="1371"/>
    </row>
    <row r="81" spans="1:17" ht="15" customHeight="1" x14ac:dyDescent="0.2">
      <c r="A81" s="670"/>
      <c r="B81" s="1370"/>
      <c r="C81" s="1370"/>
      <c r="D81" s="1370"/>
      <c r="E81" s="1370"/>
      <c r="F81" s="1370"/>
      <c r="G81" s="1370"/>
      <c r="H81" s="1370"/>
      <c r="I81" s="1370"/>
      <c r="J81" s="1370"/>
      <c r="K81" s="1370"/>
      <c r="L81" s="1370"/>
      <c r="M81" s="1370"/>
      <c r="N81" s="1370"/>
      <c r="O81" s="1370"/>
      <c r="P81" s="1370"/>
      <c r="Q81" s="1371"/>
    </row>
    <row r="82" spans="1:17" ht="14.25" customHeight="1" x14ac:dyDescent="0.2">
      <c r="A82" s="670"/>
      <c r="B82" s="1370"/>
      <c r="C82" s="1370"/>
      <c r="D82" s="1370"/>
      <c r="E82" s="1370"/>
      <c r="F82" s="1370"/>
      <c r="G82" s="1370"/>
      <c r="H82" s="1370"/>
      <c r="I82" s="1370"/>
      <c r="J82" s="1370"/>
      <c r="K82" s="1370"/>
      <c r="L82" s="1370"/>
      <c r="M82" s="1370"/>
      <c r="N82" s="1370"/>
      <c r="O82" s="1370"/>
      <c r="P82" s="1370"/>
      <c r="Q82" s="1371"/>
    </row>
    <row r="83" spans="1:17" ht="14.25" customHeight="1" x14ac:dyDescent="0.2">
      <c r="A83" s="670"/>
      <c r="B83" s="1370"/>
      <c r="C83" s="1370"/>
      <c r="D83" s="1370"/>
      <c r="E83" s="1370"/>
      <c r="F83" s="1370"/>
      <c r="G83" s="1370"/>
      <c r="H83" s="1370"/>
      <c r="I83" s="1370"/>
      <c r="J83" s="1370"/>
      <c r="K83" s="1370"/>
      <c r="L83" s="1370"/>
      <c r="M83" s="1370"/>
      <c r="N83" s="1370"/>
      <c r="O83" s="1370"/>
      <c r="P83" s="1370"/>
      <c r="Q83" s="1371"/>
    </row>
    <row r="84" spans="1:17" ht="14.25" customHeight="1" x14ac:dyDescent="0.2">
      <c r="A84" s="670"/>
      <c r="B84" s="1378"/>
      <c r="C84" s="1379"/>
      <c r="D84" s="1379"/>
      <c r="E84" s="1379"/>
      <c r="F84" s="1379"/>
      <c r="G84" s="1379"/>
      <c r="H84" s="1379"/>
      <c r="I84" s="1379"/>
      <c r="J84" s="1379"/>
      <c r="K84" s="1379"/>
      <c r="L84" s="1379"/>
      <c r="M84" s="1379"/>
      <c r="N84" s="1379"/>
      <c r="O84" s="1379"/>
      <c r="P84" s="1379"/>
      <c r="Q84" s="1380"/>
    </row>
    <row r="85" spans="1:17" ht="14.25" customHeight="1" x14ac:dyDescent="0.2">
      <c r="A85" s="670"/>
      <c r="B85" s="1378"/>
      <c r="C85" s="1379"/>
      <c r="D85" s="1379"/>
      <c r="E85" s="1379"/>
      <c r="F85" s="1379"/>
      <c r="G85" s="1379"/>
      <c r="H85" s="1379"/>
      <c r="I85" s="1379"/>
      <c r="J85" s="1379"/>
      <c r="K85" s="1379"/>
      <c r="L85" s="1379"/>
      <c r="M85" s="1379"/>
      <c r="N85" s="1379"/>
      <c r="O85" s="1379"/>
      <c r="P85" s="1379"/>
      <c r="Q85" s="1380"/>
    </row>
    <row r="86" spans="1:17" ht="12.75" customHeight="1" x14ac:dyDescent="0.2">
      <c r="A86" s="670"/>
      <c r="B86" s="1378"/>
      <c r="C86" s="1379"/>
      <c r="D86" s="1379"/>
      <c r="E86" s="1379"/>
      <c r="F86" s="1379"/>
      <c r="G86" s="1379"/>
      <c r="H86" s="1379"/>
      <c r="I86" s="1379"/>
      <c r="J86" s="1379"/>
      <c r="K86" s="1379"/>
      <c r="L86" s="1379"/>
      <c r="M86" s="1379"/>
      <c r="N86" s="1379"/>
      <c r="O86" s="1379"/>
      <c r="P86" s="1379"/>
      <c r="Q86" s="1380"/>
    </row>
    <row r="87" spans="1:17" ht="12.75" customHeight="1" x14ac:dyDescent="0.2">
      <c r="A87" s="670"/>
      <c r="B87" s="1378"/>
      <c r="C87" s="1379"/>
      <c r="D87" s="1379"/>
      <c r="E87" s="1379"/>
      <c r="F87" s="1379"/>
      <c r="G87" s="1379"/>
      <c r="H87" s="1379"/>
      <c r="I87" s="1379"/>
      <c r="J87" s="1379"/>
      <c r="K87" s="1379"/>
      <c r="L87" s="1379"/>
      <c r="M87" s="1379"/>
      <c r="N87" s="1379"/>
      <c r="O87" s="1379"/>
      <c r="P87" s="1379"/>
      <c r="Q87" s="1380"/>
    </row>
    <row r="88" spans="1:17" x14ac:dyDescent="0.2">
      <c r="A88" s="670"/>
      <c r="B88" s="1378"/>
      <c r="C88" s="1379"/>
      <c r="D88" s="1379"/>
      <c r="E88" s="1379"/>
      <c r="F88" s="1379"/>
      <c r="G88" s="1379"/>
      <c r="H88" s="1379"/>
      <c r="I88" s="1379"/>
      <c r="J88" s="1379"/>
      <c r="K88" s="1379"/>
      <c r="L88" s="1379"/>
      <c r="M88" s="1379"/>
      <c r="N88" s="1379"/>
      <c r="O88" s="1379"/>
      <c r="P88" s="1379"/>
      <c r="Q88" s="1380"/>
    </row>
    <row r="89" spans="1:17" x14ac:dyDescent="0.2">
      <c r="A89" s="670"/>
      <c r="B89" s="1378"/>
      <c r="C89" s="1379"/>
      <c r="D89" s="1379"/>
      <c r="E89" s="1379"/>
      <c r="F89" s="1379"/>
      <c r="G89" s="1379"/>
      <c r="H89" s="1379"/>
      <c r="I89" s="1379"/>
      <c r="J89" s="1379"/>
      <c r="K89" s="1379"/>
      <c r="L89" s="1379"/>
      <c r="M89" s="1379"/>
      <c r="N89" s="1379"/>
      <c r="O89" s="1379"/>
      <c r="P89" s="1379"/>
      <c r="Q89" s="1380"/>
    </row>
    <row r="90" spans="1:17" ht="15" x14ac:dyDescent="0.2">
      <c r="A90" s="670"/>
      <c r="B90" s="41"/>
      <c r="C90" s="53"/>
      <c r="D90" s="53"/>
      <c r="E90" s="53"/>
      <c r="F90" s="53"/>
      <c r="G90" s="53"/>
      <c r="H90" s="53"/>
      <c r="I90" s="53"/>
      <c r="J90" s="53"/>
      <c r="K90" s="53"/>
      <c r="L90" s="53"/>
      <c r="M90" s="53"/>
      <c r="N90" s="53"/>
      <c r="O90" s="53"/>
      <c r="P90" s="53"/>
      <c r="Q90" s="42"/>
    </row>
    <row r="91" spans="1:17" ht="15" x14ac:dyDescent="0.2">
      <c r="A91" s="670"/>
      <c r="B91" s="1378"/>
      <c r="C91" s="1379"/>
      <c r="D91" s="1379"/>
      <c r="E91" s="1379"/>
      <c r="F91" s="1379"/>
      <c r="G91" s="1379"/>
      <c r="H91" s="1379"/>
      <c r="I91" s="1379"/>
      <c r="J91" s="1379"/>
      <c r="K91" s="1379"/>
      <c r="L91" s="1379"/>
      <c r="M91" s="1379"/>
      <c r="N91" s="1379"/>
      <c r="O91" s="1379"/>
      <c r="P91" s="1379"/>
      <c r="Q91" s="1380"/>
    </row>
    <row r="92" spans="1:17" ht="15" x14ac:dyDescent="0.2">
      <c r="A92" s="670"/>
      <c r="B92" s="1378"/>
      <c r="C92" s="1379"/>
      <c r="D92" s="1379"/>
      <c r="E92" s="1379"/>
      <c r="F92" s="1379"/>
      <c r="G92" s="1379"/>
      <c r="H92" s="1379"/>
      <c r="I92" s="1379"/>
      <c r="J92" s="1379"/>
      <c r="K92" s="1379"/>
      <c r="L92" s="1379"/>
      <c r="M92" s="1379"/>
      <c r="N92" s="1379"/>
      <c r="O92" s="1379"/>
      <c r="P92" s="1379"/>
      <c r="Q92" s="1380"/>
    </row>
    <row r="93" spans="1:17" ht="15" x14ac:dyDescent="0.2">
      <c r="A93" s="670"/>
      <c r="B93" s="1391"/>
      <c r="C93" s="1370"/>
      <c r="D93" s="1370"/>
      <c r="E93" s="1370"/>
      <c r="F93" s="1370"/>
      <c r="G93" s="1370"/>
      <c r="H93" s="1370"/>
      <c r="I93" s="1370"/>
      <c r="J93" s="1370"/>
      <c r="K93" s="1370"/>
      <c r="L93" s="1370"/>
      <c r="M93" s="1370"/>
      <c r="N93" s="1370"/>
      <c r="O93" s="1370"/>
      <c r="P93" s="1370"/>
      <c r="Q93" s="1371"/>
    </row>
    <row r="94" spans="1:17" ht="15" x14ac:dyDescent="0.2">
      <c r="A94" s="670"/>
      <c r="B94" s="1378"/>
      <c r="C94" s="1379"/>
      <c r="D94" s="1379"/>
      <c r="E94" s="1379"/>
      <c r="F94" s="1379"/>
      <c r="G94" s="1379"/>
      <c r="H94" s="1379"/>
      <c r="I94" s="1379"/>
      <c r="J94" s="1379"/>
      <c r="K94" s="1379"/>
      <c r="L94" s="1379"/>
      <c r="M94" s="1379"/>
      <c r="N94" s="1379"/>
      <c r="O94" s="1379"/>
      <c r="P94" s="1379"/>
      <c r="Q94" s="1380"/>
    </row>
    <row r="95" spans="1:17" ht="15" x14ac:dyDescent="0.2">
      <c r="A95" s="670"/>
      <c r="B95" s="1391"/>
      <c r="C95" s="1370"/>
      <c r="D95" s="1370"/>
      <c r="E95" s="1370"/>
      <c r="F95" s="1370"/>
      <c r="G95" s="1370"/>
      <c r="H95" s="1370"/>
      <c r="I95" s="1370"/>
      <c r="J95" s="1370"/>
      <c r="K95" s="1370"/>
      <c r="L95" s="1370"/>
      <c r="M95" s="1370"/>
      <c r="N95" s="1370"/>
      <c r="O95" s="1370"/>
      <c r="P95" s="1370"/>
      <c r="Q95" s="1371"/>
    </row>
    <row r="96" spans="1:17" ht="15" x14ac:dyDescent="0.2">
      <c r="A96" s="670"/>
      <c r="B96" s="53"/>
      <c r="C96" s="53"/>
      <c r="D96" s="53"/>
      <c r="E96" s="53"/>
      <c r="F96" s="53"/>
      <c r="G96" s="53"/>
      <c r="H96" s="53"/>
      <c r="I96" s="53"/>
      <c r="J96" s="53"/>
      <c r="K96" s="53"/>
      <c r="L96" s="53"/>
      <c r="M96" s="53"/>
      <c r="N96" s="53"/>
      <c r="O96" s="53"/>
      <c r="P96" s="53"/>
      <c r="Q96" s="42"/>
    </row>
    <row r="97" spans="1:17" ht="15" x14ac:dyDescent="0.2">
      <c r="A97" s="670"/>
      <c r="B97" s="53"/>
      <c r="C97" s="53"/>
      <c r="D97" s="53"/>
      <c r="E97" s="53"/>
      <c r="F97" s="53"/>
      <c r="G97" s="53"/>
      <c r="H97" s="53"/>
      <c r="I97" s="53"/>
      <c r="J97" s="53"/>
      <c r="K97" s="53"/>
      <c r="L97" s="53"/>
      <c r="M97" s="53"/>
      <c r="N97" s="53"/>
      <c r="O97" s="53"/>
      <c r="P97" s="53"/>
      <c r="Q97" s="42"/>
    </row>
    <row r="98" spans="1:17" ht="15" x14ac:dyDescent="0.2">
      <c r="A98" s="670"/>
      <c r="B98" s="1370"/>
      <c r="C98" s="1370"/>
      <c r="D98" s="1370"/>
      <c r="E98" s="1370"/>
      <c r="F98" s="1370"/>
      <c r="G98" s="1370"/>
      <c r="H98" s="1370"/>
      <c r="I98" s="1370"/>
      <c r="J98" s="1370"/>
      <c r="K98" s="1370"/>
      <c r="L98" s="1370"/>
      <c r="M98" s="1370"/>
      <c r="N98" s="1370"/>
      <c r="O98" s="1370"/>
      <c r="P98" s="1370"/>
      <c r="Q98" s="1371"/>
    </row>
    <row r="99" spans="1:17" ht="15" x14ac:dyDescent="0.2">
      <c r="A99" s="670"/>
      <c r="B99" s="41"/>
      <c r="C99" s="53"/>
      <c r="D99" s="53"/>
      <c r="E99" s="53"/>
      <c r="F99" s="53"/>
      <c r="G99" s="53"/>
      <c r="H99" s="53"/>
      <c r="I99" s="53"/>
      <c r="J99" s="53"/>
      <c r="K99" s="53"/>
      <c r="L99" s="53"/>
      <c r="M99" s="53"/>
      <c r="N99" s="53"/>
      <c r="O99" s="53"/>
      <c r="P99" s="53"/>
      <c r="Q99" s="42"/>
    </row>
    <row r="100" spans="1:17" ht="15" x14ac:dyDescent="0.2">
      <c r="A100" s="670"/>
      <c r="B100" s="1370"/>
      <c r="C100" s="1370"/>
      <c r="D100" s="1370"/>
      <c r="E100" s="1370"/>
      <c r="F100" s="1370"/>
      <c r="G100" s="1370"/>
      <c r="H100" s="1370"/>
      <c r="I100" s="1370"/>
      <c r="J100" s="1370"/>
      <c r="K100" s="1370"/>
      <c r="L100" s="1370"/>
      <c r="M100" s="1370"/>
      <c r="N100" s="1370"/>
      <c r="O100" s="1370"/>
      <c r="P100" s="1370"/>
      <c r="Q100" s="1371"/>
    </row>
    <row r="101" spans="1:17" ht="15" x14ac:dyDescent="0.2">
      <c r="A101" s="670"/>
      <c r="B101" s="1370"/>
      <c r="C101" s="1370"/>
      <c r="D101" s="1370"/>
      <c r="E101" s="1370"/>
      <c r="F101" s="1370"/>
      <c r="G101" s="1370"/>
      <c r="H101" s="1370"/>
      <c r="I101" s="1370"/>
      <c r="J101" s="1370"/>
      <c r="K101" s="1370"/>
      <c r="L101" s="1370"/>
      <c r="M101" s="1370"/>
      <c r="N101" s="1370"/>
      <c r="O101" s="1370"/>
      <c r="P101" s="1370"/>
      <c r="Q101" s="1371"/>
    </row>
    <row r="102" spans="1:17" ht="15" x14ac:dyDescent="0.2">
      <c r="A102" s="670"/>
      <c r="B102" s="1370"/>
      <c r="C102" s="1370"/>
      <c r="D102" s="1370"/>
      <c r="E102" s="1370"/>
      <c r="F102" s="1370"/>
      <c r="G102" s="1370"/>
      <c r="H102" s="1370"/>
      <c r="I102" s="1370"/>
      <c r="J102" s="1370"/>
      <c r="K102" s="1370"/>
      <c r="L102" s="1370"/>
      <c r="M102" s="1370"/>
      <c r="N102" s="1370"/>
      <c r="O102" s="1370"/>
      <c r="P102" s="1370"/>
      <c r="Q102" s="1371"/>
    </row>
    <row r="103" spans="1:17" ht="15" customHeight="1" x14ac:dyDescent="0.2">
      <c r="A103" s="670"/>
      <c r="B103" s="1370"/>
      <c r="C103" s="1370"/>
      <c r="D103" s="1370"/>
      <c r="E103" s="1370"/>
      <c r="F103" s="1370"/>
      <c r="G103" s="1370"/>
      <c r="H103" s="1370"/>
      <c r="I103" s="1370"/>
      <c r="J103" s="1370"/>
      <c r="K103" s="1370"/>
      <c r="L103" s="1370"/>
      <c r="M103" s="1370"/>
      <c r="N103" s="1370"/>
      <c r="O103" s="1370"/>
      <c r="P103" s="1370"/>
      <c r="Q103" s="1371"/>
    </row>
    <row r="104" spans="1:17" ht="15" customHeight="1" x14ac:dyDescent="0.2">
      <c r="A104" s="670"/>
      <c r="B104" s="53"/>
      <c r="C104" s="53"/>
      <c r="D104" s="53"/>
      <c r="E104" s="53"/>
      <c r="F104" s="53"/>
      <c r="G104" s="53"/>
      <c r="H104" s="53"/>
      <c r="I104" s="53"/>
      <c r="J104" s="53"/>
      <c r="K104" s="53"/>
      <c r="L104" s="53"/>
      <c r="M104" s="53"/>
      <c r="N104" s="53"/>
      <c r="O104" s="53"/>
      <c r="P104" s="53"/>
      <c r="Q104" s="42"/>
    </row>
    <row r="105" spans="1:17" ht="15" x14ac:dyDescent="0.2">
      <c r="A105" s="670"/>
      <c r="B105" s="53"/>
      <c r="C105" s="53"/>
      <c r="D105" s="53"/>
      <c r="E105" s="53"/>
      <c r="F105" s="53"/>
      <c r="G105" s="53"/>
      <c r="H105" s="53"/>
      <c r="I105" s="53"/>
      <c r="J105" s="53"/>
      <c r="K105" s="53"/>
      <c r="L105" s="53"/>
      <c r="M105" s="53"/>
      <c r="N105" s="53"/>
      <c r="O105" s="53"/>
      <c r="P105" s="53"/>
      <c r="Q105" s="42"/>
    </row>
    <row r="106" spans="1:17" ht="15" x14ac:dyDescent="0.2">
      <c r="A106" s="670"/>
      <c r="B106" s="53"/>
      <c r="C106" s="53"/>
      <c r="D106" s="53"/>
      <c r="E106" s="53"/>
      <c r="F106" s="53"/>
      <c r="G106" s="53"/>
      <c r="H106" s="53"/>
      <c r="I106" s="53"/>
      <c r="J106" s="53"/>
      <c r="K106" s="53"/>
      <c r="L106" s="53"/>
      <c r="M106" s="53"/>
      <c r="N106" s="53"/>
      <c r="O106" s="53"/>
      <c r="P106" s="53"/>
      <c r="Q106" s="42"/>
    </row>
    <row r="107" spans="1:17" ht="15" x14ac:dyDescent="0.2">
      <c r="A107" s="670"/>
      <c r="B107" s="53"/>
      <c r="C107" s="53"/>
      <c r="D107" s="53"/>
      <c r="E107" s="53"/>
      <c r="F107" s="53"/>
      <c r="G107" s="53"/>
      <c r="H107" s="53"/>
      <c r="I107" s="53"/>
      <c r="J107" s="53"/>
      <c r="K107" s="53"/>
      <c r="L107" s="53"/>
      <c r="M107" s="53"/>
      <c r="N107" s="53"/>
      <c r="O107" s="53"/>
      <c r="P107" s="53"/>
      <c r="Q107" s="42"/>
    </row>
    <row r="108" spans="1:17" ht="15" x14ac:dyDescent="0.2">
      <c r="A108" s="670"/>
      <c r="B108" s="53"/>
      <c r="C108" s="53"/>
      <c r="D108" s="53"/>
      <c r="E108" s="53"/>
      <c r="F108" s="53"/>
      <c r="G108" s="53"/>
      <c r="H108" s="53"/>
      <c r="I108" s="53"/>
      <c r="J108" s="53"/>
      <c r="K108" s="53"/>
      <c r="L108" s="53"/>
      <c r="M108" s="53"/>
      <c r="N108" s="53"/>
      <c r="O108" s="53"/>
      <c r="P108" s="53"/>
      <c r="Q108" s="42"/>
    </row>
    <row r="109" spans="1:17" ht="15" customHeight="1" x14ac:dyDescent="0.2">
      <c r="A109" s="670"/>
      <c r="B109" s="41"/>
      <c r="C109" s="53"/>
      <c r="D109" s="53"/>
      <c r="E109" s="53"/>
      <c r="F109" s="53"/>
      <c r="G109" s="53"/>
      <c r="H109" s="53"/>
      <c r="I109" s="53"/>
      <c r="J109" s="53"/>
      <c r="K109" s="53"/>
      <c r="L109" s="53"/>
      <c r="M109" s="53"/>
      <c r="N109" s="53"/>
      <c r="O109" s="53"/>
      <c r="P109" s="53"/>
      <c r="Q109" s="42"/>
    </row>
    <row r="110" spans="1:17" ht="15" customHeight="1" x14ac:dyDescent="0.2">
      <c r="A110" s="670"/>
      <c r="B110" s="1378"/>
      <c r="C110" s="1379"/>
      <c r="D110" s="1379"/>
      <c r="E110" s="1379"/>
      <c r="F110" s="1379"/>
      <c r="G110" s="1379"/>
      <c r="H110" s="1379"/>
      <c r="I110" s="1379"/>
      <c r="J110" s="1379"/>
      <c r="K110" s="1379"/>
      <c r="L110" s="1379"/>
      <c r="M110" s="1379"/>
      <c r="N110" s="1379"/>
      <c r="O110" s="1379"/>
      <c r="P110" s="1379"/>
      <c r="Q110" s="1380"/>
    </row>
    <row r="111" spans="1:17" x14ac:dyDescent="0.2">
      <c r="A111" s="670"/>
      <c r="B111" s="1378"/>
      <c r="C111" s="1379"/>
      <c r="D111" s="1379"/>
      <c r="E111" s="1379"/>
      <c r="F111" s="1379"/>
      <c r="G111" s="1379"/>
      <c r="H111" s="1379"/>
      <c r="I111" s="1379"/>
      <c r="J111" s="1379"/>
      <c r="K111" s="1379"/>
      <c r="L111" s="1379"/>
      <c r="M111" s="1379"/>
      <c r="N111" s="1379"/>
      <c r="O111" s="1379"/>
      <c r="P111" s="1379"/>
      <c r="Q111" s="1380"/>
    </row>
    <row r="112" spans="1:17" ht="15" x14ac:dyDescent="0.2">
      <c r="A112" s="670"/>
      <c r="B112" s="41"/>
      <c r="C112" s="672"/>
      <c r="D112" s="672"/>
      <c r="E112" s="672"/>
      <c r="F112" s="672"/>
      <c r="G112" s="672"/>
      <c r="H112" s="672"/>
      <c r="I112" s="672"/>
      <c r="J112" s="672"/>
      <c r="K112" s="672"/>
      <c r="L112" s="672"/>
      <c r="M112" s="672"/>
      <c r="N112" s="672"/>
      <c r="O112" s="672"/>
      <c r="P112" s="672"/>
      <c r="Q112" s="673"/>
    </row>
    <row r="113" spans="1:17" ht="15.75" customHeight="1" x14ac:dyDescent="0.2">
      <c r="A113" s="670"/>
      <c r="B113" s="41"/>
      <c r="C113" s="35"/>
      <c r="D113" s="35"/>
      <c r="E113" s="35"/>
      <c r="F113" s="35"/>
      <c r="G113" s="35"/>
      <c r="H113" s="35"/>
      <c r="I113" s="35"/>
      <c r="J113" s="35"/>
      <c r="K113" s="35"/>
      <c r="L113" s="35"/>
      <c r="M113" s="35"/>
      <c r="N113" s="35"/>
      <c r="O113" s="35"/>
      <c r="P113" s="35"/>
      <c r="Q113" s="42"/>
    </row>
    <row r="114" spans="1:17" ht="15" x14ac:dyDescent="0.2">
      <c r="A114" s="670"/>
      <c r="B114" s="35"/>
      <c r="C114" s="35"/>
      <c r="D114" s="35"/>
      <c r="E114" s="35"/>
      <c r="F114" s="35"/>
      <c r="G114" s="35"/>
      <c r="H114" s="35"/>
      <c r="I114" s="35"/>
      <c r="J114" s="35"/>
      <c r="K114" s="35"/>
      <c r="L114" s="35"/>
      <c r="M114" s="35"/>
      <c r="N114" s="35"/>
      <c r="O114" s="35"/>
      <c r="P114" s="35"/>
      <c r="Q114" s="42"/>
    </row>
    <row r="115" spans="1:17" ht="14.25" customHeight="1" x14ac:dyDescent="0.2">
      <c r="A115" s="670"/>
      <c r="B115" s="35"/>
      <c r="C115" s="35"/>
      <c r="D115" s="35"/>
      <c r="E115" s="35"/>
      <c r="F115" s="35"/>
      <c r="G115" s="35"/>
      <c r="H115" s="35"/>
      <c r="I115" s="35"/>
      <c r="J115" s="35"/>
      <c r="K115" s="35"/>
      <c r="L115" s="35"/>
      <c r="M115" s="35"/>
      <c r="N115" s="35"/>
      <c r="O115" s="35"/>
      <c r="P115" s="35"/>
      <c r="Q115" s="42"/>
    </row>
    <row r="116" spans="1:17" ht="12.75" customHeight="1" x14ac:dyDescent="0.2">
      <c r="A116" s="670"/>
      <c r="B116" s="1378"/>
      <c r="C116" s="1381"/>
      <c r="D116" s="1381"/>
      <c r="E116" s="1381"/>
      <c r="F116" s="1381"/>
      <c r="G116" s="1381"/>
      <c r="H116" s="1381"/>
      <c r="I116" s="1381"/>
      <c r="J116" s="1381"/>
      <c r="K116" s="1381"/>
      <c r="L116" s="1381"/>
      <c r="M116" s="1381"/>
      <c r="N116" s="1381"/>
      <c r="O116" s="1381"/>
      <c r="P116" s="1381"/>
      <c r="Q116" s="1380"/>
    </row>
    <row r="117" spans="1:17" x14ac:dyDescent="0.2">
      <c r="A117" s="670"/>
      <c r="B117" s="1378"/>
      <c r="C117" s="1381"/>
      <c r="D117" s="1381"/>
      <c r="E117" s="1381"/>
      <c r="F117" s="1381"/>
      <c r="G117" s="1381"/>
      <c r="H117" s="1381"/>
      <c r="I117" s="1381"/>
      <c r="J117" s="1381"/>
      <c r="K117" s="1381"/>
      <c r="L117" s="1381"/>
      <c r="M117" s="1381"/>
      <c r="N117" s="1381"/>
      <c r="O117" s="1381"/>
      <c r="P117" s="1381"/>
      <c r="Q117" s="1380"/>
    </row>
    <row r="118" spans="1:17" ht="15" x14ac:dyDescent="0.2">
      <c r="A118" s="670"/>
      <c r="B118" s="35"/>
      <c r="C118" s="35"/>
      <c r="D118" s="35"/>
      <c r="E118" s="35"/>
      <c r="F118" s="35"/>
      <c r="G118" s="35"/>
      <c r="H118" s="35"/>
      <c r="I118" s="35"/>
      <c r="J118" s="35"/>
      <c r="K118" s="35"/>
      <c r="L118" s="35"/>
      <c r="M118" s="35"/>
      <c r="N118" s="35"/>
      <c r="O118" s="35"/>
      <c r="P118" s="35"/>
      <c r="Q118" s="42"/>
    </row>
    <row r="119" spans="1:17" ht="15" x14ac:dyDescent="0.2">
      <c r="A119" s="670"/>
      <c r="B119" s="1378"/>
      <c r="C119" s="1379"/>
      <c r="D119" s="1379"/>
      <c r="E119" s="1379"/>
      <c r="F119" s="1379"/>
      <c r="G119" s="1379"/>
      <c r="H119" s="1379"/>
      <c r="I119" s="1379"/>
      <c r="J119" s="1379"/>
      <c r="K119" s="1379"/>
      <c r="L119" s="1379"/>
      <c r="M119" s="1379"/>
      <c r="N119" s="1379"/>
      <c r="O119" s="1379"/>
      <c r="P119" s="1379"/>
      <c r="Q119" s="1380"/>
    </row>
    <row r="120" spans="1:17" ht="15" customHeight="1" x14ac:dyDescent="0.2">
      <c r="A120" s="670"/>
      <c r="B120" s="1381"/>
      <c r="C120" s="1381"/>
      <c r="D120" s="1381"/>
      <c r="E120" s="1381"/>
      <c r="F120" s="1381"/>
      <c r="G120" s="1381"/>
      <c r="H120" s="1381"/>
      <c r="I120" s="1381"/>
      <c r="J120" s="1381"/>
      <c r="K120" s="1381"/>
      <c r="L120" s="1381"/>
      <c r="M120" s="1381"/>
      <c r="N120" s="1381"/>
      <c r="O120" s="1381"/>
      <c r="P120" s="1381"/>
      <c r="Q120" s="1380"/>
    </row>
    <row r="121" spans="1:17" ht="15" customHeight="1" x14ac:dyDescent="0.2">
      <c r="A121" s="670"/>
      <c r="B121" s="1012"/>
      <c r="C121" s="35"/>
      <c r="D121" s="35"/>
      <c r="E121" s="35"/>
      <c r="F121" s="35"/>
      <c r="G121" s="35"/>
      <c r="H121" s="35"/>
      <c r="I121" s="35"/>
      <c r="J121" s="35"/>
      <c r="K121" s="35"/>
      <c r="L121" s="35"/>
      <c r="M121" s="35"/>
      <c r="N121" s="35"/>
      <c r="O121" s="35"/>
      <c r="P121" s="35"/>
      <c r="Q121" s="42"/>
    </row>
    <row r="122" spans="1:17" ht="26.25" customHeight="1" x14ac:dyDescent="0.2">
      <c r="A122" s="670"/>
      <c r="B122" s="1372"/>
      <c r="C122" s="1373"/>
      <c r="D122" s="1373"/>
      <c r="E122" s="1373"/>
      <c r="F122" s="1373"/>
      <c r="G122" s="1373"/>
      <c r="H122" s="1373"/>
      <c r="I122" s="1373"/>
      <c r="J122" s="1373"/>
      <c r="K122" s="1373"/>
      <c r="L122" s="1373"/>
      <c r="M122" s="1373"/>
      <c r="N122" s="1373"/>
      <c r="O122" s="1373"/>
      <c r="P122" s="1373"/>
      <c r="Q122" s="1374"/>
    </row>
    <row r="123" spans="1:17" ht="12.75" customHeight="1" x14ac:dyDescent="0.2">
      <c r="A123" s="670"/>
      <c r="B123" s="1110"/>
      <c r="C123" s="1111"/>
      <c r="D123" s="1111"/>
      <c r="E123" s="1111"/>
      <c r="F123" s="1111"/>
      <c r="G123" s="1111"/>
      <c r="H123" s="1111"/>
      <c r="I123" s="1111"/>
      <c r="J123" s="1111"/>
      <c r="K123" s="1111"/>
      <c r="L123" s="1111"/>
      <c r="M123" s="1111"/>
      <c r="N123" s="1111"/>
      <c r="O123" s="1111"/>
      <c r="P123" s="1111"/>
      <c r="Q123" s="1112"/>
    </row>
    <row r="124" spans="1:17" ht="17.25" customHeight="1" x14ac:dyDescent="0.2">
      <c r="A124" s="670"/>
      <c r="B124" s="35"/>
      <c r="C124" s="35"/>
      <c r="D124" s="35"/>
      <c r="E124" s="35"/>
      <c r="F124" s="35"/>
      <c r="G124" s="35"/>
      <c r="H124" s="35"/>
      <c r="I124" s="35"/>
      <c r="J124" s="35"/>
      <c r="K124" s="35"/>
      <c r="L124" s="35"/>
      <c r="M124" s="35"/>
      <c r="N124" s="35"/>
      <c r="O124" s="35"/>
      <c r="P124" s="35"/>
      <c r="Q124" s="42"/>
    </row>
    <row r="125" spans="1:17" ht="15" x14ac:dyDescent="0.2">
      <c r="A125" s="670"/>
      <c r="B125" s="35"/>
      <c r="C125" s="35"/>
      <c r="D125" s="35"/>
      <c r="E125" s="35"/>
      <c r="F125" s="35"/>
      <c r="G125" s="35"/>
      <c r="H125" s="35"/>
      <c r="I125" s="35"/>
      <c r="J125" s="35"/>
      <c r="K125" s="35"/>
      <c r="L125" s="35"/>
      <c r="M125" s="35"/>
      <c r="N125" s="35"/>
      <c r="O125" s="35"/>
      <c r="P125" s="35"/>
      <c r="Q125" s="42"/>
    </row>
    <row r="126" spans="1:17" ht="15" x14ac:dyDescent="0.2">
      <c r="A126" s="670"/>
      <c r="B126" s="35"/>
      <c r="C126" s="35"/>
      <c r="D126" s="35"/>
      <c r="E126" s="35"/>
      <c r="F126" s="35"/>
      <c r="G126" s="35"/>
      <c r="H126" s="35"/>
      <c r="I126" s="35"/>
      <c r="J126" s="35"/>
      <c r="K126" s="35"/>
      <c r="L126" s="35"/>
      <c r="M126" s="35"/>
      <c r="N126" s="35"/>
      <c r="O126" s="35"/>
      <c r="P126" s="35"/>
      <c r="Q126" s="42"/>
    </row>
    <row r="127" spans="1:17" ht="26.25" customHeight="1" x14ac:dyDescent="0.2">
      <c r="A127" s="670"/>
      <c r="B127" s="1378"/>
      <c r="C127" s="1381"/>
      <c r="D127" s="1381"/>
      <c r="E127" s="1381"/>
      <c r="F127" s="1381"/>
      <c r="G127" s="1381"/>
      <c r="H127" s="1381"/>
      <c r="I127" s="1381"/>
      <c r="J127" s="1381"/>
      <c r="K127" s="1381"/>
      <c r="L127" s="1381"/>
      <c r="M127" s="1381"/>
      <c r="N127" s="1381"/>
      <c r="O127" s="1381"/>
      <c r="P127" s="1381"/>
      <c r="Q127" s="1380"/>
    </row>
    <row r="128" spans="1:17" ht="31.5" customHeight="1" x14ac:dyDescent="0.2">
      <c r="A128" s="670"/>
      <c r="B128" s="1378"/>
      <c r="C128" s="1381"/>
      <c r="D128" s="1381"/>
      <c r="E128" s="1381"/>
      <c r="F128" s="1381"/>
      <c r="G128" s="1381"/>
      <c r="H128" s="1381"/>
      <c r="I128" s="1381"/>
      <c r="J128" s="1381"/>
      <c r="K128" s="1381"/>
      <c r="L128" s="1381"/>
      <c r="M128" s="1381"/>
      <c r="N128" s="1381"/>
      <c r="O128" s="1381"/>
      <c r="P128" s="1381"/>
      <c r="Q128" s="1380"/>
    </row>
    <row r="129" spans="1:17" ht="30.75" customHeight="1" x14ac:dyDescent="0.2">
      <c r="A129" s="670"/>
      <c r="B129" s="1378"/>
      <c r="C129" s="1379"/>
      <c r="D129" s="1379"/>
      <c r="E129" s="1379"/>
      <c r="F129" s="1379"/>
      <c r="G129" s="1379"/>
      <c r="H129" s="1379"/>
      <c r="I129" s="1379"/>
      <c r="J129" s="1379"/>
      <c r="K129" s="1379"/>
      <c r="L129" s="1379"/>
      <c r="M129" s="1379"/>
      <c r="N129" s="1379"/>
      <c r="O129" s="1379"/>
      <c r="P129" s="1379"/>
      <c r="Q129" s="1380"/>
    </row>
    <row r="130" spans="1:17" ht="15" x14ac:dyDescent="0.2">
      <c r="A130" s="670"/>
      <c r="B130" s="41"/>
      <c r="C130" s="35"/>
      <c r="D130" s="35"/>
      <c r="E130" s="35"/>
      <c r="F130" s="35"/>
      <c r="G130" s="35"/>
      <c r="H130" s="35"/>
      <c r="I130" s="35"/>
      <c r="J130" s="35"/>
      <c r="K130" s="35"/>
      <c r="L130" s="35"/>
      <c r="M130" s="35"/>
      <c r="N130" s="35"/>
      <c r="O130" s="35"/>
      <c r="P130" s="35"/>
      <c r="Q130" s="42"/>
    </row>
    <row r="131" spans="1:17" ht="28.5" customHeight="1" x14ac:dyDescent="0.2">
      <c r="A131" s="670"/>
      <c r="B131" s="41"/>
      <c r="C131" s="35"/>
      <c r="D131" s="35"/>
      <c r="E131" s="35"/>
      <c r="F131" s="35"/>
      <c r="G131" s="35"/>
      <c r="H131" s="35"/>
      <c r="I131" s="35"/>
      <c r="J131" s="35"/>
      <c r="K131" s="35"/>
      <c r="L131" s="35"/>
      <c r="M131" s="35"/>
      <c r="N131" s="35"/>
      <c r="O131" s="35"/>
      <c r="P131" s="35"/>
      <c r="Q131" s="42"/>
    </row>
    <row r="132" spans="1:17" ht="15" x14ac:dyDescent="0.2">
      <c r="A132" s="670"/>
      <c r="B132" s="1011"/>
      <c r="C132" s="1012"/>
      <c r="D132" s="1012"/>
      <c r="E132" s="1012"/>
      <c r="F132" s="1012"/>
      <c r="G132" s="1012"/>
      <c r="H132" s="1012"/>
      <c r="I132" s="1012"/>
      <c r="J132" s="1012"/>
      <c r="K132" s="1012"/>
      <c r="L132" s="1012"/>
      <c r="M132" s="1012"/>
      <c r="N132" s="1012"/>
      <c r="O132" s="1012"/>
      <c r="P132" s="1012"/>
      <c r="Q132" s="1013"/>
    </row>
    <row r="133" spans="1:17" ht="15" x14ac:dyDescent="0.2">
      <c r="A133" s="670"/>
      <c r="B133" s="1111"/>
      <c r="C133" s="1111"/>
      <c r="D133" s="1111"/>
      <c r="E133" s="1111"/>
      <c r="F133" s="1111"/>
      <c r="G133" s="1111"/>
      <c r="H133" s="1111"/>
      <c r="I133" s="1111"/>
      <c r="J133" s="1111"/>
      <c r="K133" s="1111"/>
      <c r="L133" s="1111"/>
      <c r="M133" s="1111"/>
      <c r="N133" s="1111"/>
      <c r="O133" s="1111"/>
      <c r="P133" s="1111"/>
      <c r="Q133" s="1112"/>
    </row>
    <row r="134" spans="1:17" ht="15" x14ac:dyDescent="0.2">
      <c r="A134" s="670"/>
      <c r="B134" s="1110"/>
      <c r="C134" s="1111"/>
      <c r="D134" s="1111"/>
      <c r="E134" s="1111"/>
      <c r="F134" s="1111"/>
      <c r="G134" s="1111"/>
      <c r="H134" s="1111"/>
      <c r="I134" s="1111"/>
      <c r="J134" s="1111"/>
      <c r="K134" s="1111"/>
      <c r="L134" s="1111"/>
      <c r="M134" s="1111"/>
      <c r="N134" s="1111"/>
      <c r="O134" s="1111"/>
      <c r="P134" s="1111"/>
      <c r="Q134" s="1112"/>
    </row>
    <row r="135" spans="1:17" ht="15" x14ac:dyDescent="0.2">
      <c r="A135" s="670"/>
      <c r="B135" s="1110"/>
      <c r="C135" s="1111"/>
      <c r="D135" s="1111"/>
      <c r="E135" s="1111"/>
      <c r="F135" s="1111"/>
      <c r="G135" s="1111"/>
      <c r="H135" s="1111"/>
      <c r="I135" s="1111"/>
      <c r="J135" s="1111"/>
      <c r="K135" s="1111"/>
      <c r="L135" s="1111"/>
      <c r="M135" s="1111"/>
      <c r="N135" s="1111"/>
      <c r="O135" s="1111"/>
      <c r="P135" s="1111"/>
      <c r="Q135" s="1112"/>
    </row>
    <row r="136" spans="1:17" ht="15" x14ac:dyDescent="0.2">
      <c r="A136" s="670"/>
      <c r="B136" s="1111"/>
      <c r="C136" s="1111"/>
      <c r="D136" s="1111"/>
      <c r="E136" s="1111"/>
      <c r="F136" s="1111"/>
      <c r="G136" s="1111"/>
      <c r="H136" s="1111"/>
      <c r="I136" s="1111"/>
      <c r="J136" s="1111"/>
      <c r="K136" s="1111"/>
      <c r="L136" s="1111"/>
      <c r="M136" s="1111"/>
      <c r="N136" s="1111"/>
      <c r="O136" s="1111"/>
      <c r="P136" s="1111"/>
      <c r="Q136" s="1112"/>
    </row>
    <row r="137" spans="1:17" ht="15" x14ac:dyDescent="0.2">
      <c r="A137" s="670"/>
      <c r="B137" s="1372"/>
      <c r="C137" s="1373"/>
      <c r="D137" s="1373"/>
      <c r="E137" s="1373"/>
      <c r="F137" s="1373"/>
      <c r="G137" s="1373"/>
      <c r="H137" s="1373"/>
      <c r="I137" s="1373"/>
      <c r="J137" s="1373"/>
      <c r="K137" s="1373"/>
      <c r="L137" s="1373"/>
      <c r="M137" s="1373"/>
      <c r="N137" s="1373"/>
      <c r="O137" s="1373"/>
      <c r="P137" s="1373"/>
      <c r="Q137" s="1374"/>
    </row>
    <row r="138" spans="1:17" ht="15" x14ac:dyDescent="0.2">
      <c r="A138" s="670"/>
      <c r="B138" s="1110"/>
      <c r="C138" s="1111"/>
      <c r="D138" s="1111"/>
      <c r="E138" s="1111"/>
      <c r="F138" s="1111"/>
      <c r="G138" s="1111"/>
      <c r="H138" s="1111"/>
      <c r="I138" s="1111"/>
      <c r="J138" s="1111"/>
      <c r="K138" s="1111"/>
      <c r="L138" s="1111"/>
      <c r="M138" s="1111"/>
      <c r="N138" s="1111"/>
      <c r="O138" s="1111"/>
      <c r="P138" s="1111"/>
      <c r="Q138" s="1112"/>
    </row>
    <row r="139" spans="1:17" ht="15" x14ac:dyDescent="0.2">
      <c r="A139" s="670"/>
      <c r="B139" s="1375"/>
      <c r="C139" s="1376"/>
      <c r="D139" s="1376"/>
      <c r="E139" s="1376"/>
      <c r="F139" s="1376"/>
      <c r="G139" s="1376"/>
      <c r="H139" s="1376"/>
      <c r="I139" s="1376"/>
      <c r="J139" s="1376"/>
      <c r="K139" s="1376"/>
      <c r="L139" s="1376"/>
      <c r="M139" s="1376"/>
      <c r="N139" s="1376"/>
      <c r="O139" s="1376"/>
      <c r="P139" s="1376"/>
      <c r="Q139" s="1377"/>
    </row>
    <row r="140" spans="1:17" ht="15" x14ac:dyDescent="0.2">
      <c r="A140" s="670"/>
      <c r="B140" s="1010"/>
      <c r="C140" s="1008"/>
      <c r="D140" s="1008"/>
      <c r="E140" s="1008"/>
      <c r="F140" s="1008"/>
      <c r="G140" s="1008"/>
      <c r="H140" s="1008"/>
      <c r="I140" s="1008"/>
      <c r="J140" s="1008"/>
      <c r="K140" s="1008"/>
      <c r="L140" s="1008"/>
      <c r="M140" s="1008"/>
      <c r="N140" s="1008"/>
      <c r="O140" s="1008"/>
      <c r="P140" s="1008"/>
      <c r="Q140" s="1009"/>
    </row>
    <row r="141" spans="1:17" ht="15" x14ac:dyDescent="0.2">
      <c r="A141" s="670"/>
      <c r="B141" s="1010"/>
      <c r="C141" s="1008"/>
      <c r="D141" s="1008"/>
      <c r="E141" s="1008"/>
      <c r="F141" s="1008"/>
      <c r="G141" s="1008"/>
      <c r="H141" s="1008"/>
      <c r="I141" s="1008"/>
      <c r="J141" s="1008"/>
      <c r="K141" s="1008"/>
      <c r="L141" s="1008"/>
      <c r="M141" s="1008"/>
      <c r="N141" s="1008"/>
      <c r="O141" s="1008"/>
      <c r="P141" s="1008"/>
      <c r="Q141" s="1009"/>
    </row>
    <row r="142" spans="1:17" ht="15" x14ac:dyDescent="0.2">
      <c r="A142" s="670"/>
      <c r="B142" s="1010"/>
      <c r="C142" s="1008"/>
      <c r="D142" s="1008"/>
      <c r="E142" s="1008"/>
      <c r="F142" s="1008"/>
      <c r="G142" s="1008"/>
      <c r="H142" s="1008"/>
      <c r="I142" s="1008"/>
      <c r="J142" s="1008"/>
      <c r="K142" s="1008"/>
      <c r="L142" s="1008"/>
      <c r="M142" s="1008"/>
      <c r="N142" s="1008"/>
      <c r="O142" s="1008"/>
      <c r="P142" s="1008"/>
      <c r="Q142" s="1009"/>
    </row>
    <row r="143" spans="1:17" ht="15" x14ac:dyDescent="0.2">
      <c r="A143" s="670"/>
      <c r="B143" s="1010"/>
      <c r="C143" s="1008"/>
      <c r="D143" s="1008"/>
      <c r="E143" s="1008"/>
      <c r="F143" s="1008"/>
      <c r="G143" s="1008"/>
      <c r="H143" s="1008"/>
      <c r="I143" s="1008"/>
      <c r="J143" s="1008"/>
      <c r="K143" s="1008"/>
      <c r="L143" s="1008"/>
      <c r="M143" s="1008"/>
      <c r="N143" s="1008"/>
      <c r="O143" s="1008"/>
      <c r="P143" s="1008"/>
      <c r="Q143" s="1009"/>
    </row>
    <row r="144" spans="1:17" ht="15" x14ac:dyDescent="0.2">
      <c r="A144" s="670"/>
      <c r="B144" s="1010"/>
      <c r="C144" s="1008"/>
      <c r="D144" s="1008"/>
      <c r="E144" s="1008"/>
      <c r="F144" s="1008"/>
      <c r="G144" s="1008"/>
      <c r="H144" s="1008"/>
      <c r="I144" s="1008"/>
      <c r="J144" s="1008"/>
      <c r="K144" s="1008"/>
      <c r="L144" s="1008"/>
      <c r="M144" s="1008"/>
      <c r="N144" s="1008"/>
      <c r="O144" s="1008"/>
      <c r="P144" s="1008"/>
      <c r="Q144" s="1009"/>
    </row>
    <row r="145" spans="1:17" ht="15" x14ac:dyDescent="0.2">
      <c r="A145" s="670"/>
      <c r="B145" s="1010"/>
      <c r="C145" s="1008"/>
      <c r="D145" s="1008"/>
      <c r="E145" s="1008"/>
      <c r="F145" s="1008"/>
      <c r="G145" s="1008"/>
      <c r="H145" s="1008"/>
      <c r="I145" s="1008"/>
      <c r="J145" s="1008"/>
      <c r="K145" s="1008"/>
      <c r="L145" s="1008"/>
      <c r="M145" s="1008"/>
      <c r="N145" s="1008"/>
      <c r="O145" s="1008"/>
      <c r="P145" s="1008"/>
      <c r="Q145" s="1009"/>
    </row>
    <row r="146" spans="1:17" ht="15" x14ac:dyDescent="0.2">
      <c r="A146" s="670"/>
      <c r="B146" s="1010"/>
      <c r="C146" s="1008"/>
      <c r="D146" s="1008"/>
      <c r="E146" s="1008"/>
      <c r="F146" s="1008"/>
      <c r="G146" s="1008"/>
      <c r="H146" s="1008"/>
      <c r="I146" s="1008"/>
      <c r="J146" s="1008"/>
      <c r="K146" s="1008"/>
      <c r="L146" s="1008"/>
      <c r="M146" s="1008"/>
      <c r="N146" s="1008"/>
      <c r="O146" s="1008"/>
      <c r="P146" s="1008"/>
      <c r="Q146" s="1009"/>
    </row>
    <row r="147" spans="1:17" ht="15" x14ac:dyDescent="0.2">
      <c r="A147" s="670"/>
      <c r="B147" s="1010"/>
      <c r="C147" s="1008"/>
      <c r="D147" s="1008"/>
      <c r="E147" s="1008"/>
      <c r="F147" s="1008"/>
      <c r="G147" s="1008"/>
      <c r="H147" s="1008"/>
      <c r="I147" s="1008"/>
      <c r="J147" s="1008"/>
      <c r="K147" s="1008"/>
      <c r="L147" s="1008"/>
      <c r="M147" s="1008"/>
      <c r="N147" s="1008"/>
      <c r="O147" s="1008"/>
      <c r="P147" s="1008"/>
      <c r="Q147" s="1009"/>
    </row>
    <row r="148" spans="1:17" ht="15" x14ac:dyDescent="0.2">
      <c r="A148" s="670"/>
      <c r="B148" s="1010"/>
      <c r="C148" s="1008"/>
      <c r="D148" s="1008"/>
      <c r="E148" s="1008"/>
      <c r="F148" s="1008"/>
      <c r="G148" s="1008"/>
      <c r="H148" s="1008"/>
      <c r="I148" s="1008"/>
      <c r="J148" s="1008"/>
      <c r="K148" s="1008"/>
      <c r="L148" s="1008"/>
      <c r="M148" s="1008"/>
      <c r="N148" s="1008"/>
      <c r="O148" s="1008"/>
      <c r="P148" s="1008"/>
      <c r="Q148" s="1009"/>
    </row>
    <row r="149" spans="1:17" ht="29.25" customHeight="1" x14ac:dyDescent="0.2">
      <c r="A149" s="670"/>
      <c r="B149" s="1010"/>
      <c r="C149" s="1008"/>
      <c r="D149" s="1008"/>
      <c r="E149" s="1008"/>
      <c r="F149" s="1008"/>
      <c r="G149" s="1008"/>
      <c r="H149" s="1008"/>
      <c r="I149" s="1008"/>
      <c r="J149" s="1008"/>
      <c r="K149" s="1008"/>
      <c r="L149" s="1008"/>
      <c r="M149" s="1008"/>
      <c r="N149" s="1008"/>
      <c r="O149" s="1008"/>
      <c r="P149" s="1008"/>
      <c r="Q149" s="1009"/>
    </row>
    <row r="150" spans="1:17" ht="15" x14ac:dyDescent="0.2">
      <c r="A150" s="670"/>
      <c r="B150" s="1110"/>
      <c r="C150" s="1111"/>
      <c r="D150" s="1111"/>
      <c r="E150" s="1111"/>
      <c r="F150" s="1111"/>
      <c r="G150" s="1111"/>
      <c r="H150" s="1111"/>
      <c r="I150" s="1111"/>
      <c r="J150" s="1111"/>
      <c r="K150" s="1111"/>
      <c r="L150" s="1111"/>
      <c r="M150" s="1111"/>
      <c r="N150" s="1111"/>
      <c r="O150" s="1111"/>
      <c r="P150" s="1111"/>
      <c r="Q150" s="1112"/>
    </row>
    <row r="151" spans="1:17" ht="15" x14ac:dyDescent="0.2">
      <c r="A151" s="670"/>
      <c r="B151" s="1010"/>
      <c r="C151" s="1008"/>
      <c r="D151" s="1008"/>
      <c r="E151" s="1008"/>
      <c r="F151" s="1008"/>
      <c r="G151" s="1008"/>
      <c r="H151" s="1008"/>
      <c r="I151" s="1008"/>
      <c r="J151" s="1008"/>
      <c r="K151" s="1008"/>
      <c r="L151" s="1008"/>
      <c r="M151" s="1008"/>
      <c r="N151" s="1008"/>
      <c r="O151" s="1008"/>
      <c r="P151" s="1008"/>
      <c r="Q151" s="1009"/>
    </row>
    <row r="152" spans="1:17" ht="15" x14ac:dyDescent="0.2">
      <c r="A152" s="670"/>
      <c r="B152" s="1010"/>
      <c r="C152" s="1008"/>
      <c r="D152" s="1008"/>
      <c r="E152" s="1008"/>
      <c r="F152" s="1008"/>
      <c r="G152" s="1008"/>
      <c r="H152" s="1008"/>
      <c r="I152" s="1008"/>
      <c r="J152" s="1008"/>
      <c r="K152" s="1008"/>
      <c r="L152" s="1008"/>
      <c r="M152" s="1008"/>
      <c r="N152" s="1008"/>
      <c r="O152" s="1008"/>
      <c r="P152" s="1008"/>
      <c r="Q152" s="1009"/>
    </row>
    <row r="153" spans="1:17" ht="15" x14ac:dyDescent="0.2">
      <c r="A153" s="670"/>
      <c r="B153" s="1010"/>
      <c r="C153" s="1008"/>
      <c r="D153" s="1008"/>
      <c r="E153" s="1008"/>
      <c r="F153" s="1008"/>
      <c r="G153" s="1008"/>
      <c r="H153" s="1008"/>
      <c r="I153" s="1008"/>
      <c r="J153" s="1008"/>
      <c r="K153" s="1008"/>
      <c r="L153" s="1008"/>
      <c r="M153" s="1008"/>
      <c r="N153" s="1008"/>
      <c r="O153" s="1008"/>
      <c r="P153" s="1008"/>
      <c r="Q153" s="1009"/>
    </row>
    <row r="154" spans="1:17" ht="15" x14ac:dyDescent="0.2">
      <c r="A154" s="670"/>
      <c r="B154" s="1010"/>
      <c r="C154" s="1008"/>
      <c r="D154" s="1008"/>
      <c r="E154" s="1008"/>
      <c r="F154" s="1008"/>
      <c r="G154" s="1008"/>
      <c r="H154" s="1008"/>
      <c r="I154" s="1008"/>
      <c r="J154" s="1008"/>
      <c r="K154" s="1008"/>
      <c r="L154" s="1008"/>
      <c r="M154" s="1008"/>
      <c r="N154" s="1008"/>
      <c r="O154" s="1008"/>
      <c r="P154" s="1008"/>
      <c r="Q154" s="1009"/>
    </row>
    <row r="155" spans="1:17" ht="15" x14ac:dyDescent="0.2">
      <c r="A155" s="670"/>
      <c r="B155" s="1010"/>
      <c r="C155" s="1008"/>
      <c r="D155" s="1008"/>
      <c r="E155" s="1008"/>
      <c r="F155" s="1008"/>
      <c r="G155" s="1008"/>
      <c r="H155" s="1008"/>
      <c r="I155" s="1008"/>
      <c r="J155" s="1008"/>
      <c r="K155" s="1008"/>
      <c r="L155" s="1008"/>
      <c r="M155" s="1008"/>
      <c r="N155" s="1008"/>
      <c r="O155" s="1008"/>
      <c r="P155" s="1008"/>
      <c r="Q155" s="1009"/>
    </row>
    <row r="156" spans="1:17" ht="28.5" customHeight="1" x14ac:dyDescent="0.2">
      <c r="A156" s="670"/>
      <c r="B156" s="1110"/>
      <c r="C156" s="1111"/>
      <c r="D156" s="1111"/>
      <c r="E156" s="1111"/>
      <c r="F156" s="1111"/>
      <c r="G156" s="1111"/>
      <c r="H156" s="1111"/>
      <c r="I156" s="1111"/>
      <c r="J156" s="1111"/>
      <c r="K156" s="1111"/>
      <c r="L156" s="1111"/>
      <c r="M156" s="1111"/>
      <c r="N156" s="1111"/>
      <c r="O156" s="1111"/>
      <c r="P156" s="1111"/>
      <c r="Q156" s="1112"/>
    </row>
    <row r="157" spans="1:17" ht="15" x14ac:dyDescent="0.2">
      <c r="A157" s="670"/>
      <c r="B157" s="1010"/>
      <c r="C157" s="1008"/>
      <c r="D157" s="1008"/>
      <c r="E157" s="1008"/>
      <c r="F157" s="1008"/>
      <c r="G157" s="1008"/>
      <c r="H157" s="1008"/>
      <c r="I157" s="1008"/>
      <c r="J157" s="1008"/>
      <c r="K157" s="1008"/>
      <c r="L157" s="1008"/>
      <c r="M157" s="1008"/>
      <c r="N157" s="1008"/>
      <c r="O157" s="1008"/>
      <c r="P157" s="1008"/>
      <c r="Q157" s="1009"/>
    </row>
    <row r="158" spans="1:17" ht="31.5" customHeight="1" x14ac:dyDescent="0.2">
      <c r="A158" s="670"/>
      <c r="B158" s="1010"/>
      <c r="C158" s="1008"/>
      <c r="D158" s="1008"/>
      <c r="E158" s="1008"/>
      <c r="F158" s="1008"/>
      <c r="G158" s="1008"/>
      <c r="H158" s="1008"/>
      <c r="I158" s="1008"/>
      <c r="J158" s="1008"/>
      <c r="K158" s="1008"/>
      <c r="L158" s="1008"/>
      <c r="M158" s="1008"/>
      <c r="N158" s="1008"/>
      <c r="O158" s="1008"/>
      <c r="P158" s="1008"/>
      <c r="Q158" s="1009"/>
    </row>
    <row r="159" spans="1:17" ht="30" customHeight="1" x14ac:dyDescent="0.2">
      <c r="A159" s="670"/>
      <c r="B159" s="1010"/>
      <c r="C159" s="1008"/>
      <c r="D159" s="1008"/>
      <c r="E159" s="1008"/>
      <c r="F159" s="1008"/>
      <c r="G159" s="1008"/>
      <c r="H159" s="1008"/>
      <c r="I159" s="1008"/>
      <c r="J159" s="1008"/>
      <c r="K159" s="1008"/>
      <c r="L159" s="1008"/>
      <c r="M159" s="1008"/>
      <c r="N159" s="1008"/>
      <c r="O159" s="1008"/>
      <c r="P159" s="1008"/>
      <c r="Q159" s="1009"/>
    </row>
    <row r="160" spans="1:17" ht="25.5" customHeight="1" x14ac:dyDescent="0.2">
      <c r="A160" s="670"/>
      <c r="B160" s="1110"/>
      <c r="C160" s="1111"/>
      <c r="D160" s="1111"/>
      <c r="E160" s="1111"/>
      <c r="F160" s="1111"/>
      <c r="G160" s="1111"/>
      <c r="H160" s="1111"/>
      <c r="I160" s="1111"/>
      <c r="J160" s="1111"/>
      <c r="K160" s="1111"/>
      <c r="L160" s="1111"/>
      <c r="M160" s="1111"/>
      <c r="N160" s="1111"/>
      <c r="O160" s="1111"/>
      <c r="P160" s="1111"/>
      <c r="Q160" s="1112"/>
    </row>
    <row r="161" spans="1:17" ht="15" x14ac:dyDescent="0.2">
      <c r="A161" s="670"/>
      <c r="B161" s="1010"/>
      <c r="C161" s="1008"/>
      <c r="D161" s="1008"/>
      <c r="E161" s="1008"/>
      <c r="F161" s="1008"/>
      <c r="G161" s="1008"/>
      <c r="H161" s="1008"/>
      <c r="I161" s="1008"/>
      <c r="J161" s="1008"/>
      <c r="K161" s="1008"/>
      <c r="L161" s="1008"/>
      <c r="M161" s="1008"/>
      <c r="N161" s="1008"/>
      <c r="O161" s="1008"/>
      <c r="P161" s="1008"/>
      <c r="Q161" s="1009"/>
    </row>
    <row r="162" spans="1:17" ht="15" x14ac:dyDescent="0.2">
      <c r="A162" s="670"/>
      <c r="B162" s="1010"/>
      <c r="C162" s="1008"/>
      <c r="D162" s="1008"/>
      <c r="E162" s="1008"/>
      <c r="F162" s="1008"/>
      <c r="G162" s="1008"/>
      <c r="H162" s="1008"/>
      <c r="I162" s="1008"/>
      <c r="J162" s="1008"/>
      <c r="K162" s="1008"/>
      <c r="L162" s="1008"/>
      <c r="M162" s="1008"/>
      <c r="N162" s="1008"/>
      <c r="O162" s="1008"/>
      <c r="P162" s="1008"/>
      <c r="Q162" s="1009"/>
    </row>
    <row r="163" spans="1:17" ht="15" x14ac:dyDescent="0.2">
      <c r="A163" s="670"/>
      <c r="B163" s="1110"/>
      <c r="C163" s="1111"/>
      <c r="D163" s="1111"/>
      <c r="E163" s="1111"/>
      <c r="F163" s="1111"/>
      <c r="G163" s="1111"/>
      <c r="H163" s="1111"/>
      <c r="I163" s="1111"/>
      <c r="J163" s="1111"/>
      <c r="K163" s="1111"/>
      <c r="L163" s="1111"/>
      <c r="M163" s="1111"/>
      <c r="N163" s="1111"/>
      <c r="O163" s="1111"/>
      <c r="P163" s="1111"/>
      <c r="Q163" s="1112"/>
    </row>
    <row r="164" spans="1:17" ht="15" x14ac:dyDescent="0.2">
      <c r="A164" s="670"/>
      <c r="B164" s="1010"/>
      <c r="C164" s="1008"/>
      <c r="D164" s="1008"/>
      <c r="E164" s="1008"/>
      <c r="F164" s="1008"/>
      <c r="G164" s="1008"/>
      <c r="H164" s="1008"/>
      <c r="I164" s="1008"/>
      <c r="J164" s="1008"/>
      <c r="K164" s="1008"/>
      <c r="L164" s="1008"/>
      <c r="M164" s="1008"/>
      <c r="N164" s="1008"/>
      <c r="O164" s="1008"/>
      <c r="P164" s="1008"/>
      <c r="Q164" s="1009"/>
    </row>
    <row r="165" spans="1:17" ht="15" x14ac:dyDescent="0.2">
      <c r="A165" s="670"/>
      <c r="B165" s="1110"/>
      <c r="C165" s="1111"/>
      <c r="D165" s="1111"/>
      <c r="E165" s="1111"/>
      <c r="F165" s="1111"/>
      <c r="G165" s="1111"/>
      <c r="H165" s="1111"/>
      <c r="I165" s="1111"/>
      <c r="J165" s="1111"/>
      <c r="K165" s="1111"/>
      <c r="L165" s="1111"/>
      <c r="M165" s="1111"/>
      <c r="N165" s="1111"/>
      <c r="O165" s="1111"/>
      <c r="P165" s="1111"/>
      <c r="Q165" s="1112"/>
    </row>
    <row r="166" spans="1:17" ht="15" x14ac:dyDescent="0.2">
      <c r="A166" s="670"/>
      <c r="B166" s="1110"/>
      <c r="C166" s="1111"/>
      <c r="D166" s="1111"/>
      <c r="E166" s="1111"/>
      <c r="F166" s="1111"/>
      <c r="G166" s="1111"/>
      <c r="H166" s="1111"/>
      <c r="I166" s="1111"/>
      <c r="J166" s="1111"/>
      <c r="K166" s="1111"/>
      <c r="L166" s="1111"/>
      <c r="M166" s="1111"/>
      <c r="N166" s="1111"/>
      <c r="O166" s="1111"/>
      <c r="P166" s="1111"/>
      <c r="Q166" s="1112"/>
    </row>
    <row r="167" spans="1:17" ht="15" x14ac:dyDescent="0.2">
      <c r="A167" s="670"/>
      <c r="B167" s="1110"/>
      <c r="C167" s="1111"/>
      <c r="D167" s="1111"/>
      <c r="E167" s="1111"/>
      <c r="F167" s="1111"/>
      <c r="G167" s="1111"/>
      <c r="H167" s="1111"/>
      <c r="I167" s="1111"/>
      <c r="J167" s="1111"/>
      <c r="K167" s="1111"/>
      <c r="L167" s="1111"/>
      <c r="M167" s="1111"/>
      <c r="N167" s="1111"/>
      <c r="O167" s="1111"/>
      <c r="P167" s="1111"/>
      <c r="Q167" s="1112"/>
    </row>
    <row r="168" spans="1:17" ht="29.25" customHeight="1" x14ac:dyDescent="0.2">
      <c r="A168" s="670"/>
      <c r="B168" s="1010"/>
      <c r="C168" s="1008"/>
      <c r="D168" s="1008"/>
      <c r="E168" s="1008"/>
      <c r="F168" s="1008"/>
      <c r="G168" s="1008"/>
      <c r="H168" s="1008"/>
      <c r="I168" s="1008"/>
      <c r="J168" s="1008"/>
      <c r="K168" s="1008"/>
      <c r="L168" s="1008"/>
      <c r="M168" s="1008"/>
      <c r="N168" s="1008"/>
      <c r="O168" s="1008"/>
      <c r="P168" s="1008"/>
      <c r="Q168" s="1009"/>
    </row>
    <row r="169" spans="1:17" ht="32.25" customHeight="1" x14ac:dyDescent="0.2">
      <c r="A169" s="670"/>
      <c r="B169" s="1010"/>
      <c r="C169" s="1008"/>
      <c r="D169" s="1008"/>
      <c r="E169" s="1008"/>
      <c r="F169" s="1008"/>
      <c r="G169" s="1008"/>
      <c r="H169" s="1008"/>
      <c r="I169" s="1008"/>
      <c r="J169" s="1008"/>
      <c r="K169" s="1008"/>
      <c r="L169" s="1008"/>
      <c r="M169" s="1008"/>
      <c r="N169" s="1008"/>
      <c r="O169" s="1008"/>
      <c r="P169" s="1008"/>
      <c r="Q169" s="1009"/>
    </row>
    <row r="170" spans="1:17" ht="15" x14ac:dyDescent="0.2">
      <c r="A170" s="670"/>
      <c r="B170" s="1010"/>
      <c r="C170" s="1008"/>
      <c r="D170" s="1008"/>
      <c r="E170" s="1008"/>
      <c r="F170" s="1008"/>
      <c r="G170" s="1008"/>
      <c r="H170" s="1008"/>
      <c r="I170" s="1008"/>
      <c r="J170" s="1008"/>
      <c r="K170" s="1008"/>
      <c r="L170" s="1008"/>
      <c r="M170" s="1008"/>
      <c r="N170" s="1008"/>
      <c r="O170" s="1008"/>
      <c r="P170" s="1008"/>
      <c r="Q170" s="1009"/>
    </row>
    <row r="171" spans="1:17" ht="15" x14ac:dyDescent="0.2">
      <c r="A171" s="670"/>
      <c r="B171" s="1010"/>
      <c r="C171" s="1008"/>
      <c r="D171" s="1008"/>
      <c r="E171" s="1008"/>
      <c r="F171" s="1008"/>
      <c r="G171" s="1008"/>
      <c r="H171" s="1008"/>
      <c r="I171" s="1008"/>
      <c r="J171" s="1008"/>
      <c r="K171" s="1008"/>
      <c r="L171" s="1008"/>
      <c r="M171" s="1008"/>
      <c r="N171" s="1008"/>
      <c r="O171" s="1008"/>
      <c r="P171" s="1008"/>
      <c r="Q171" s="1009"/>
    </row>
    <row r="172" spans="1:17" ht="15" x14ac:dyDescent="0.2">
      <c r="A172" s="670"/>
      <c r="B172" s="1010"/>
      <c r="C172" s="1008"/>
      <c r="D172" s="1008"/>
      <c r="E172" s="1008"/>
      <c r="F172" s="1008"/>
      <c r="G172" s="1008"/>
      <c r="H172" s="1008"/>
      <c r="I172" s="1008"/>
      <c r="J172" s="1008"/>
      <c r="K172" s="1008"/>
      <c r="L172" s="1008"/>
      <c r="M172" s="1008"/>
      <c r="N172" s="1008"/>
      <c r="O172" s="1008"/>
      <c r="P172" s="1008"/>
      <c r="Q172" s="1009"/>
    </row>
    <row r="173" spans="1:17" ht="15" x14ac:dyDescent="0.2">
      <c r="A173" s="670"/>
      <c r="B173" s="1010"/>
      <c r="C173" s="1008"/>
      <c r="D173" s="1008"/>
      <c r="E173" s="1008"/>
      <c r="F173" s="1008"/>
      <c r="G173" s="1008"/>
      <c r="H173" s="1008"/>
      <c r="I173" s="1008"/>
      <c r="J173" s="1008"/>
      <c r="K173" s="1008"/>
      <c r="L173" s="1008"/>
      <c r="M173" s="1008"/>
      <c r="N173" s="1008"/>
      <c r="O173" s="1008"/>
      <c r="P173" s="1008"/>
      <c r="Q173" s="1009"/>
    </row>
    <row r="174" spans="1:17" ht="15" x14ac:dyDescent="0.2">
      <c r="A174" s="670"/>
      <c r="B174" s="1010"/>
      <c r="C174" s="1008"/>
      <c r="D174" s="1008"/>
      <c r="E174" s="1008"/>
      <c r="F174" s="1008"/>
      <c r="G174" s="1008"/>
      <c r="H174" s="1008"/>
      <c r="I174" s="1008"/>
      <c r="J174" s="1008"/>
      <c r="K174" s="1008"/>
      <c r="L174" s="1008"/>
      <c r="M174" s="1008"/>
      <c r="N174" s="1008"/>
      <c r="O174" s="1008"/>
      <c r="P174" s="1008"/>
      <c r="Q174" s="1009"/>
    </row>
    <row r="175" spans="1:17" ht="15" x14ac:dyDescent="0.2">
      <c r="A175" s="670"/>
      <c r="B175" s="1110"/>
      <c r="C175" s="1111"/>
      <c r="D175" s="1111"/>
      <c r="E175" s="1111"/>
      <c r="F175" s="1111"/>
      <c r="G175" s="1111"/>
      <c r="H175" s="1111"/>
      <c r="I175" s="1111"/>
      <c r="J175" s="1111"/>
      <c r="K175" s="1111"/>
      <c r="L175" s="1111"/>
      <c r="M175" s="1111"/>
      <c r="N175" s="1111"/>
      <c r="O175" s="1111"/>
      <c r="P175" s="1111"/>
      <c r="Q175" s="1112"/>
    </row>
    <row r="176" spans="1:17" ht="15" x14ac:dyDescent="0.2">
      <c r="A176" s="670"/>
      <c r="B176" s="1110"/>
      <c r="C176" s="1111"/>
      <c r="D176" s="1111"/>
      <c r="E176" s="1111"/>
      <c r="F176" s="1111"/>
      <c r="G176" s="1111"/>
      <c r="H176" s="1111"/>
      <c r="I176" s="1111"/>
      <c r="J176" s="1111"/>
      <c r="K176" s="1111"/>
      <c r="L176" s="1111"/>
      <c r="M176" s="1111"/>
      <c r="N176" s="1111"/>
      <c r="O176" s="1111"/>
      <c r="P176" s="1111"/>
      <c r="Q176" s="1112"/>
    </row>
    <row r="177" spans="1:17" ht="15" x14ac:dyDescent="0.2">
      <c r="A177" s="670"/>
      <c r="B177" s="1010"/>
      <c r="C177" s="1008"/>
      <c r="D177" s="1008"/>
      <c r="E177" s="1008"/>
      <c r="F177" s="1008"/>
      <c r="G177" s="1008"/>
      <c r="H177" s="1008"/>
      <c r="I177" s="1008"/>
      <c r="J177" s="1008"/>
      <c r="K177" s="1008"/>
      <c r="L177" s="1008"/>
      <c r="M177" s="1008"/>
      <c r="N177" s="1008"/>
      <c r="O177" s="1008"/>
      <c r="P177" s="1008"/>
      <c r="Q177" s="1009"/>
    </row>
    <row r="178" spans="1:17" ht="28.5" customHeight="1" x14ac:dyDescent="0.2">
      <c r="A178" s="670"/>
      <c r="B178" s="1010"/>
      <c r="C178" s="1008"/>
      <c r="D178" s="1008"/>
      <c r="E178" s="1008"/>
      <c r="F178" s="1008"/>
      <c r="G178" s="1008"/>
      <c r="H178" s="1008"/>
      <c r="I178" s="1008"/>
      <c r="J178" s="1008"/>
      <c r="K178" s="1008"/>
      <c r="L178" s="1008"/>
      <c r="M178" s="1008"/>
      <c r="N178" s="1008"/>
      <c r="O178" s="1008"/>
      <c r="P178" s="1008"/>
      <c r="Q178" s="1009"/>
    </row>
    <row r="179" spans="1:17" ht="15" x14ac:dyDescent="0.2">
      <c r="A179" s="670"/>
      <c r="B179" s="1010"/>
      <c r="C179" s="1008"/>
      <c r="D179" s="1008"/>
      <c r="E179" s="1008"/>
      <c r="F179" s="1008"/>
      <c r="G179" s="1008"/>
      <c r="H179" s="1008"/>
      <c r="I179" s="1008"/>
      <c r="J179" s="1008"/>
      <c r="K179" s="1008"/>
      <c r="L179" s="1008"/>
      <c r="M179" s="1008"/>
      <c r="N179" s="1008"/>
      <c r="O179" s="1008"/>
      <c r="P179" s="1008"/>
      <c r="Q179" s="1009"/>
    </row>
    <row r="180" spans="1:17" ht="15" x14ac:dyDescent="0.2">
      <c r="A180" s="670"/>
      <c r="B180" s="1010"/>
      <c r="C180" s="1008"/>
      <c r="D180" s="1008"/>
      <c r="E180" s="1008"/>
      <c r="F180" s="1008"/>
      <c r="G180" s="1008"/>
      <c r="H180" s="1008"/>
      <c r="I180" s="1008"/>
      <c r="J180" s="1008"/>
      <c r="K180" s="1008"/>
      <c r="L180" s="1008"/>
      <c r="M180" s="1008"/>
      <c r="N180" s="1008"/>
      <c r="O180" s="1008"/>
      <c r="P180" s="1008"/>
      <c r="Q180" s="1009"/>
    </row>
    <row r="181" spans="1:17" ht="15" x14ac:dyDescent="0.2">
      <c r="A181" s="670"/>
      <c r="B181" s="1010"/>
      <c r="C181" s="1008"/>
      <c r="D181" s="1008"/>
      <c r="E181" s="1008"/>
      <c r="F181" s="1008"/>
      <c r="G181" s="1008"/>
      <c r="H181" s="1008"/>
      <c r="I181" s="1008"/>
      <c r="J181" s="1008"/>
      <c r="K181" s="1008"/>
      <c r="L181" s="1008"/>
      <c r="M181" s="1008"/>
      <c r="N181" s="1008"/>
      <c r="O181" s="1008"/>
      <c r="P181" s="1008"/>
      <c r="Q181" s="1009"/>
    </row>
    <row r="182" spans="1:17" ht="15" x14ac:dyDescent="0.2">
      <c r="A182" s="670"/>
      <c r="B182" s="1010"/>
      <c r="C182" s="1008"/>
      <c r="D182" s="1008"/>
      <c r="E182" s="1008"/>
      <c r="F182" s="1008"/>
      <c r="G182" s="1008"/>
      <c r="H182" s="1008"/>
      <c r="I182" s="1008"/>
      <c r="J182" s="1008"/>
      <c r="K182" s="1008"/>
      <c r="L182" s="1008"/>
      <c r="M182" s="1008"/>
      <c r="N182" s="1008"/>
      <c r="O182" s="1008"/>
      <c r="P182" s="1008"/>
      <c r="Q182" s="1009"/>
    </row>
    <row r="183" spans="1:17" ht="15" x14ac:dyDescent="0.2">
      <c r="A183" s="670"/>
      <c r="B183" s="1010"/>
      <c r="C183" s="1008"/>
      <c r="D183" s="1008"/>
      <c r="E183" s="1008"/>
      <c r="F183" s="1008"/>
      <c r="G183" s="1008"/>
      <c r="H183" s="1008"/>
      <c r="I183" s="1008"/>
      <c r="J183" s="1008"/>
      <c r="K183" s="1008"/>
      <c r="L183" s="1008"/>
      <c r="M183" s="1008"/>
      <c r="N183" s="1008"/>
      <c r="O183" s="1008"/>
      <c r="P183" s="1008"/>
      <c r="Q183" s="1009"/>
    </row>
    <row r="184" spans="1:17" ht="15" x14ac:dyDescent="0.2">
      <c r="A184" s="670"/>
      <c r="B184" s="1010"/>
      <c r="C184" s="1008"/>
      <c r="D184" s="1008"/>
      <c r="E184" s="1008"/>
      <c r="F184" s="1008"/>
      <c r="G184" s="1008"/>
      <c r="H184" s="1008"/>
      <c r="I184" s="1008"/>
      <c r="J184" s="1008"/>
      <c r="K184" s="1008"/>
      <c r="L184" s="1008"/>
      <c r="M184" s="1008"/>
      <c r="N184" s="1008"/>
      <c r="O184" s="1008"/>
      <c r="P184" s="1008"/>
      <c r="Q184" s="1009"/>
    </row>
    <row r="185" spans="1:17" ht="14.25" customHeight="1" x14ac:dyDescent="0.2">
      <c r="A185" s="670"/>
      <c r="B185" s="1110"/>
      <c r="C185" s="1111"/>
      <c r="D185" s="1111"/>
      <c r="E185" s="1111"/>
      <c r="F185" s="1111"/>
      <c r="G185" s="1111"/>
      <c r="H185" s="1111"/>
      <c r="I185" s="1111"/>
      <c r="J185" s="1111"/>
      <c r="K185" s="1111"/>
      <c r="L185" s="1111"/>
      <c r="M185" s="1111"/>
      <c r="N185" s="1111"/>
      <c r="O185" s="1111"/>
      <c r="P185" s="1111"/>
      <c r="Q185" s="1112"/>
    </row>
    <row r="186" spans="1:17" ht="34.5" customHeight="1" x14ac:dyDescent="0.2">
      <c r="A186" s="670"/>
      <c r="B186" s="1010"/>
      <c r="C186" s="1008"/>
      <c r="D186" s="1008"/>
      <c r="E186" s="1008"/>
      <c r="F186" s="1008"/>
      <c r="G186" s="1008"/>
      <c r="H186" s="1008"/>
      <c r="I186" s="1008"/>
      <c r="J186" s="1008"/>
      <c r="K186" s="1008"/>
      <c r="L186" s="1008"/>
      <c r="M186" s="1008"/>
      <c r="N186" s="1008"/>
      <c r="O186" s="1008"/>
      <c r="P186" s="1008"/>
      <c r="Q186" s="1009"/>
    </row>
    <row r="187" spans="1:17" ht="15" x14ac:dyDescent="0.2">
      <c r="A187" s="670"/>
      <c r="B187" s="1010"/>
      <c r="C187" s="1008"/>
      <c r="D187" s="1008"/>
      <c r="E187" s="1008"/>
      <c r="F187" s="1008"/>
      <c r="G187" s="1008"/>
      <c r="H187" s="1008"/>
      <c r="I187" s="1008"/>
      <c r="J187" s="1008"/>
      <c r="K187" s="1008"/>
      <c r="L187" s="1008"/>
      <c r="M187" s="1008"/>
      <c r="N187" s="1008"/>
      <c r="O187" s="1008"/>
      <c r="P187" s="1008"/>
      <c r="Q187" s="1009"/>
    </row>
    <row r="188" spans="1:17" ht="31.5" customHeight="1" x14ac:dyDescent="0.2">
      <c r="A188" s="670"/>
      <c r="B188" s="1010"/>
      <c r="C188" s="1008"/>
      <c r="D188" s="1008"/>
      <c r="E188" s="1008"/>
      <c r="F188" s="1008"/>
      <c r="G188" s="1008"/>
      <c r="H188" s="1008"/>
      <c r="I188" s="1008"/>
      <c r="J188" s="1008"/>
      <c r="K188" s="1008"/>
      <c r="L188" s="1008"/>
      <c r="M188" s="1008"/>
      <c r="N188" s="1008"/>
      <c r="O188" s="1008"/>
      <c r="P188" s="1008"/>
      <c r="Q188" s="1009"/>
    </row>
    <row r="189" spans="1:17" ht="15" x14ac:dyDescent="0.2">
      <c r="A189" s="670"/>
      <c r="B189" s="1010"/>
      <c r="C189" s="1008"/>
      <c r="D189" s="1008"/>
      <c r="E189" s="1008"/>
      <c r="F189" s="1008"/>
      <c r="G189" s="1008"/>
      <c r="H189" s="1008"/>
      <c r="I189" s="1008"/>
      <c r="J189" s="1008"/>
      <c r="K189" s="1008"/>
      <c r="L189" s="1008"/>
      <c r="M189" s="1008"/>
      <c r="N189" s="1008"/>
      <c r="O189" s="1008"/>
      <c r="P189" s="1008"/>
      <c r="Q189" s="1009"/>
    </row>
    <row r="190" spans="1:17" ht="15" x14ac:dyDescent="0.2">
      <c r="A190" s="670"/>
      <c r="B190" s="1010"/>
      <c r="C190" s="1008"/>
      <c r="D190" s="1008"/>
      <c r="E190" s="1008"/>
      <c r="F190" s="1008"/>
      <c r="G190" s="1008"/>
      <c r="H190" s="1008"/>
      <c r="I190" s="1008"/>
      <c r="J190" s="1008"/>
      <c r="K190" s="1008"/>
      <c r="L190" s="1008"/>
      <c r="M190" s="1008"/>
      <c r="N190" s="1008"/>
      <c r="O190" s="1008"/>
      <c r="P190" s="1008"/>
      <c r="Q190" s="1009"/>
    </row>
    <row r="191" spans="1:17" ht="15" x14ac:dyDescent="0.2">
      <c r="A191" s="670"/>
      <c r="B191" s="1010"/>
      <c r="C191" s="1008"/>
      <c r="D191" s="1008"/>
      <c r="E191" s="1008"/>
      <c r="F191" s="1008"/>
      <c r="G191" s="1008"/>
      <c r="H191" s="1008"/>
      <c r="I191" s="1008"/>
      <c r="J191" s="1008"/>
      <c r="K191" s="1008"/>
      <c r="L191" s="1008"/>
      <c r="M191" s="1008"/>
      <c r="N191" s="1008"/>
      <c r="O191" s="1008"/>
      <c r="P191" s="1008"/>
      <c r="Q191" s="1009"/>
    </row>
    <row r="192" spans="1:17" ht="15" x14ac:dyDescent="0.2">
      <c r="A192" s="670"/>
      <c r="B192" s="1010"/>
      <c r="C192" s="1008"/>
      <c r="D192" s="1008"/>
      <c r="E192" s="1008"/>
      <c r="F192" s="1008"/>
      <c r="G192" s="1008"/>
      <c r="H192" s="1008"/>
      <c r="I192" s="1008"/>
      <c r="J192" s="1008"/>
      <c r="K192" s="1008"/>
      <c r="L192" s="1008"/>
      <c r="M192" s="1008"/>
      <c r="N192" s="1008"/>
      <c r="O192" s="1008"/>
      <c r="P192" s="1008"/>
      <c r="Q192" s="1009"/>
    </row>
    <row r="193" spans="1:17" ht="15" x14ac:dyDescent="0.2">
      <c r="A193" s="670"/>
      <c r="B193" s="1327"/>
      <c r="C193" s="1328"/>
      <c r="D193" s="1328"/>
      <c r="E193" s="1328"/>
      <c r="F193" s="1328"/>
      <c r="G193" s="1328"/>
      <c r="H193" s="1328"/>
      <c r="I193" s="1328"/>
      <c r="J193" s="1328"/>
      <c r="K193" s="1328"/>
      <c r="L193" s="1328"/>
      <c r="M193" s="1328"/>
      <c r="N193" s="1328"/>
      <c r="O193" s="1328"/>
      <c r="P193" s="1328"/>
      <c r="Q193" s="1329"/>
    </row>
    <row r="194" spans="1:17" ht="15" x14ac:dyDescent="0.2">
      <c r="A194" s="670"/>
      <c r="B194" s="1010"/>
      <c r="C194" s="1008"/>
      <c r="D194" s="1008"/>
      <c r="E194" s="1008"/>
      <c r="F194" s="1008"/>
      <c r="G194" s="1008"/>
      <c r="H194" s="1008"/>
      <c r="I194" s="1008"/>
      <c r="J194" s="1008"/>
      <c r="K194" s="1008"/>
      <c r="L194" s="1008"/>
      <c r="M194" s="1008"/>
      <c r="N194" s="1008"/>
      <c r="O194" s="1008"/>
      <c r="P194" s="1008"/>
      <c r="Q194" s="1009"/>
    </row>
    <row r="195" spans="1:17" ht="15" x14ac:dyDescent="0.2">
      <c r="A195" s="670"/>
      <c r="B195" s="1110"/>
      <c r="C195" s="1111"/>
      <c r="D195" s="1111"/>
      <c r="E195" s="1111"/>
      <c r="F195" s="1111"/>
      <c r="G195" s="1111"/>
      <c r="H195" s="1111"/>
      <c r="I195" s="1111"/>
      <c r="J195" s="1111"/>
      <c r="K195" s="1111"/>
      <c r="L195" s="1111"/>
      <c r="M195" s="1111"/>
      <c r="N195" s="1111"/>
      <c r="O195" s="1111"/>
      <c r="P195" s="1111"/>
      <c r="Q195" s="1112"/>
    </row>
    <row r="196" spans="1:17" ht="15" x14ac:dyDescent="0.2">
      <c r="A196" s="670"/>
      <c r="B196" s="1010"/>
      <c r="C196" s="1008"/>
      <c r="D196" s="1008"/>
      <c r="E196" s="1008"/>
      <c r="F196" s="1008"/>
      <c r="G196" s="1008"/>
      <c r="H196" s="1008"/>
      <c r="I196" s="1008"/>
      <c r="J196" s="1008"/>
      <c r="K196" s="1008"/>
      <c r="L196" s="1008"/>
      <c r="M196" s="1008"/>
      <c r="N196" s="1008"/>
      <c r="O196" s="1008"/>
      <c r="P196" s="1008"/>
      <c r="Q196" s="1009"/>
    </row>
    <row r="197" spans="1:17" ht="33" customHeight="1" x14ac:dyDescent="0.2">
      <c r="A197" s="670"/>
      <c r="B197" s="1010"/>
      <c r="C197" s="1008"/>
      <c r="D197" s="1008"/>
      <c r="E197" s="1008"/>
      <c r="F197" s="1008"/>
      <c r="G197" s="1008"/>
      <c r="H197" s="1008"/>
      <c r="I197" s="1008"/>
      <c r="J197" s="1008"/>
      <c r="K197" s="1008"/>
      <c r="L197" s="1008"/>
      <c r="M197" s="1008"/>
      <c r="N197" s="1008"/>
      <c r="O197" s="1008"/>
      <c r="P197" s="1008"/>
      <c r="Q197" s="1009"/>
    </row>
    <row r="198" spans="1:17" ht="15" x14ac:dyDescent="0.2">
      <c r="A198" s="670"/>
      <c r="B198" s="1010"/>
      <c r="C198" s="1008"/>
      <c r="D198" s="1008"/>
      <c r="E198" s="1008"/>
      <c r="F198" s="1008"/>
      <c r="G198" s="1008"/>
      <c r="H198" s="1008"/>
      <c r="I198" s="1008"/>
      <c r="J198" s="1008"/>
      <c r="K198" s="1008"/>
      <c r="L198" s="1008"/>
      <c r="M198" s="1008"/>
      <c r="N198" s="1008"/>
      <c r="O198" s="1008"/>
      <c r="P198" s="1008"/>
      <c r="Q198" s="1009"/>
    </row>
    <row r="199" spans="1:17" ht="15" x14ac:dyDescent="0.2">
      <c r="A199" s="670"/>
      <c r="B199" s="1010"/>
      <c r="C199" s="1008"/>
      <c r="D199" s="1008"/>
      <c r="E199" s="1008"/>
      <c r="F199" s="1008"/>
      <c r="G199" s="1008"/>
      <c r="H199" s="1008"/>
      <c r="I199" s="1008"/>
      <c r="J199" s="1008"/>
      <c r="K199" s="1008"/>
      <c r="L199" s="1008"/>
      <c r="M199" s="1008"/>
      <c r="N199" s="1008"/>
      <c r="O199" s="1008"/>
      <c r="P199" s="1008"/>
      <c r="Q199" s="1009"/>
    </row>
    <row r="200" spans="1:17" ht="15" x14ac:dyDescent="0.2">
      <c r="A200" s="670"/>
      <c r="B200" s="1010"/>
      <c r="C200" s="1008"/>
      <c r="D200" s="1008"/>
      <c r="E200" s="1008"/>
      <c r="F200" s="1008"/>
      <c r="G200" s="1008"/>
      <c r="H200" s="1008"/>
      <c r="I200" s="1008"/>
      <c r="J200" s="1008"/>
      <c r="K200" s="1008"/>
      <c r="L200" s="1008"/>
      <c r="M200" s="1008"/>
      <c r="N200" s="1008"/>
      <c r="O200" s="1008"/>
      <c r="P200" s="1008"/>
      <c r="Q200" s="1009"/>
    </row>
    <row r="201" spans="1:17" ht="28.5" customHeight="1" x14ac:dyDescent="0.2">
      <c r="A201" s="670"/>
      <c r="B201" s="1010"/>
      <c r="C201" s="1008"/>
      <c r="D201" s="1008"/>
      <c r="E201" s="1008"/>
      <c r="F201" s="1008"/>
      <c r="G201" s="1008"/>
      <c r="H201" s="1008"/>
      <c r="I201" s="1008"/>
      <c r="J201" s="1008"/>
      <c r="K201" s="1008"/>
      <c r="L201" s="1008"/>
      <c r="M201" s="1008"/>
      <c r="N201" s="1008"/>
      <c r="O201" s="1008"/>
      <c r="P201" s="1008"/>
      <c r="Q201" s="1009"/>
    </row>
    <row r="202" spans="1:17" ht="15" x14ac:dyDescent="0.2">
      <c r="A202" s="670"/>
      <c r="B202" s="1010"/>
      <c r="C202" s="1008"/>
      <c r="D202" s="1008"/>
      <c r="E202" s="1008"/>
      <c r="F202" s="1008"/>
      <c r="G202" s="1008"/>
      <c r="H202" s="1008"/>
      <c r="I202" s="1008"/>
      <c r="J202" s="1008"/>
      <c r="K202" s="1008"/>
      <c r="L202" s="1008"/>
      <c r="M202" s="1008"/>
      <c r="N202" s="1008"/>
      <c r="O202" s="1008"/>
      <c r="P202" s="1008"/>
      <c r="Q202" s="1009"/>
    </row>
    <row r="203" spans="1:17" ht="33.75" customHeight="1" x14ac:dyDescent="0.2">
      <c r="A203" s="670"/>
      <c r="B203" s="1010"/>
      <c r="C203" s="1008"/>
      <c r="D203" s="1008"/>
      <c r="E203" s="1008"/>
      <c r="F203" s="1008"/>
      <c r="G203" s="1008"/>
      <c r="H203" s="1008"/>
      <c r="I203" s="1008"/>
      <c r="J203" s="1008"/>
      <c r="K203" s="1008"/>
      <c r="L203" s="1008"/>
      <c r="M203" s="1008"/>
      <c r="N203" s="1008"/>
      <c r="O203" s="1008"/>
      <c r="P203" s="1008"/>
      <c r="Q203" s="1009"/>
    </row>
    <row r="204" spans="1:17" ht="15" x14ac:dyDescent="0.2">
      <c r="A204" s="670"/>
      <c r="B204" s="1110"/>
      <c r="C204" s="1111"/>
      <c r="D204" s="1111"/>
      <c r="E204" s="1111"/>
      <c r="F204" s="1111"/>
      <c r="G204" s="1111"/>
      <c r="H204" s="1111"/>
      <c r="I204" s="1111"/>
      <c r="J204" s="1111"/>
      <c r="K204" s="1111"/>
      <c r="L204" s="1111"/>
      <c r="M204" s="1111"/>
      <c r="N204" s="1111"/>
      <c r="O204" s="1111"/>
      <c r="P204" s="1111"/>
      <c r="Q204" s="1112"/>
    </row>
    <row r="205" spans="1:17" ht="15" x14ac:dyDescent="0.2">
      <c r="A205" s="670"/>
      <c r="B205" s="1010"/>
      <c r="C205" s="1008"/>
      <c r="D205" s="1008"/>
      <c r="E205" s="1008"/>
      <c r="F205" s="1008"/>
      <c r="G205" s="1008"/>
      <c r="H205" s="1008"/>
      <c r="I205" s="1008"/>
      <c r="J205" s="1008"/>
      <c r="K205" s="1008"/>
      <c r="L205" s="1008"/>
      <c r="M205" s="1008"/>
      <c r="N205" s="1008"/>
      <c r="O205" s="1008"/>
      <c r="P205" s="1008"/>
      <c r="Q205" s="1009"/>
    </row>
    <row r="206" spans="1:17" ht="15" x14ac:dyDescent="0.2">
      <c r="A206" s="670"/>
      <c r="B206" s="1010"/>
      <c r="C206" s="1008"/>
      <c r="D206" s="1008"/>
      <c r="E206" s="1008"/>
      <c r="F206" s="1008"/>
      <c r="G206" s="1008"/>
      <c r="H206" s="1008"/>
      <c r="I206" s="1008"/>
      <c r="J206" s="1008"/>
      <c r="K206" s="1008"/>
      <c r="L206" s="1008"/>
      <c r="M206" s="1008"/>
      <c r="N206" s="1008"/>
      <c r="O206" s="1008"/>
      <c r="P206" s="1008"/>
      <c r="Q206" s="1009"/>
    </row>
    <row r="207" spans="1:17" ht="15" x14ac:dyDescent="0.2">
      <c r="A207" s="670"/>
      <c r="B207" s="1010"/>
      <c r="C207" s="1008"/>
      <c r="D207" s="1008"/>
      <c r="E207" s="1008"/>
      <c r="F207" s="1008"/>
      <c r="G207" s="1008"/>
      <c r="H207" s="1008"/>
      <c r="I207" s="1008"/>
      <c r="J207" s="1008"/>
      <c r="K207" s="1008"/>
      <c r="L207" s="1008"/>
      <c r="M207" s="1008"/>
      <c r="N207" s="1008"/>
      <c r="O207" s="1008"/>
      <c r="P207" s="1008"/>
      <c r="Q207" s="1009"/>
    </row>
    <row r="208" spans="1:17" ht="15" x14ac:dyDescent="0.2">
      <c r="A208" s="670"/>
      <c r="B208" s="1110"/>
      <c r="C208" s="1111"/>
      <c r="D208" s="1111"/>
      <c r="E208" s="1111"/>
      <c r="F208" s="1111"/>
      <c r="G208" s="1111"/>
      <c r="H208" s="1111"/>
      <c r="I208" s="1111"/>
      <c r="J208" s="1111"/>
      <c r="K208" s="1111"/>
      <c r="L208" s="1111"/>
      <c r="M208" s="1111"/>
      <c r="N208" s="1111"/>
      <c r="O208" s="1111"/>
      <c r="P208" s="1111"/>
      <c r="Q208" s="1112"/>
    </row>
    <row r="209" spans="1:17" ht="15" x14ac:dyDescent="0.2">
      <c r="A209" s="670"/>
      <c r="B209" s="1010"/>
      <c r="C209" s="1008"/>
      <c r="D209" s="1008"/>
      <c r="E209" s="1008"/>
      <c r="F209" s="1008"/>
      <c r="G209" s="1008"/>
      <c r="H209" s="1008"/>
      <c r="I209" s="1008"/>
      <c r="J209" s="1008"/>
      <c r="K209" s="1008"/>
      <c r="L209" s="1008"/>
      <c r="M209" s="1008"/>
      <c r="N209" s="1008"/>
      <c r="O209" s="1008"/>
      <c r="P209" s="1008"/>
      <c r="Q209" s="1009"/>
    </row>
    <row r="210" spans="1:17" ht="15" x14ac:dyDescent="0.2">
      <c r="A210" s="670"/>
      <c r="B210" s="1110"/>
      <c r="C210" s="1111"/>
      <c r="D210" s="1111"/>
      <c r="E210" s="1111"/>
      <c r="F210" s="1111"/>
      <c r="G210" s="1111"/>
      <c r="H210" s="1111"/>
      <c r="I210" s="1111"/>
      <c r="J210" s="1111"/>
      <c r="K210" s="1111"/>
      <c r="L210" s="1111"/>
      <c r="M210" s="1111"/>
      <c r="N210" s="1111"/>
      <c r="O210" s="1111"/>
      <c r="P210" s="1111"/>
      <c r="Q210" s="1112"/>
    </row>
    <row r="211" spans="1:17" ht="15" x14ac:dyDescent="0.2">
      <c r="A211" s="670"/>
      <c r="B211" s="1372"/>
      <c r="C211" s="1373"/>
      <c r="D211" s="1373"/>
      <c r="E211" s="1373"/>
      <c r="F211" s="1373"/>
      <c r="G211" s="1373"/>
      <c r="H211" s="1373"/>
      <c r="I211" s="1373"/>
      <c r="J211" s="1373"/>
      <c r="K211" s="1373"/>
      <c r="L211" s="1373"/>
      <c r="M211" s="1373"/>
      <c r="N211" s="1373"/>
      <c r="O211" s="1373"/>
      <c r="P211" s="1373"/>
      <c r="Q211" s="1374"/>
    </row>
    <row r="212" spans="1:17" ht="29.25" customHeight="1" x14ac:dyDescent="0.2">
      <c r="A212" s="670"/>
      <c r="B212" s="1110"/>
      <c r="C212" s="1111"/>
      <c r="D212" s="1111"/>
      <c r="E212" s="1111"/>
      <c r="F212" s="1111"/>
      <c r="G212" s="1111"/>
      <c r="H212" s="1111"/>
      <c r="I212" s="1111"/>
      <c r="J212" s="1111"/>
      <c r="K212" s="1111"/>
      <c r="L212" s="1111"/>
      <c r="M212" s="1111"/>
      <c r="N212" s="1111"/>
      <c r="O212" s="1111"/>
      <c r="P212" s="1111"/>
      <c r="Q212" s="1112"/>
    </row>
    <row r="213" spans="1:17" ht="15" x14ac:dyDescent="0.2">
      <c r="A213" s="670"/>
      <c r="B213" s="1110"/>
      <c r="C213" s="1111"/>
      <c r="D213" s="1111"/>
      <c r="E213" s="1111"/>
      <c r="F213" s="1111"/>
      <c r="G213" s="1111"/>
      <c r="H213" s="1111"/>
      <c r="I213" s="1111"/>
      <c r="J213" s="1111"/>
      <c r="K213" s="1111"/>
      <c r="L213" s="1111"/>
      <c r="M213" s="1111"/>
      <c r="N213" s="1111"/>
      <c r="O213" s="1111"/>
      <c r="P213" s="1111"/>
      <c r="Q213" s="1112"/>
    </row>
    <row r="214" spans="1:17" ht="46.5" customHeight="1" x14ac:dyDescent="0.2">
      <c r="A214" s="670"/>
      <c r="B214" s="1372"/>
      <c r="C214" s="1373"/>
      <c r="D214" s="1373"/>
      <c r="E214" s="1373"/>
      <c r="F214" s="1373"/>
      <c r="G214" s="1373"/>
      <c r="H214" s="1373"/>
      <c r="I214" s="1373"/>
      <c r="J214" s="1373"/>
      <c r="K214" s="1373"/>
      <c r="L214" s="1373"/>
      <c r="M214" s="1373"/>
      <c r="N214" s="1373"/>
      <c r="O214" s="1373"/>
      <c r="P214" s="1373"/>
      <c r="Q214" s="1374"/>
    </row>
    <row r="215" spans="1:17" ht="15" x14ac:dyDescent="0.2">
      <c r="A215" s="670"/>
      <c r="B215" s="1010"/>
      <c r="C215" s="1008"/>
      <c r="D215" s="1008"/>
      <c r="E215" s="1008"/>
      <c r="F215" s="1008"/>
      <c r="G215" s="1008"/>
      <c r="H215" s="1008"/>
      <c r="I215" s="1008"/>
      <c r="J215" s="1008"/>
      <c r="K215" s="1008"/>
      <c r="L215" s="1008"/>
      <c r="M215" s="1008"/>
      <c r="N215" s="1008"/>
      <c r="O215" s="1008"/>
      <c r="P215" s="1008"/>
      <c r="Q215" s="1009"/>
    </row>
    <row r="216" spans="1:17" ht="15" x14ac:dyDescent="0.2">
      <c r="A216" s="670"/>
      <c r="B216" s="1010"/>
      <c r="C216" s="1008"/>
      <c r="D216" s="1008"/>
      <c r="E216" s="1008"/>
      <c r="F216" s="1008"/>
      <c r="G216" s="1008"/>
      <c r="H216" s="1008"/>
      <c r="I216" s="1008"/>
      <c r="J216" s="1008"/>
      <c r="K216" s="1008"/>
      <c r="L216" s="1008"/>
      <c r="M216" s="1008"/>
      <c r="N216" s="1008"/>
      <c r="O216" s="1008"/>
      <c r="P216" s="1008"/>
      <c r="Q216" s="1009"/>
    </row>
    <row r="217" spans="1:17" ht="15" x14ac:dyDescent="0.2">
      <c r="A217" s="670"/>
      <c r="B217" s="1010"/>
      <c r="C217" s="1008"/>
      <c r="D217" s="1008"/>
      <c r="E217" s="1008"/>
      <c r="F217" s="1008"/>
      <c r="G217" s="1008"/>
      <c r="H217" s="1008"/>
      <c r="I217" s="1008"/>
      <c r="J217" s="1008"/>
      <c r="K217" s="1008"/>
      <c r="L217" s="1008"/>
      <c r="M217" s="1008"/>
      <c r="N217" s="1008"/>
      <c r="O217" s="1008"/>
      <c r="P217" s="1008"/>
      <c r="Q217" s="1009"/>
    </row>
    <row r="218" spans="1:17" ht="15" x14ac:dyDescent="0.2">
      <c r="A218" s="670"/>
      <c r="B218" s="1010"/>
      <c r="C218" s="1008"/>
      <c r="D218" s="1008"/>
      <c r="E218" s="1008"/>
      <c r="F218" s="1008"/>
      <c r="G218" s="1008"/>
      <c r="H218" s="1008"/>
      <c r="I218" s="1008"/>
      <c r="J218" s="1008"/>
      <c r="K218" s="1008"/>
      <c r="L218" s="1008"/>
      <c r="M218" s="1008"/>
      <c r="N218" s="1008"/>
      <c r="O218" s="1008"/>
      <c r="P218" s="1008"/>
      <c r="Q218" s="1009"/>
    </row>
    <row r="219" spans="1:17" ht="61.5" customHeight="1" x14ac:dyDescent="0.2">
      <c r="A219" s="670"/>
      <c r="B219" s="1110"/>
      <c r="C219" s="1111"/>
      <c r="D219" s="1111"/>
      <c r="E219" s="1111"/>
      <c r="F219" s="1111"/>
      <c r="G219" s="1111"/>
      <c r="H219" s="1111"/>
      <c r="I219" s="1111"/>
      <c r="J219" s="1111"/>
      <c r="K219" s="1111"/>
      <c r="L219" s="1111"/>
      <c r="M219" s="1111"/>
      <c r="N219" s="1111"/>
      <c r="O219" s="1111"/>
      <c r="P219" s="1111"/>
      <c r="Q219" s="1112"/>
    </row>
    <row r="220" spans="1:17" ht="15" x14ac:dyDescent="0.2">
      <c r="A220" s="670"/>
      <c r="B220" s="1010"/>
      <c r="C220" s="1008"/>
      <c r="D220" s="1008"/>
      <c r="E220" s="1008"/>
      <c r="F220" s="1008"/>
      <c r="G220" s="1008"/>
      <c r="H220" s="1008"/>
      <c r="I220" s="1008"/>
      <c r="J220" s="1008"/>
      <c r="K220" s="1008"/>
      <c r="L220" s="1008"/>
      <c r="M220" s="1008"/>
      <c r="N220" s="1008"/>
      <c r="O220" s="1008"/>
      <c r="P220" s="1008"/>
      <c r="Q220" s="1009"/>
    </row>
    <row r="221" spans="1:17" ht="15" x14ac:dyDescent="0.2">
      <c r="A221" s="670"/>
      <c r="B221" s="1110"/>
      <c r="C221" s="1111"/>
      <c r="D221" s="1111"/>
      <c r="E221" s="1111"/>
      <c r="F221" s="1111"/>
      <c r="G221" s="1111"/>
      <c r="H221" s="1111"/>
      <c r="I221" s="1111"/>
      <c r="J221" s="1111"/>
      <c r="K221" s="1111"/>
      <c r="L221" s="1111"/>
      <c r="M221" s="1111"/>
      <c r="N221" s="1111"/>
      <c r="O221" s="1111"/>
      <c r="P221" s="1111"/>
      <c r="Q221" s="1112"/>
    </row>
    <row r="222" spans="1:17" ht="15" x14ac:dyDescent="0.2">
      <c r="A222" s="670"/>
      <c r="B222" s="1010"/>
      <c r="C222" s="1008"/>
      <c r="D222" s="1008"/>
      <c r="E222" s="1008"/>
      <c r="F222" s="1008"/>
      <c r="G222" s="1008"/>
      <c r="H222" s="1008"/>
      <c r="I222" s="1008"/>
      <c r="J222" s="1008"/>
      <c r="K222" s="1008"/>
      <c r="L222" s="1008"/>
      <c r="M222" s="1008"/>
      <c r="N222" s="1008"/>
      <c r="O222" s="1008"/>
      <c r="P222" s="1008"/>
      <c r="Q222" s="1009"/>
    </row>
    <row r="223" spans="1:17" ht="15" x14ac:dyDescent="0.2">
      <c r="A223" s="670"/>
      <c r="B223" s="1010"/>
      <c r="C223" s="1008"/>
      <c r="D223" s="1008"/>
      <c r="E223" s="1008"/>
      <c r="F223" s="1008"/>
      <c r="G223" s="1008"/>
      <c r="H223" s="1008"/>
      <c r="I223" s="1008"/>
      <c r="J223" s="1008"/>
      <c r="K223" s="1008"/>
      <c r="L223" s="1008"/>
      <c r="M223" s="1008"/>
      <c r="N223" s="1008"/>
      <c r="O223" s="1008"/>
      <c r="P223" s="1008"/>
      <c r="Q223" s="1009"/>
    </row>
    <row r="224" spans="1:17" ht="15" x14ac:dyDescent="0.2">
      <c r="A224" s="670"/>
      <c r="B224" s="1010"/>
      <c r="C224" s="1008"/>
      <c r="D224" s="1008"/>
      <c r="E224" s="1008"/>
      <c r="F224" s="1008"/>
      <c r="G224" s="1008"/>
      <c r="H224" s="1008"/>
      <c r="I224" s="1008"/>
      <c r="J224" s="1008"/>
      <c r="K224" s="1008"/>
      <c r="L224" s="1008"/>
      <c r="M224" s="1008"/>
      <c r="N224" s="1008"/>
      <c r="O224" s="1008"/>
      <c r="P224" s="1008"/>
      <c r="Q224" s="1009"/>
    </row>
    <row r="225" spans="1:17" ht="15" x14ac:dyDescent="0.2">
      <c r="A225" s="670"/>
      <c r="B225" s="1010"/>
      <c r="C225" s="1008"/>
      <c r="D225" s="1008"/>
      <c r="E225" s="1008"/>
      <c r="F225" s="1008"/>
      <c r="G225" s="1008"/>
      <c r="H225" s="1008"/>
      <c r="I225" s="1008"/>
      <c r="J225" s="1008"/>
      <c r="K225" s="1008"/>
      <c r="L225" s="1008"/>
      <c r="M225" s="1008"/>
      <c r="N225" s="1008"/>
      <c r="O225" s="1008"/>
      <c r="P225" s="1008"/>
      <c r="Q225" s="1009"/>
    </row>
    <row r="226" spans="1:17" ht="15" x14ac:dyDescent="0.2">
      <c r="A226" s="670"/>
      <c r="B226" s="1110"/>
      <c r="C226" s="1111"/>
      <c r="D226" s="1111"/>
      <c r="E226" s="1111"/>
      <c r="F226" s="1111"/>
      <c r="G226" s="1111"/>
      <c r="H226" s="1111"/>
      <c r="I226" s="1111"/>
      <c r="J226" s="1111"/>
      <c r="K226" s="1111"/>
      <c r="L226" s="1111"/>
      <c r="M226" s="1111"/>
      <c r="N226" s="1111"/>
      <c r="O226" s="1111"/>
      <c r="P226" s="1111"/>
      <c r="Q226" s="1112"/>
    </row>
    <row r="227" spans="1:17" ht="15" x14ac:dyDescent="0.2">
      <c r="B227" s="1010"/>
      <c r="C227" s="1008"/>
      <c r="D227" s="1008"/>
      <c r="E227" s="1008"/>
      <c r="F227" s="1008"/>
      <c r="G227" s="1008"/>
      <c r="H227" s="1008"/>
      <c r="I227" s="1008"/>
      <c r="J227" s="1008"/>
      <c r="K227" s="1008"/>
      <c r="L227" s="1008"/>
      <c r="M227" s="1008"/>
      <c r="N227" s="1008"/>
      <c r="O227" s="1008"/>
      <c r="P227" s="1008"/>
      <c r="Q227" s="1009"/>
    </row>
    <row r="228" spans="1:17" ht="15" x14ac:dyDescent="0.2">
      <c r="B228" s="1010"/>
      <c r="C228" s="1008"/>
      <c r="D228" s="1008"/>
      <c r="E228" s="1008"/>
      <c r="F228" s="1008"/>
      <c r="G228" s="1008"/>
      <c r="H228" s="1008"/>
      <c r="I228" s="1008"/>
      <c r="J228" s="1008"/>
      <c r="K228" s="1008"/>
      <c r="L228" s="1008"/>
      <c r="M228" s="1008"/>
      <c r="N228" s="1008"/>
      <c r="O228" s="1008"/>
      <c r="P228" s="1008"/>
      <c r="Q228" s="1009"/>
    </row>
    <row r="229" spans="1:17" ht="15" x14ac:dyDescent="0.2">
      <c r="B229" s="1010"/>
      <c r="C229" s="1008"/>
      <c r="D229" s="1008"/>
      <c r="E229" s="1008"/>
      <c r="F229" s="1008"/>
      <c r="G229" s="1008"/>
      <c r="H229" s="1008"/>
      <c r="I229" s="1008"/>
      <c r="J229" s="1008"/>
      <c r="K229" s="1008"/>
      <c r="L229" s="1008"/>
      <c r="M229" s="1008"/>
      <c r="N229" s="1008"/>
      <c r="O229" s="1008"/>
      <c r="P229" s="1008"/>
      <c r="Q229" s="1009"/>
    </row>
    <row r="230" spans="1:17" ht="15" x14ac:dyDescent="0.2">
      <c r="B230" s="1010"/>
      <c r="C230" s="1008"/>
      <c r="D230" s="1008"/>
      <c r="E230" s="1008"/>
      <c r="F230" s="1008"/>
      <c r="G230" s="1008"/>
      <c r="H230" s="1008"/>
      <c r="I230" s="1008"/>
      <c r="J230" s="1008"/>
      <c r="K230" s="1008"/>
      <c r="L230" s="1008"/>
      <c r="M230" s="1008"/>
      <c r="N230" s="1008"/>
      <c r="O230" s="1008"/>
      <c r="P230" s="1008"/>
      <c r="Q230" s="1009"/>
    </row>
    <row r="231" spans="1:17" ht="15" x14ac:dyDescent="0.2">
      <c r="B231" s="1010"/>
      <c r="C231" s="1008"/>
      <c r="D231" s="1008"/>
      <c r="E231" s="1008"/>
      <c r="F231" s="1008"/>
      <c r="G231" s="1008"/>
      <c r="H231" s="1008"/>
      <c r="I231" s="1008"/>
      <c r="J231" s="1008"/>
      <c r="K231" s="1008"/>
      <c r="L231" s="1008"/>
      <c r="M231" s="1008"/>
      <c r="N231" s="1008"/>
      <c r="O231" s="1008"/>
      <c r="P231" s="1008"/>
      <c r="Q231" s="1009"/>
    </row>
    <row r="232" spans="1:17" ht="15" x14ac:dyDescent="0.2">
      <c r="B232" s="1010"/>
      <c r="C232" s="1008"/>
      <c r="D232" s="1008"/>
      <c r="E232" s="1008"/>
      <c r="F232" s="1008"/>
      <c r="G232" s="1008"/>
      <c r="H232" s="1008"/>
      <c r="I232" s="1008"/>
      <c r="J232" s="1008"/>
      <c r="K232" s="1008"/>
      <c r="L232" s="1008"/>
      <c r="M232" s="1008"/>
      <c r="N232" s="1008"/>
      <c r="O232" s="1008"/>
      <c r="P232" s="1008"/>
      <c r="Q232" s="1009"/>
    </row>
    <row r="233" spans="1:17" ht="15.75" thickBot="1" x14ac:dyDescent="0.25">
      <c r="B233" s="142"/>
      <c r="C233" s="142"/>
      <c r="D233" s="142"/>
      <c r="E233" s="142"/>
      <c r="F233" s="142"/>
      <c r="G233" s="142"/>
      <c r="H233" s="142"/>
      <c r="I233" s="142"/>
      <c r="J233" s="142"/>
      <c r="K233" s="142"/>
      <c r="L233" s="142"/>
      <c r="M233" s="142"/>
      <c r="N233" s="142"/>
      <c r="O233" s="142"/>
      <c r="P233" s="142"/>
      <c r="Q233" s="210"/>
    </row>
    <row r="234" spans="1:17" ht="15" x14ac:dyDescent="0.2">
      <c r="B234" s="642"/>
      <c r="C234" s="642"/>
      <c r="D234" s="642"/>
      <c r="E234" s="642"/>
      <c r="F234" s="642"/>
      <c r="G234" s="642"/>
      <c r="H234" s="642"/>
      <c r="I234" s="642"/>
      <c r="J234" s="642"/>
      <c r="K234" s="642"/>
      <c r="L234" s="642"/>
      <c r="M234" s="642"/>
      <c r="N234" s="642"/>
      <c r="O234" s="642"/>
      <c r="P234" s="642"/>
      <c r="Q234" s="642"/>
    </row>
    <row r="235" spans="1:17" ht="15" x14ac:dyDescent="0.2">
      <c r="B235" s="642"/>
      <c r="C235" s="642"/>
      <c r="D235" s="642"/>
      <c r="E235" s="642"/>
      <c r="F235" s="642"/>
      <c r="G235" s="642"/>
      <c r="H235" s="642"/>
      <c r="I235" s="642"/>
      <c r="J235" s="642"/>
      <c r="K235" s="642"/>
      <c r="L235" s="642"/>
      <c r="M235" s="642"/>
      <c r="N235" s="642"/>
      <c r="O235" s="642"/>
      <c r="P235" s="642"/>
      <c r="Q235" s="642"/>
    </row>
    <row r="236" spans="1:17" ht="15" x14ac:dyDescent="0.2">
      <c r="B236" s="642"/>
      <c r="C236" s="642"/>
      <c r="D236" s="642"/>
      <c r="E236" s="642"/>
      <c r="F236" s="642"/>
      <c r="G236" s="642"/>
      <c r="H236" s="642"/>
      <c r="I236" s="642"/>
      <c r="J236" s="642"/>
      <c r="K236" s="642"/>
      <c r="L236" s="642"/>
      <c r="M236" s="642"/>
      <c r="N236" s="642"/>
      <c r="O236" s="642"/>
      <c r="P236" s="642"/>
      <c r="Q236" s="642"/>
    </row>
    <row r="237" spans="1:17" ht="15" x14ac:dyDescent="0.2">
      <c r="B237" s="642"/>
      <c r="C237" s="642"/>
      <c r="D237" s="642"/>
      <c r="E237" s="642"/>
      <c r="F237" s="642"/>
      <c r="G237" s="642"/>
      <c r="H237" s="642"/>
      <c r="I237" s="642"/>
      <c r="J237" s="642"/>
      <c r="K237" s="642"/>
      <c r="L237" s="642"/>
      <c r="M237" s="642"/>
      <c r="N237" s="642"/>
      <c r="O237" s="642"/>
      <c r="P237" s="642"/>
      <c r="Q237" s="642"/>
    </row>
    <row r="238" spans="1:17" ht="15" x14ac:dyDescent="0.2">
      <c r="B238" s="642"/>
      <c r="C238" s="642"/>
      <c r="D238" s="642"/>
      <c r="E238" s="642"/>
      <c r="F238" s="642"/>
      <c r="G238" s="642"/>
      <c r="H238" s="642"/>
      <c r="I238" s="642"/>
      <c r="J238" s="642"/>
      <c r="K238" s="642"/>
      <c r="L238" s="642"/>
      <c r="M238" s="642"/>
      <c r="N238" s="642"/>
      <c r="O238" s="642"/>
      <c r="P238" s="642"/>
      <c r="Q238" s="642"/>
    </row>
    <row r="239" spans="1:17" ht="15" x14ac:dyDescent="0.2">
      <c r="B239" s="642"/>
      <c r="C239" s="642"/>
      <c r="D239" s="642"/>
      <c r="E239" s="642"/>
      <c r="F239" s="642"/>
      <c r="G239" s="642"/>
      <c r="H239" s="642"/>
      <c r="I239" s="642"/>
      <c r="J239" s="642"/>
      <c r="K239" s="642"/>
      <c r="L239" s="642"/>
      <c r="M239" s="642"/>
      <c r="N239" s="642"/>
      <c r="O239" s="642"/>
      <c r="P239" s="642"/>
      <c r="Q239" s="642"/>
    </row>
    <row r="240" spans="1:17" ht="15" x14ac:dyDescent="0.2">
      <c r="B240" s="642"/>
      <c r="C240" s="642"/>
      <c r="D240" s="642"/>
      <c r="E240" s="642"/>
      <c r="F240" s="642"/>
      <c r="G240" s="642"/>
      <c r="H240" s="642"/>
      <c r="I240" s="642"/>
      <c r="J240" s="642"/>
      <c r="K240" s="642"/>
      <c r="L240" s="642"/>
      <c r="M240" s="642"/>
      <c r="N240" s="642"/>
      <c r="O240" s="642"/>
      <c r="P240" s="642"/>
      <c r="Q240" s="642"/>
    </row>
    <row r="241" spans="2:17" ht="15" x14ac:dyDescent="0.2">
      <c r="B241" s="642"/>
      <c r="C241" s="642"/>
      <c r="D241" s="642"/>
      <c r="E241" s="642"/>
      <c r="F241" s="642"/>
      <c r="G241" s="642"/>
      <c r="H241" s="642"/>
      <c r="I241" s="642"/>
      <c r="J241" s="642"/>
      <c r="K241" s="642"/>
      <c r="L241" s="642"/>
      <c r="M241" s="642"/>
      <c r="N241" s="642"/>
      <c r="O241" s="642"/>
      <c r="P241" s="642"/>
      <c r="Q241" s="642"/>
    </row>
    <row r="242" spans="2:17" ht="15" x14ac:dyDescent="0.2">
      <c r="B242" s="642"/>
      <c r="C242" s="642"/>
      <c r="D242" s="642"/>
      <c r="E242" s="642"/>
      <c r="F242" s="642"/>
      <c r="G242" s="642"/>
      <c r="H242" s="642"/>
      <c r="I242" s="642"/>
      <c r="J242" s="642"/>
      <c r="K242" s="642"/>
      <c r="L242" s="642"/>
      <c r="M242" s="642"/>
      <c r="N242" s="642"/>
      <c r="O242" s="642"/>
      <c r="P242" s="642"/>
      <c r="Q242" s="642"/>
    </row>
    <row r="243" spans="2:17" ht="15" x14ac:dyDescent="0.2">
      <c r="B243" s="642"/>
      <c r="C243" s="642"/>
      <c r="D243" s="642"/>
      <c r="E243" s="642"/>
      <c r="F243" s="642"/>
      <c r="G243" s="642"/>
      <c r="H243" s="642"/>
      <c r="I243" s="642"/>
      <c r="J243" s="642"/>
      <c r="K243" s="642"/>
      <c r="L243" s="642"/>
      <c r="M243" s="642"/>
      <c r="N243" s="642"/>
      <c r="O243" s="642"/>
      <c r="P243" s="642"/>
      <c r="Q243" s="642"/>
    </row>
    <row r="244" spans="2:17" ht="15" x14ac:dyDescent="0.2">
      <c r="B244" s="642"/>
      <c r="C244" s="642"/>
      <c r="D244" s="642"/>
      <c r="E244" s="642"/>
      <c r="F244" s="642"/>
      <c r="G244" s="642"/>
      <c r="H244" s="642"/>
      <c r="I244" s="642"/>
      <c r="J244" s="642"/>
      <c r="K244" s="642"/>
      <c r="L244" s="642"/>
      <c r="M244" s="642"/>
      <c r="N244" s="642"/>
      <c r="O244" s="642"/>
      <c r="P244" s="642"/>
      <c r="Q244" s="642"/>
    </row>
    <row r="245" spans="2:17" ht="15" x14ac:dyDescent="0.2">
      <c r="B245" s="642"/>
      <c r="C245" s="642"/>
      <c r="D245" s="642"/>
      <c r="E245" s="642"/>
      <c r="F245" s="642"/>
      <c r="G245" s="642"/>
      <c r="H245" s="642"/>
      <c r="I245" s="642"/>
      <c r="J245" s="642"/>
      <c r="K245" s="642"/>
      <c r="L245" s="642"/>
      <c r="M245" s="642"/>
      <c r="N245" s="642"/>
      <c r="O245" s="642"/>
      <c r="P245" s="642"/>
      <c r="Q245" s="642"/>
    </row>
    <row r="246" spans="2:17" ht="15" x14ac:dyDescent="0.2">
      <c r="B246" s="642"/>
      <c r="C246" s="642"/>
      <c r="D246" s="642"/>
      <c r="E246" s="642"/>
      <c r="F246" s="642"/>
      <c r="G246" s="642"/>
      <c r="H246" s="642"/>
      <c r="I246" s="642"/>
      <c r="J246" s="642"/>
      <c r="K246" s="642"/>
      <c r="L246" s="642"/>
      <c r="M246" s="642"/>
      <c r="N246" s="642"/>
      <c r="O246" s="642"/>
      <c r="P246" s="642"/>
      <c r="Q246" s="642"/>
    </row>
    <row r="247" spans="2:17" ht="15" x14ac:dyDescent="0.2">
      <c r="B247" s="642"/>
      <c r="C247" s="642"/>
      <c r="D247" s="642"/>
      <c r="E247" s="642"/>
      <c r="F247" s="642"/>
      <c r="G247" s="642"/>
      <c r="H247" s="642"/>
      <c r="I247" s="642"/>
      <c r="J247" s="642"/>
      <c r="K247" s="642"/>
      <c r="L247" s="642"/>
      <c r="M247" s="642"/>
      <c r="N247" s="642"/>
      <c r="O247" s="642"/>
      <c r="P247" s="642"/>
      <c r="Q247" s="642"/>
    </row>
    <row r="248" spans="2:17" ht="15" x14ac:dyDescent="0.2">
      <c r="B248" s="642"/>
      <c r="C248" s="642"/>
      <c r="D248" s="642"/>
      <c r="E248" s="642"/>
      <c r="F248" s="642"/>
      <c r="G248" s="642"/>
      <c r="H248" s="642"/>
      <c r="I248" s="642"/>
      <c r="J248" s="642"/>
      <c r="K248" s="642"/>
      <c r="L248" s="642"/>
      <c r="M248" s="642"/>
      <c r="N248" s="642"/>
      <c r="O248" s="642"/>
      <c r="P248" s="642"/>
      <c r="Q248" s="642"/>
    </row>
    <row r="249" spans="2:17" ht="15" x14ac:dyDescent="0.2">
      <c r="B249" s="642"/>
      <c r="C249" s="642"/>
      <c r="D249" s="642"/>
      <c r="E249" s="642"/>
      <c r="F249" s="642"/>
      <c r="G249" s="642"/>
      <c r="H249" s="642"/>
      <c r="I249" s="642"/>
      <c r="J249" s="642"/>
      <c r="K249" s="642"/>
      <c r="L249" s="642"/>
      <c r="M249" s="642"/>
      <c r="N249" s="642"/>
      <c r="O249" s="642"/>
      <c r="P249" s="642"/>
      <c r="Q249" s="642"/>
    </row>
    <row r="250" spans="2:17" ht="15" x14ac:dyDescent="0.2">
      <c r="B250" s="642"/>
      <c r="C250" s="642"/>
      <c r="D250" s="642"/>
      <c r="E250" s="642"/>
      <c r="F250" s="642"/>
      <c r="G250" s="642"/>
      <c r="H250" s="642"/>
      <c r="I250" s="642"/>
      <c r="J250" s="642"/>
      <c r="K250" s="642"/>
      <c r="L250" s="642"/>
      <c r="M250" s="642"/>
      <c r="N250" s="642"/>
      <c r="O250" s="642"/>
      <c r="P250" s="642"/>
      <c r="Q250" s="642"/>
    </row>
    <row r="251" spans="2:17" ht="15" x14ac:dyDescent="0.2">
      <c r="B251" s="642"/>
      <c r="C251" s="642"/>
      <c r="D251" s="642"/>
      <c r="E251" s="642"/>
      <c r="F251" s="642"/>
      <c r="G251" s="642"/>
      <c r="H251" s="642"/>
      <c r="I251" s="642"/>
      <c r="J251" s="642"/>
      <c r="K251" s="642"/>
      <c r="L251" s="642"/>
      <c r="M251" s="642"/>
      <c r="N251" s="642"/>
      <c r="O251" s="642"/>
      <c r="P251" s="642"/>
      <c r="Q251" s="642"/>
    </row>
    <row r="252" spans="2:17" ht="15" x14ac:dyDescent="0.2">
      <c r="B252" s="642"/>
      <c r="C252" s="642"/>
      <c r="D252" s="642"/>
      <c r="E252" s="642"/>
      <c r="F252" s="642"/>
      <c r="G252" s="642"/>
      <c r="H252" s="642"/>
      <c r="I252" s="642"/>
      <c r="J252" s="642"/>
      <c r="K252" s="642"/>
      <c r="L252" s="642"/>
      <c r="M252" s="642"/>
      <c r="N252" s="642"/>
      <c r="O252" s="642"/>
      <c r="P252" s="642"/>
      <c r="Q252" s="642"/>
    </row>
    <row r="253" spans="2:17" ht="15" x14ac:dyDescent="0.2">
      <c r="B253" s="642"/>
      <c r="C253" s="642"/>
      <c r="D253" s="642"/>
      <c r="E253" s="642"/>
      <c r="F253" s="642"/>
      <c r="G253" s="642"/>
      <c r="H253" s="642"/>
      <c r="I253" s="642"/>
      <c r="J253" s="642"/>
      <c r="K253" s="642"/>
      <c r="L253" s="642"/>
      <c r="M253" s="642"/>
      <c r="N253" s="642"/>
      <c r="O253" s="642"/>
      <c r="P253" s="642"/>
      <c r="Q253" s="642"/>
    </row>
    <row r="254" spans="2:17" ht="15" x14ac:dyDescent="0.2">
      <c r="B254" s="642"/>
      <c r="C254" s="642"/>
      <c r="D254" s="642"/>
      <c r="E254" s="642"/>
      <c r="F254" s="642"/>
      <c r="G254" s="642"/>
      <c r="H254" s="642"/>
      <c r="I254" s="642"/>
      <c r="J254" s="642"/>
      <c r="K254" s="642"/>
      <c r="L254" s="642"/>
      <c r="M254" s="642"/>
      <c r="N254" s="642"/>
      <c r="O254" s="642"/>
      <c r="P254" s="642"/>
      <c r="Q254" s="642"/>
    </row>
    <row r="255" spans="2:17" ht="15" x14ac:dyDescent="0.2">
      <c r="B255" s="642"/>
      <c r="C255" s="642"/>
      <c r="D255" s="642"/>
      <c r="E255" s="642"/>
      <c r="F255" s="642"/>
      <c r="G255" s="642"/>
      <c r="H255" s="642"/>
      <c r="I255" s="642"/>
      <c r="J255" s="642"/>
      <c r="K255" s="642"/>
      <c r="L255" s="642"/>
      <c r="M255" s="642"/>
      <c r="N255" s="642"/>
      <c r="O255" s="642"/>
      <c r="P255" s="642"/>
      <c r="Q255" s="642"/>
    </row>
    <row r="256" spans="2:17" ht="15" x14ac:dyDescent="0.2">
      <c r="B256" s="642"/>
      <c r="C256" s="642"/>
      <c r="D256" s="642"/>
      <c r="E256" s="642"/>
      <c r="F256" s="642"/>
      <c r="G256" s="642"/>
      <c r="H256" s="642"/>
      <c r="I256" s="642"/>
      <c r="J256" s="642"/>
      <c r="K256" s="642"/>
      <c r="L256" s="642"/>
      <c r="M256" s="642"/>
      <c r="N256" s="642"/>
      <c r="O256" s="642"/>
      <c r="P256" s="642"/>
      <c r="Q256" s="642"/>
    </row>
    <row r="257" spans="2:17" ht="15" x14ac:dyDescent="0.2">
      <c r="B257" s="642"/>
      <c r="C257" s="642"/>
      <c r="D257" s="642"/>
      <c r="E257" s="642"/>
      <c r="F257" s="642"/>
      <c r="G257" s="642"/>
      <c r="H257" s="642"/>
      <c r="I257" s="642"/>
      <c r="J257" s="642"/>
      <c r="K257" s="642"/>
      <c r="L257" s="642"/>
      <c r="M257" s="642"/>
      <c r="N257" s="642"/>
      <c r="O257" s="642"/>
      <c r="P257" s="642"/>
      <c r="Q257" s="642"/>
    </row>
    <row r="258" spans="2:17" ht="15" x14ac:dyDescent="0.2">
      <c r="B258" s="642"/>
      <c r="C258" s="642"/>
      <c r="D258" s="642"/>
      <c r="E258" s="642"/>
      <c r="F258" s="642"/>
      <c r="G258" s="642"/>
      <c r="H258" s="642"/>
      <c r="I258" s="642"/>
      <c r="J258" s="642"/>
      <c r="K258" s="642"/>
      <c r="L258" s="642"/>
      <c r="M258" s="642"/>
      <c r="N258" s="642"/>
      <c r="O258" s="642"/>
      <c r="P258" s="642"/>
      <c r="Q258" s="642"/>
    </row>
    <row r="259" spans="2:17" ht="15" x14ac:dyDescent="0.2">
      <c r="B259" s="642"/>
      <c r="C259" s="642"/>
      <c r="D259" s="642"/>
      <c r="E259" s="642"/>
      <c r="F259" s="642"/>
      <c r="G259" s="642"/>
      <c r="H259" s="642"/>
      <c r="I259" s="642"/>
      <c r="J259" s="642"/>
      <c r="K259" s="642"/>
      <c r="L259" s="642"/>
      <c r="M259" s="642"/>
      <c r="N259" s="642"/>
      <c r="O259" s="642"/>
      <c r="P259" s="642"/>
      <c r="Q259" s="642"/>
    </row>
    <row r="260" spans="2:17" ht="15" x14ac:dyDescent="0.2">
      <c r="B260" s="642"/>
      <c r="C260" s="642"/>
      <c r="D260" s="642"/>
      <c r="E260" s="642"/>
      <c r="F260" s="642"/>
      <c r="G260" s="642"/>
      <c r="H260" s="642"/>
      <c r="I260" s="642"/>
      <c r="J260" s="642"/>
      <c r="K260" s="642"/>
      <c r="L260" s="642"/>
      <c r="M260" s="642"/>
      <c r="N260" s="642"/>
      <c r="O260" s="642"/>
      <c r="P260" s="642"/>
      <c r="Q260" s="642"/>
    </row>
    <row r="261" spans="2:17" ht="15" x14ac:dyDescent="0.2">
      <c r="B261" s="642"/>
      <c r="C261" s="642"/>
      <c r="D261" s="642"/>
      <c r="E261" s="642"/>
      <c r="F261" s="642"/>
      <c r="G261" s="642"/>
      <c r="H261" s="642"/>
      <c r="I261" s="642"/>
      <c r="J261" s="642"/>
      <c r="K261" s="642"/>
      <c r="L261" s="642"/>
      <c r="M261" s="642"/>
      <c r="N261" s="642"/>
      <c r="O261" s="642"/>
      <c r="P261" s="642"/>
      <c r="Q261" s="642"/>
    </row>
    <row r="262" spans="2:17" ht="15" x14ac:dyDescent="0.2">
      <c r="B262" s="642"/>
      <c r="C262" s="642"/>
      <c r="D262" s="642"/>
      <c r="E262" s="642"/>
      <c r="F262" s="642"/>
      <c r="G262" s="642"/>
      <c r="H262" s="642"/>
      <c r="I262" s="642"/>
      <c r="J262" s="642"/>
      <c r="K262" s="642"/>
      <c r="L262" s="642"/>
      <c r="M262" s="642"/>
      <c r="N262" s="642"/>
      <c r="O262" s="642"/>
      <c r="P262" s="642"/>
      <c r="Q262" s="642"/>
    </row>
    <row r="263" spans="2:17" ht="15" x14ac:dyDescent="0.2">
      <c r="B263" s="642"/>
      <c r="C263" s="642"/>
      <c r="D263" s="642"/>
      <c r="E263" s="642"/>
      <c r="F263" s="642"/>
      <c r="G263" s="642"/>
      <c r="H263" s="642"/>
      <c r="I263" s="642"/>
      <c r="J263" s="642"/>
      <c r="K263" s="642"/>
      <c r="L263" s="642"/>
      <c r="M263" s="642"/>
      <c r="N263" s="642"/>
      <c r="O263" s="642"/>
      <c r="P263" s="642"/>
      <c r="Q263" s="642"/>
    </row>
    <row r="264" spans="2:17" ht="15" x14ac:dyDescent="0.2">
      <c r="B264" s="642"/>
      <c r="C264" s="642"/>
      <c r="D264" s="642"/>
      <c r="E264" s="642"/>
      <c r="F264" s="642"/>
      <c r="G264" s="642"/>
      <c r="H264" s="642"/>
      <c r="I264" s="642"/>
      <c r="J264" s="642"/>
      <c r="K264" s="642"/>
      <c r="L264" s="642"/>
      <c r="M264" s="642"/>
      <c r="N264" s="642"/>
      <c r="O264" s="642"/>
      <c r="P264" s="642"/>
      <c r="Q264" s="642"/>
    </row>
    <row r="265" spans="2:17" ht="15" x14ac:dyDescent="0.2">
      <c r="B265" s="642"/>
      <c r="C265" s="642"/>
      <c r="D265" s="642"/>
      <c r="E265" s="642"/>
      <c r="F265" s="642"/>
      <c r="G265" s="642"/>
      <c r="H265" s="642"/>
      <c r="I265" s="642"/>
      <c r="J265" s="642"/>
      <c r="K265" s="642"/>
      <c r="L265" s="642"/>
      <c r="M265" s="642"/>
      <c r="N265" s="642"/>
      <c r="O265" s="642"/>
      <c r="P265" s="642"/>
      <c r="Q265" s="642"/>
    </row>
    <row r="266" spans="2:17" ht="15" x14ac:dyDescent="0.2">
      <c r="B266" s="642"/>
      <c r="C266" s="642"/>
      <c r="D266" s="642"/>
      <c r="E266" s="642"/>
      <c r="F266" s="642"/>
      <c r="G266" s="642"/>
      <c r="H266" s="642"/>
      <c r="I266" s="642"/>
      <c r="J266" s="642"/>
      <c r="K266" s="642"/>
      <c r="L266" s="642"/>
      <c r="M266" s="642"/>
      <c r="N266" s="642"/>
      <c r="O266" s="642"/>
      <c r="P266" s="642"/>
      <c r="Q266" s="642"/>
    </row>
    <row r="267" spans="2:17" ht="15" x14ac:dyDescent="0.2">
      <c r="B267" s="642"/>
      <c r="C267" s="642"/>
      <c r="D267" s="642"/>
      <c r="E267" s="642"/>
      <c r="F267" s="642"/>
      <c r="G267" s="642"/>
      <c r="H267" s="642"/>
      <c r="I267" s="642"/>
      <c r="J267" s="642"/>
      <c r="K267" s="642"/>
      <c r="L267" s="642"/>
      <c r="M267" s="642"/>
      <c r="N267" s="642"/>
      <c r="O267" s="642"/>
      <c r="P267" s="642"/>
      <c r="Q267" s="642"/>
    </row>
    <row r="268" spans="2:17" ht="15" x14ac:dyDescent="0.2">
      <c r="B268" s="642"/>
      <c r="C268" s="642"/>
      <c r="D268" s="642"/>
      <c r="E268" s="642"/>
      <c r="F268" s="642"/>
      <c r="G268" s="642"/>
      <c r="H268" s="642"/>
      <c r="I268" s="642"/>
      <c r="J268" s="642"/>
      <c r="K268" s="642"/>
      <c r="L268" s="642"/>
      <c r="M268" s="642"/>
      <c r="N268" s="642"/>
      <c r="O268" s="642"/>
      <c r="P268" s="642"/>
      <c r="Q268" s="642"/>
    </row>
    <row r="269" spans="2:17" ht="15" x14ac:dyDescent="0.2">
      <c r="B269" s="642"/>
      <c r="C269" s="642"/>
      <c r="D269" s="642"/>
      <c r="E269" s="642"/>
      <c r="F269" s="642"/>
      <c r="G269" s="642"/>
      <c r="H269" s="642"/>
      <c r="I269" s="642"/>
      <c r="J269" s="642"/>
      <c r="K269" s="642"/>
      <c r="L269" s="642"/>
      <c r="M269" s="642"/>
      <c r="N269" s="642"/>
      <c r="O269" s="642"/>
      <c r="P269" s="642"/>
      <c r="Q269" s="642"/>
    </row>
    <row r="270" spans="2:17" ht="15" x14ac:dyDescent="0.2">
      <c r="B270" s="642"/>
      <c r="C270" s="642"/>
      <c r="D270" s="642"/>
      <c r="E270" s="642"/>
      <c r="F270" s="642"/>
      <c r="G270" s="642"/>
      <c r="H270" s="642"/>
      <c r="I270" s="642"/>
      <c r="J270" s="642"/>
      <c r="K270" s="642"/>
      <c r="L270" s="642"/>
      <c r="M270" s="642"/>
      <c r="N270" s="642"/>
      <c r="O270" s="642"/>
      <c r="P270" s="642"/>
      <c r="Q270" s="642"/>
    </row>
    <row r="271" spans="2:17" ht="15" x14ac:dyDescent="0.2">
      <c r="B271" s="642"/>
      <c r="C271" s="642"/>
      <c r="D271" s="642"/>
      <c r="E271" s="642"/>
      <c r="F271" s="642"/>
      <c r="G271" s="642"/>
      <c r="H271" s="642"/>
      <c r="I271" s="642"/>
      <c r="J271" s="642"/>
      <c r="K271" s="642"/>
      <c r="L271" s="642"/>
      <c r="M271" s="642"/>
      <c r="N271" s="642"/>
      <c r="O271" s="642"/>
      <c r="P271" s="642"/>
      <c r="Q271" s="642"/>
    </row>
    <row r="272" spans="2:17" ht="15" x14ac:dyDescent="0.2">
      <c r="B272" s="642"/>
      <c r="C272" s="642"/>
      <c r="D272" s="642"/>
      <c r="E272" s="642"/>
      <c r="F272" s="642"/>
      <c r="G272" s="642"/>
      <c r="H272" s="642"/>
      <c r="I272" s="642"/>
      <c r="J272" s="642"/>
      <c r="K272" s="642"/>
      <c r="L272" s="642"/>
      <c r="M272" s="642"/>
      <c r="N272" s="642"/>
      <c r="O272" s="642"/>
      <c r="P272" s="642"/>
      <c r="Q272" s="642"/>
    </row>
    <row r="273" spans="2:17" ht="15" x14ac:dyDescent="0.2">
      <c r="B273" s="642"/>
      <c r="C273" s="642"/>
      <c r="D273" s="642"/>
      <c r="E273" s="642"/>
      <c r="F273" s="642"/>
      <c r="G273" s="642"/>
      <c r="H273" s="642"/>
      <c r="I273" s="642"/>
      <c r="J273" s="642"/>
      <c r="K273" s="642"/>
      <c r="L273" s="642"/>
      <c r="M273" s="642"/>
      <c r="N273" s="642"/>
      <c r="O273" s="642"/>
      <c r="P273" s="642"/>
      <c r="Q273" s="642"/>
    </row>
    <row r="274" spans="2:17" ht="15" x14ac:dyDescent="0.2">
      <c r="B274" s="642"/>
      <c r="C274" s="642"/>
      <c r="D274" s="642"/>
      <c r="E274" s="642"/>
      <c r="F274" s="642"/>
      <c r="G274" s="642"/>
      <c r="H274" s="642"/>
      <c r="I274" s="642"/>
      <c r="J274" s="642"/>
      <c r="K274" s="642"/>
      <c r="L274" s="642"/>
      <c r="M274" s="642"/>
      <c r="N274" s="642"/>
      <c r="O274" s="642"/>
      <c r="P274" s="642"/>
      <c r="Q274" s="642"/>
    </row>
    <row r="275" spans="2:17" ht="15" x14ac:dyDescent="0.2">
      <c r="B275" s="642"/>
      <c r="C275" s="642"/>
      <c r="D275" s="642"/>
      <c r="E275" s="642"/>
      <c r="F275" s="642"/>
      <c r="G275" s="642"/>
      <c r="H275" s="642"/>
      <c r="I275" s="642"/>
      <c r="J275" s="642"/>
      <c r="K275" s="642"/>
      <c r="L275" s="642"/>
      <c r="M275" s="642"/>
      <c r="N275" s="642"/>
      <c r="O275" s="642"/>
      <c r="P275" s="642"/>
      <c r="Q275" s="642"/>
    </row>
    <row r="276" spans="2:17" ht="15" x14ac:dyDescent="0.2">
      <c r="B276" s="642"/>
      <c r="C276" s="642"/>
      <c r="D276" s="642"/>
      <c r="E276" s="642"/>
      <c r="F276" s="642"/>
      <c r="G276" s="642"/>
      <c r="H276" s="642"/>
      <c r="I276" s="642"/>
      <c r="J276" s="642"/>
      <c r="K276" s="642"/>
      <c r="L276" s="642"/>
      <c r="M276" s="642"/>
      <c r="N276" s="642"/>
      <c r="O276" s="642"/>
      <c r="P276" s="642"/>
      <c r="Q276" s="642"/>
    </row>
    <row r="277" spans="2:17" ht="15" x14ac:dyDescent="0.2">
      <c r="B277" s="642"/>
      <c r="C277" s="642"/>
      <c r="D277" s="642"/>
      <c r="E277" s="642"/>
      <c r="F277" s="642"/>
      <c r="G277" s="642"/>
      <c r="H277" s="642"/>
      <c r="I277" s="642"/>
      <c r="J277" s="642"/>
      <c r="K277" s="642"/>
      <c r="L277" s="642"/>
      <c r="M277" s="642"/>
      <c r="N277" s="642"/>
      <c r="O277" s="642"/>
      <c r="P277" s="642"/>
      <c r="Q277" s="642"/>
    </row>
    <row r="278" spans="2:17" ht="15" x14ac:dyDescent="0.2">
      <c r="B278" s="642"/>
      <c r="C278" s="642"/>
      <c r="D278" s="642"/>
      <c r="E278" s="642"/>
      <c r="F278" s="642"/>
      <c r="G278" s="642"/>
      <c r="H278" s="642"/>
      <c r="I278" s="642"/>
      <c r="J278" s="642"/>
      <c r="K278" s="642"/>
      <c r="L278" s="642"/>
      <c r="M278" s="642"/>
      <c r="N278" s="642"/>
      <c r="O278" s="642"/>
      <c r="P278" s="642"/>
      <c r="Q278" s="642"/>
    </row>
    <row r="279" spans="2:17" ht="15" x14ac:dyDescent="0.2">
      <c r="B279" s="642"/>
      <c r="C279" s="642"/>
      <c r="D279" s="642"/>
      <c r="E279" s="642"/>
      <c r="F279" s="642"/>
      <c r="G279" s="642"/>
      <c r="H279" s="642"/>
      <c r="I279" s="642"/>
      <c r="J279" s="642"/>
      <c r="K279" s="642"/>
      <c r="L279" s="642"/>
      <c r="M279" s="642"/>
      <c r="N279" s="642"/>
      <c r="O279" s="642"/>
      <c r="P279" s="642"/>
      <c r="Q279" s="642"/>
    </row>
    <row r="280" spans="2:17" ht="15" x14ac:dyDescent="0.2">
      <c r="B280" s="642"/>
      <c r="C280" s="642"/>
      <c r="D280" s="642"/>
      <c r="E280" s="642"/>
      <c r="F280" s="642"/>
      <c r="G280" s="642"/>
      <c r="H280" s="642"/>
      <c r="I280" s="642"/>
      <c r="J280" s="642"/>
      <c r="K280" s="642"/>
      <c r="L280" s="642"/>
      <c r="M280" s="642"/>
      <c r="N280" s="642"/>
      <c r="O280" s="642"/>
      <c r="P280" s="642"/>
      <c r="Q280" s="642"/>
    </row>
    <row r="281" spans="2:17" ht="15" x14ac:dyDescent="0.2">
      <c r="B281" s="642"/>
      <c r="C281" s="642"/>
      <c r="D281" s="642"/>
      <c r="E281" s="642"/>
      <c r="F281" s="642"/>
      <c r="G281" s="642"/>
      <c r="H281" s="642"/>
      <c r="I281" s="642"/>
      <c r="J281" s="642"/>
      <c r="K281" s="642"/>
      <c r="L281" s="642"/>
      <c r="M281" s="642"/>
      <c r="N281" s="642"/>
      <c r="O281" s="642"/>
      <c r="P281" s="642"/>
      <c r="Q281" s="642"/>
    </row>
    <row r="282" spans="2:17" ht="15" x14ac:dyDescent="0.2">
      <c r="B282" s="642"/>
      <c r="C282" s="642"/>
      <c r="D282" s="642"/>
      <c r="E282" s="642"/>
      <c r="F282" s="642"/>
      <c r="G282" s="642"/>
      <c r="H282" s="642"/>
      <c r="I282" s="642"/>
      <c r="J282" s="642"/>
      <c r="K282" s="642"/>
      <c r="L282" s="642"/>
      <c r="M282" s="642"/>
      <c r="N282" s="642"/>
      <c r="O282" s="642"/>
      <c r="P282" s="642"/>
      <c r="Q282" s="642"/>
    </row>
    <row r="283" spans="2:17" ht="15" x14ac:dyDescent="0.2">
      <c r="B283" s="642"/>
      <c r="C283" s="642"/>
      <c r="D283" s="642"/>
      <c r="E283" s="642"/>
      <c r="F283" s="642"/>
      <c r="G283" s="642"/>
      <c r="H283" s="642"/>
      <c r="I283" s="642"/>
      <c r="J283" s="642"/>
      <c r="K283" s="642"/>
      <c r="L283" s="642"/>
      <c r="M283" s="642"/>
      <c r="N283" s="642"/>
      <c r="O283" s="642"/>
      <c r="P283" s="642"/>
      <c r="Q283" s="642"/>
    </row>
    <row r="284" spans="2:17" ht="15" x14ac:dyDescent="0.2">
      <c r="B284" s="642"/>
      <c r="C284" s="642"/>
      <c r="D284" s="642"/>
      <c r="E284" s="642"/>
      <c r="F284" s="642"/>
      <c r="G284" s="642"/>
      <c r="H284" s="642"/>
      <c r="I284" s="642"/>
      <c r="J284" s="642"/>
      <c r="K284" s="642"/>
      <c r="L284" s="642"/>
      <c r="M284" s="642"/>
      <c r="N284" s="642"/>
      <c r="O284" s="642"/>
      <c r="P284" s="642"/>
      <c r="Q284" s="642"/>
    </row>
    <row r="285" spans="2:17" ht="15" x14ac:dyDescent="0.2">
      <c r="B285" s="642"/>
      <c r="C285" s="642"/>
      <c r="D285" s="642"/>
      <c r="E285" s="642"/>
      <c r="F285" s="642"/>
      <c r="G285" s="642"/>
      <c r="H285" s="642"/>
      <c r="I285" s="642"/>
      <c r="J285" s="642"/>
      <c r="K285" s="642"/>
      <c r="L285" s="642"/>
      <c r="M285" s="642"/>
      <c r="N285" s="642"/>
      <c r="O285" s="642"/>
      <c r="P285" s="642"/>
      <c r="Q285" s="642"/>
    </row>
    <row r="286" spans="2:17" ht="15" x14ac:dyDescent="0.2">
      <c r="B286" s="642"/>
      <c r="C286" s="642"/>
      <c r="D286" s="642"/>
      <c r="E286" s="642"/>
      <c r="F286" s="642"/>
      <c r="G286" s="642"/>
      <c r="H286" s="642"/>
      <c r="I286" s="642"/>
      <c r="J286" s="642"/>
      <c r="K286" s="642"/>
      <c r="L286" s="642"/>
      <c r="M286" s="642"/>
      <c r="N286" s="642"/>
      <c r="O286" s="642"/>
      <c r="P286" s="642"/>
      <c r="Q286" s="642"/>
    </row>
    <row r="287" spans="2:17" ht="15" x14ac:dyDescent="0.2">
      <c r="B287" s="642"/>
      <c r="C287" s="642"/>
      <c r="D287" s="642"/>
      <c r="E287" s="642"/>
      <c r="F287" s="642"/>
      <c r="G287" s="642"/>
      <c r="H287" s="642"/>
      <c r="I287" s="642"/>
      <c r="J287" s="642"/>
      <c r="K287" s="642"/>
      <c r="L287" s="642"/>
      <c r="M287" s="642"/>
      <c r="N287" s="642"/>
      <c r="O287" s="642"/>
      <c r="P287" s="642"/>
      <c r="Q287" s="642"/>
    </row>
    <row r="288" spans="2:17" ht="15" x14ac:dyDescent="0.2">
      <c r="B288" s="642"/>
      <c r="C288" s="642"/>
      <c r="D288" s="642"/>
      <c r="E288" s="642"/>
      <c r="F288" s="642"/>
      <c r="G288" s="642"/>
      <c r="H288" s="642"/>
      <c r="I288" s="642"/>
      <c r="J288" s="642"/>
      <c r="K288" s="642"/>
      <c r="L288" s="642"/>
      <c r="M288" s="642"/>
      <c r="N288" s="642"/>
      <c r="O288" s="642"/>
      <c r="P288" s="642"/>
      <c r="Q288" s="642"/>
    </row>
    <row r="289" spans="2:17" ht="15" x14ac:dyDescent="0.2">
      <c r="B289" s="642"/>
      <c r="C289" s="642"/>
      <c r="D289" s="642"/>
      <c r="E289" s="642"/>
      <c r="F289" s="642"/>
      <c r="G289" s="642"/>
      <c r="H289" s="642"/>
      <c r="I289" s="642"/>
      <c r="J289" s="642"/>
      <c r="K289" s="642"/>
      <c r="L289" s="642"/>
      <c r="M289" s="642"/>
      <c r="N289" s="642"/>
      <c r="O289" s="642"/>
      <c r="P289" s="642"/>
      <c r="Q289" s="642"/>
    </row>
    <row r="290" spans="2:17" ht="15" x14ac:dyDescent="0.2">
      <c r="B290" s="642"/>
      <c r="C290" s="642"/>
      <c r="D290" s="642"/>
      <c r="E290" s="642"/>
      <c r="F290" s="642"/>
      <c r="G290" s="642"/>
      <c r="H290" s="642"/>
      <c r="I290" s="642"/>
      <c r="J290" s="642"/>
      <c r="K290" s="642"/>
      <c r="L290" s="642"/>
      <c r="M290" s="642"/>
      <c r="N290" s="642"/>
      <c r="O290" s="642"/>
      <c r="P290" s="642"/>
      <c r="Q290" s="642"/>
    </row>
    <row r="291" spans="2:17" ht="15" x14ac:dyDescent="0.2">
      <c r="B291" s="642"/>
      <c r="C291" s="642"/>
      <c r="D291" s="642"/>
      <c r="E291" s="642"/>
      <c r="F291" s="642"/>
      <c r="G291" s="642"/>
      <c r="H291" s="642"/>
      <c r="I291" s="642"/>
      <c r="J291" s="642"/>
      <c r="K291" s="642"/>
      <c r="L291" s="642"/>
      <c r="M291" s="642"/>
      <c r="N291" s="642"/>
      <c r="O291" s="642"/>
      <c r="P291" s="642"/>
      <c r="Q291" s="642"/>
    </row>
    <row r="292" spans="2:17" ht="15" x14ac:dyDescent="0.2">
      <c r="B292" s="642"/>
      <c r="C292" s="642"/>
      <c r="D292" s="642"/>
      <c r="E292" s="642"/>
      <c r="F292" s="642"/>
      <c r="G292" s="642"/>
      <c r="H292" s="642"/>
      <c r="I292" s="642"/>
      <c r="J292" s="642"/>
      <c r="K292" s="642"/>
      <c r="L292" s="642"/>
      <c r="M292" s="642"/>
      <c r="N292" s="642"/>
      <c r="O292" s="642"/>
      <c r="P292" s="642"/>
      <c r="Q292" s="642"/>
    </row>
    <row r="293" spans="2:17" ht="15" x14ac:dyDescent="0.2">
      <c r="B293" s="642"/>
      <c r="C293" s="642"/>
      <c r="D293" s="642"/>
      <c r="E293" s="642"/>
      <c r="F293" s="642"/>
      <c r="G293" s="642"/>
      <c r="H293" s="642"/>
      <c r="I293" s="642"/>
      <c r="J293" s="642"/>
      <c r="K293" s="642"/>
      <c r="L293" s="642"/>
      <c r="M293" s="642"/>
      <c r="N293" s="642"/>
      <c r="O293" s="642"/>
      <c r="P293" s="642"/>
      <c r="Q293" s="642"/>
    </row>
    <row r="294" spans="2:17" ht="15" x14ac:dyDescent="0.2">
      <c r="B294" s="642"/>
      <c r="C294" s="642"/>
      <c r="D294" s="642"/>
      <c r="E294" s="642"/>
      <c r="F294" s="642"/>
      <c r="G294" s="642"/>
      <c r="H294" s="642"/>
      <c r="I294" s="642"/>
      <c r="J294" s="642"/>
      <c r="K294" s="642"/>
      <c r="L294" s="642"/>
      <c r="M294" s="642"/>
      <c r="N294" s="642"/>
      <c r="O294" s="642"/>
      <c r="P294" s="642"/>
      <c r="Q294" s="642"/>
    </row>
    <row r="295" spans="2:17" ht="15" x14ac:dyDescent="0.2">
      <c r="B295" s="642"/>
      <c r="C295" s="642"/>
      <c r="D295" s="642"/>
      <c r="E295" s="642"/>
      <c r="F295" s="642"/>
      <c r="G295" s="642"/>
      <c r="H295" s="642"/>
      <c r="I295" s="642"/>
      <c r="J295" s="642"/>
      <c r="K295" s="642"/>
      <c r="L295" s="642"/>
      <c r="M295" s="642"/>
      <c r="N295" s="642"/>
      <c r="O295" s="642"/>
      <c r="P295" s="642"/>
      <c r="Q295" s="642"/>
    </row>
    <row r="296" spans="2:17" ht="15" x14ac:dyDescent="0.2">
      <c r="B296" s="642"/>
      <c r="C296" s="642"/>
      <c r="D296" s="642"/>
      <c r="E296" s="642"/>
      <c r="F296" s="642"/>
      <c r="G296" s="642"/>
      <c r="H296" s="642"/>
      <c r="I296" s="642"/>
      <c r="J296" s="642"/>
      <c r="K296" s="642"/>
      <c r="L296" s="642"/>
      <c r="M296" s="642"/>
      <c r="N296" s="642"/>
      <c r="O296" s="642"/>
      <c r="P296" s="642"/>
      <c r="Q296" s="642"/>
    </row>
    <row r="297" spans="2:17" ht="15" x14ac:dyDescent="0.2">
      <c r="B297" s="642"/>
      <c r="C297" s="642"/>
      <c r="D297" s="642"/>
      <c r="E297" s="642"/>
      <c r="F297" s="642"/>
      <c r="G297" s="642"/>
      <c r="H297" s="642"/>
      <c r="I297" s="642"/>
      <c r="J297" s="642"/>
      <c r="K297" s="642"/>
      <c r="L297" s="642"/>
      <c r="M297" s="642"/>
      <c r="N297" s="642"/>
      <c r="O297" s="642"/>
      <c r="P297" s="642"/>
      <c r="Q297" s="642"/>
    </row>
    <row r="298" spans="2:17" ht="15" x14ac:dyDescent="0.2">
      <c r="B298" s="642"/>
      <c r="C298" s="642"/>
      <c r="D298" s="642"/>
      <c r="E298" s="642"/>
      <c r="F298" s="642"/>
      <c r="G298" s="642"/>
      <c r="H298" s="642"/>
      <c r="I298" s="642"/>
      <c r="J298" s="642"/>
      <c r="K298" s="642"/>
      <c r="L298" s="642"/>
      <c r="M298" s="642"/>
      <c r="N298" s="642"/>
      <c r="O298" s="642"/>
      <c r="P298" s="642"/>
      <c r="Q298" s="642"/>
    </row>
    <row r="299" spans="2:17" ht="15" x14ac:dyDescent="0.2">
      <c r="B299" s="642"/>
      <c r="C299" s="642"/>
      <c r="D299" s="642"/>
      <c r="E299" s="642"/>
      <c r="F299" s="642"/>
      <c r="G299" s="642"/>
      <c r="H299" s="642"/>
      <c r="I299" s="642"/>
      <c r="J299" s="642"/>
      <c r="K299" s="642"/>
      <c r="L299" s="642"/>
      <c r="M299" s="642"/>
      <c r="N299" s="642"/>
      <c r="O299" s="642"/>
      <c r="P299" s="642"/>
      <c r="Q299" s="642"/>
    </row>
    <row r="300" spans="2:17" ht="15" x14ac:dyDescent="0.2">
      <c r="B300" s="642"/>
      <c r="C300" s="642"/>
      <c r="D300" s="642"/>
      <c r="E300" s="642"/>
      <c r="F300" s="642"/>
      <c r="G300" s="642"/>
      <c r="H300" s="642"/>
      <c r="I300" s="642"/>
      <c r="J300" s="642"/>
      <c r="K300" s="642"/>
      <c r="L300" s="642"/>
      <c r="M300" s="642"/>
      <c r="N300" s="642"/>
      <c r="O300" s="642"/>
      <c r="P300" s="642"/>
      <c r="Q300" s="642"/>
    </row>
    <row r="301" spans="2:17" ht="15" x14ac:dyDescent="0.2">
      <c r="B301" s="642"/>
      <c r="C301" s="642"/>
      <c r="D301" s="642"/>
      <c r="E301" s="642"/>
      <c r="F301" s="642"/>
      <c r="G301" s="642"/>
      <c r="H301" s="642"/>
      <c r="I301" s="642"/>
      <c r="J301" s="642"/>
      <c r="K301" s="642"/>
      <c r="L301" s="642"/>
      <c r="M301" s="642"/>
      <c r="N301" s="642"/>
      <c r="O301" s="642"/>
      <c r="P301" s="642"/>
      <c r="Q301" s="642"/>
    </row>
    <row r="302" spans="2:17" ht="15" x14ac:dyDescent="0.2">
      <c r="B302" s="642"/>
      <c r="C302" s="642"/>
      <c r="D302" s="642"/>
      <c r="E302" s="642"/>
      <c r="F302" s="642"/>
      <c r="G302" s="642"/>
      <c r="H302" s="642"/>
      <c r="I302" s="642"/>
      <c r="J302" s="642"/>
      <c r="K302" s="642"/>
      <c r="L302" s="642"/>
      <c r="M302" s="642"/>
      <c r="N302" s="642"/>
      <c r="O302" s="642"/>
      <c r="P302" s="642"/>
      <c r="Q302" s="642"/>
    </row>
    <row r="303" spans="2:17" ht="15" x14ac:dyDescent="0.2">
      <c r="B303" s="642"/>
      <c r="C303" s="642"/>
      <c r="D303" s="642"/>
      <c r="E303" s="642"/>
      <c r="F303" s="642"/>
      <c r="G303" s="642"/>
      <c r="H303" s="642"/>
      <c r="I303" s="642"/>
      <c r="J303" s="642"/>
      <c r="K303" s="642"/>
      <c r="L303" s="642"/>
      <c r="M303" s="642"/>
      <c r="N303" s="642"/>
      <c r="O303" s="642"/>
      <c r="P303" s="642"/>
      <c r="Q303" s="642"/>
    </row>
    <row r="304" spans="2:17" ht="15" x14ac:dyDescent="0.2">
      <c r="B304" s="642"/>
      <c r="C304" s="642"/>
      <c r="D304" s="642"/>
      <c r="E304" s="642"/>
      <c r="F304" s="642"/>
      <c r="G304" s="642"/>
      <c r="H304" s="642"/>
      <c r="I304" s="642"/>
      <c r="J304" s="642"/>
      <c r="K304" s="642"/>
      <c r="L304" s="642"/>
      <c r="M304" s="642"/>
      <c r="N304" s="642"/>
      <c r="O304" s="642"/>
      <c r="P304" s="642"/>
      <c r="Q304" s="642"/>
    </row>
    <row r="305" spans="2:17" ht="15" x14ac:dyDescent="0.2">
      <c r="B305" s="642"/>
      <c r="C305" s="642"/>
      <c r="D305" s="642"/>
      <c r="E305" s="642"/>
      <c r="F305" s="642"/>
      <c r="G305" s="642"/>
      <c r="H305" s="642"/>
      <c r="I305" s="642"/>
      <c r="J305" s="642"/>
      <c r="K305" s="642"/>
      <c r="L305" s="642"/>
      <c r="M305" s="642"/>
      <c r="N305" s="642"/>
      <c r="O305" s="642"/>
      <c r="P305" s="642"/>
      <c r="Q305" s="642"/>
    </row>
    <row r="306" spans="2:17" ht="15" x14ac:dyDescent="0.2">
      <c r="B306" s="642"/>
      <c r="C306" s="642"/>
      <c r="D306" s="642"/>
      <c r="E306" s="642"/>
      <c r="F306" s="642"/>
      <c r="G306" s="642"/>
      <c r="H306" s="642"/>
      <c r="I306" s="642"/>
      <c r="J306" s="642"/>
      <c r="K306" s="642"/>
      <c r="L306" s="642"/>
      <c r="M306" s="642"/>
      <c r="N306" s="642"/>
      <c r="O306" s="642"/>
      <c r="P306" s="642"/>
      <c r="Q306" s="642"/>
    </row>
    <row r="307" spans="2:17" ht="15" x14ac:dyDescent="0.2">
      <c r="B307" s="642"/>
      <c r="C307" s="642"/>
      <c r="D307" s="642"/>
      <c r="E307" s="642"/>
      <c r="F307" s="642"/>
      <c r="G307" s="642"/>
      <c r="H307" s="642"/>
      <c r="I307" s="642"/>
      <c r="J307" s="642"/>
      <c r="K307" s="642"/>
      <c r="L307" s="642"/>
      <c r="M307" s="642"/>
      <c r="N307" s="642"/>
      <c r="O307" s="642"/>
      <c r="P307" s="642"/>
      <c r="Q307" s="642"/>
    </row>
    <row r="308" spans="2:17" ht="15" x14ac:dyDescent="0.2">
      <c r="B308" s="642"/>
      <c r="C308" s="642"/>
      <c r="D308" s="642"/>
      <c r="E308" s="642"/>
      <c r="F308" s="642"/>
      <c r="G308" s="642"/>
      <c r="H308" s="642"/>
      <c r="I308" s="642"/>
      <c r="J308" s="642"/>
      <c r="K308" s="642"/>
      <c r="L308" s="642"/>
      <c r="M308" s="642"/>
      <c r="N308" s="642"/>
      <c r="O308" s="642"/>
      <c r="P308" s="642"/>
      <c r="Q308" s="642"/>
    </row>
    <row r="309" spans="2:17" ht="15" x14ac:dyDescent="0.2">
      <c r="B309" s="642"/>
      <c r="C309" s="642"/>
      <c r="D309" s="642"/>
      <c r="E309" s="642"/>
      <c r="F309" s="642"/>
      <c r="G309" s="642"/>
      <c r="H309" s="642"/>
      <c r="I309" s="642"/>
      <c r="J309" s="642"/>
      <c r="K309" s="642"/>
      <c r="L309" s="642"/>
      <c r="M309" s="642"/>
      <c r="N309" s="642"/>
      <c r="O309" s="642"/>
      <c r="P309" s="642"/>
      <c r="Q309" s="642"/>
    </row>
    <row r="310" spans="2:17" ht="15" x14ac:dyDescent="0.2">
      <c r="B310" s="642"/>
      <c r="C310" s="642"/>
      <c r="D310" s="642"/>
      <c r="E310" s="642"/>
      <c r="F310" s="642"/>
      <c r="G310" s="642"/>
      <c r="H310" s="642"/>
      <c r="I310" s="642"/>
      <c r="J310" s="642"/>
      <c r="K310" s="642"/>
      <c r="L310" s="642"/>
      <c r="M310" s="642"/>
      <c r="N310" s="642"/>
      <c r="O310" s="642"/>
      <c r="P310" s="642"/>
      <c r="Q310" s="642"/>
    </row>
    <row r="311" spans="2:17" ht="15" x14ac:dyDescent="0.2">
      <c r="B311" s="642"/>
      <c r="C311" s="642"/>
      <c r="D311" s="642"/>
      <c r="E311" s="642"/>
      <c r="F311" s="642"/>
      <c r="G311" s="642"/>
      <c r="H311" s="642"/>
      <c r="I311" s="642"/>
      <c r="J311" s="642"/>
      <c r="K311" s="642"/>
      <c r="L311" s="642"/>
      <c r="M311" s="642"/>
      <c r="N311" s="642"/>
      <c r="O311" s="642"/>
      <c r="P311" s="642"/>
      <c r="Q311" s="642"/>
    </row>
    <row r="312" spans="2:17" ht="15" x14ac:dyDescent="0.2">
      <c r="B312" s="642"/>
      <c r="C312" s="642"/>
      <c r="D312" s="642"/>
      <c r="E312" s="642"/>
      <c r="F312" s="642"/>
      <c r="G312" s="642"/>
      <c r="H312" s="642"/>
      <c r="I312" s="642"/>
      <c r="J312" s="642"/>
      <c r="K312" s="642"/>
      <c r="L312" s="642"/>
      <c r="M312" s="642"/>
      <c r="N312" s="642"/>
      <c r="O312" s="642"/>
      <c r="P312" s="642"/>
      <c r="Q312" s="642"/>
    </row>
    <row r="313" spans="2:17" ht="15" x14ac:dyDescent="0.2">
      <c r="B313" s="642"/>
      <c r="C313" s="642"/>
      <c r="D313" s="642"/>
      <c r="E313" s="642"/>
      <c r="F313" s="642"/>
      <c r="G313" s="642"/>
      <c r="H313" s="642"/>
      <c r="I313" s="642"/>
      <c r="J313" s="642"/>
      <c r="K313" s="642"/>
      <c r="L313" s="642"/>
      <c r="M313" s="642"/>
      <c r="N313" s="642"/>
      <c r="O313" s="642"/>
      <c r="P313" s="642"/>
      <c r="Q313" s="642"/>
    </row>
    <row r="314" spans="2:17" ht="15" x14ac:dyDescent="0.2">
      <c r="B314" s="642"/>
      <c r="C314" s="642"/>
      <c r="D314" s="642"/>
      <c r="E314" s="642"/>
      <c r="F314" s="642"/>
      <c r="G314" s="642"/>
      <c r="H314" s="642"/>
      <c r="I314" s="642"/>
      <c r="J314" s="642"/>
      <c r="K314" s="642"/>
      <c r="L314" s="642"/>
      <c r="M314" s="642"/>
      <c r="N314" s="642"/>
      <c r="O314" s="642"/>
      <c r="P314" s="642"/>
      <c r="Q314" s="642"/>
    </row>
    <row r="315" spans="2:17" ht="15" x14ac:dyDescent="0.2">
      <c r="B315" s="642"/>
      <c r="C315" s="642"/>
      <c r="D315" s="642"/>
      <c r="E315" s="642"/>
      <c r="F315" s="642"/>
      <c r="G315" s="642"/>
      <c r="H315" s="642"/>
      <c r="I315" s="642"/>
      <c r="J315" s="642"/>
      <c r="K315" s="642"/>
      <c r="L315" s="642"/>
      <c r="M315" s="642"/>
      <c r="N315" s="642"/>
      <c r="O315" s="642"/>
      <c r="P315" s="642"/>
      <c r="Q315" s="642"/>
    </row>
    <row r="316" spans="2:17" ht="15" x14ac:dyDescent="0.2">
      <c r="B316" s="642"/>
      <c r="C316" s="642"/>
      <c r="D316" s="642"/>
      <c r="E316" s="642"/>
      <c r="F316" s="642"/>
      <c r="G316" s="642"/>
      <c r="H316" s="642"/>
      <c r="I316" s="642"/>
      <c r="J316" s="642"/>
      <c r="K316" s="642"/>
      <c r="L316" s="642"/>
      <c r="M316" s="642"/>
      <c r="N316" s="642"/>
      <c r="O316" s="642"/>
      <c r="P316" s="642"/>
      <c r="Q316" s="642"/>
    </row>
    <row r="317" spans="2:17" ht="15" x14ac:dyDescent="0.2">
      <c r="B317" s="642"/>
      <c r="C317" s="642"/>
      <c r="D317" s="642"/>
      <c r="E317" s="642"/>
      <c r="F317" s="642"/>
      <c r="G317" s="642"/>
      <c r="H317" s="642"/>
      <c r="I317" s="642"/>
      <c r="J317" s="642"/>
      <c r="K317" s="642"/>
      <c r="L317" s="642"/>
      <c r="M317" s="642"/>
      <c r="N317" s="642"/>
      <c r="O317" s="642"/>
      <c r="P317" s="642"/>
      <c r="Q317" s="642"/>
    </row>
    <row r="318" spans="2:17" ht="15" x14ac:dyDescent="0.2">
      <c r="B318" s="642"/>
      <c r="C318" s="642"/>
      <c r="D318" s="642"/>
      <c r="E318" s="642"/>
      <c r="F318" s="642"/>
      <c r="G318" s="642"/>
      <c r="H318" s="642"/>
      <c r="I318" s="642"/>
      <c r="J318" s="642"/>
      <c r="K318" s="642"/>
      <c r="L318" s="642"/>
      <c r="M318" s="642"/>
      <c r="N318" s="642"/>
      <c r="O318" s="642"/>
      <c r="P318" s="642"/>
      <c r="Q318" s="642"/>
    </row>
    <row r="319" spans="2:17" ht="15" x14ac:dyDescent="0.2">
      <c r="B319" s="642"/>
      <c r="C319" s="642"/>
      <c r="D319" s="642"/>
      <c r="E319" s="642"/>
      <c r="F319" s="642"/>
      <c r="G319" s="642"/>
      <c r="H319" s="642"/>
      <c r="I319" s="642"/>
      <c r="J319" s="642"/>
      <c r="K319" s="642"/>
      <c r="L319" s="642"/>
      <c r="M319" s="642"/>
      <c r="N319" s="642"/>
      <c r="O319" s="642"/>
      <c r="P319" s="642"/>
      <c r="Q319" s="642"/>
    </row>
    <row r="320" spans="2:17" ht="15" x14ac:dyDescent="0.2">
      <c r="B320" s="642"/>
      <c r="C320" s="642"/>
      <c r="D320" s="642"/>
      <c r="E320" s="642"/>
      <c r="F320" s="642"/>
      <c r="G320" s="642"/>
      <c r="H320" s="642"/>
      <c r="I320" s="642"/>
      <c r="J320" s="642"/>
      <c r="K320" s="642"/>
      <c r="L320" s="642"/>
      <c r="M320" s="642"/>
      <c r="N320" s="642"/>
      <c r="O320" s="642"/>
      <c r="P320" s="642"/>
      <c r="Q320" s="642"/>
    </row>
    <row r="321" spans="2:17" ht="15" x14ac:dyDescent="0.2">
      <c r="B321" s="642"/>
      <c r="C321" s="642"/>
      <c r="D321" s="642"/>
      <c r="E321" s="642"/>
      <c r="F321" s="642"/>
      <c r="G321" s="642"/>
      <c r="H321" s="642"/>
      <c r="I321" s="642"/>
      <c r="J321" s="642"/>
      <c r="K321" s="642"/>
      <c r="L321" s="642"/>
      <c r="M321" s="642"/>
      <c r="N321" s="642"/>
      <c r="O321" s="642"/>
      <c r="P321" s="642"/>
      <c r="Q321" s="642"/>
    </row>
    <row r="322" spans="2:17" ht="15" x14ac:dyDescent="0.2">
      <c r="B322" s="642"/>
      <c r="C322" s="642"/>
      <c r="D322" s="642"/>
      <c r="E322" s="642"/>
      <c r="F322" s="642"/>
      <c r="G322" s="642"/>
      <c r="H322" s="642"/>
      <c r="I322" s="642"/>
      <c r="J322" s="642"/>
      <c r="K322" s="642"/>
      <c r="L322" s="642"/>
      <c r="M322" s="642"/>
      <c r="N322" s="642"/>
      <c r="O322" s="642"/>
      <c r="P322" s="642"/>
      <c r="Q322" s="642"/>
    </row>
    <row r="323" spans="2:17" ht="15" x14ac:dyDescent="0.2">
      <c r="B323" s="642"/>
      <c r="C323" s="642"/>
      <c r="D323" s="642"/>
      <c r="E323" s="642"/>
      <c r="F323" s="642"/>
      <c r="G323" s="642"/>
      <c r="H323" s="642"/>
      <c r="I323" s="642"/>
      <c r="J323" s="642"/>
      <c r="K323" s="642"/>
      <c r="L323" s="642"/>
      <c r="M323" s="642"/>
      <c r="N323" s="642"/>
      <c r="O323" s="642"/>
      <c r="P323" s="642"/>
      <c r="Q323" s="642"/>
    </row>
    <row r="324" spans="2:17" ht="15" x14ac:dyDescent="0.2">
      <c r="B324" s="642"/>
      <c r="C324" s="642"/>
      <c r="D324" s="642"/>
      <c r="E324" s="642"/>
      <c r="F324" s="642"/>
      <c r="G324" s="642"/>
      <c r="H324" s="642"/>
      <c r="I324" s="642"/>
      <c r="J324" s="642"/>
      <c r="K324" s="642"/>
      <c r="L324" s="642"/>
      <c r="M324" s="642"/>
      <c r="N324" s="642"/>
      <c r="O324" s="642"/>
      <c r="P324" s="642"/>
      <c r="Q324" s="642"/>
    </row>
    <row r="325" spans="2:17" ht="15" x14ac:dyDescent="0.2">
      <c r="B325" s="642"/>
      <c r="C325" s="642"/>
      <c r="D325" s="642"/>
      <c r="E325" s="642"/>
      <c r="F325" s="642"/>
      <c r="G325" s="642"/>
      <c r="H325" s="642"/>
      <c r="I325" s="642"/>
      <c r="J325" s="642"/>
      <c r="K325" s="642"/>
      <c r="L325" s="642"/>
      <c r="M325" s="642"/>
      <c r="N325" s="642"/>
      <c r="O325" s="642"/>
      <c r="P325" s="642"/>
      <c r="Q325" s="642"/>
    </row>
    <row r="326" spans="2:17" ht="15" x14ac:dyDescent="0.2">
      <c r="B326" s="642"/>
      <c r="C326" s="642"/>
      <c r="D326" s="642"/>
      <c r="E326" s="642"/>
      <c r="F326" s="642"/>
      <c r="G326" s="642"/>
      <c r="H326" s="642"/>
      <c r="I326" s="642"/>
      <c r="J326" s="642"/>
      <c r="K326" s="642"/>
      <c r="L326" s="642"/>
      <c r="M326" s="642"/>
      <c r="N326" s="642"/>
      <c r="O326" s="642"/>
      <c r="P326" s="642"/>
      <c r="Q326" s="642"/>
    </row>
    <row r="327" spans="2:17" ht="15" x14ac:dyDescent="0.2">
      <c r="B327" s="642"/>
      <c r="C327" s="642"/>
      <c r="D327" s="642"/>
      <c r="E327" s="642"/>
      <c r="F327" s="642"/>
      <c r="G327" s="642"/>
      <c r="H327" s="642"/>
      <c r="I327" s="642"/>
      <c r="J327" s="642"/>
      <c r="K327" s="642"/>
      <c r="L327" s="642"/>
      <c r="M327" s="642"/>
      <c r="N327" s="642"/>
      <c r="O327" s="642"/>
      <c r="P327" s="642"/>
      <c r="Q327" s="642"/>
    </row>
    <row r="328" spans="2:17" ht="15" x14ac:dyDescent="0.2">
      <c r="B328" s="642"/>
      <c r="C328" s="642"/>
      <c r="D328" s="642"/>
      <c r="E328" s="642"/>
      <c r="F328" s="642"/>
      <c r="G328" s="642"/>
      <c r="H328" s="642"/>
      <c r="I328" s="642"/>
      <c r="J328" s="642"/>
      <c r="K328" s="642"/>
      <c r="L328" s="642"/>
      <c r="M328" s="642"/>
      <c r="N328" s="642"/>
      <c r="O328" s="642"/>
      <c r="P328" s="642"/>
      <c r="Q328" s="642"/>
    </row>
    <row r="329" spans="2:17" ht="15" x14ac:dyDescent="0.2">
      <c r="B329" s="642"/>
      <c r="C329" s="642"/>
      <c r="D329" s="642"/>
      <c r="E329" s="642"/>
      <c r="F329" s="642"/>
      <c r="G329" s="642"/>
      <c r="H329" s="642"/>
      <c r="I329" s="642"/>
      <c r="J329" s="642"/>
      <c r="K329" s="642"/>
      <c r="L329" s="642"/>
      <c r="M329" s="642"/>
      <c r="N329" s="642"/>
      <c r="O329" s="642"/>
      <c r="P329" s="642"/>
      <c r="Q329" s="642"/>
    </row>
    <row r="330" spans="2:17" ht="15" x14ac:dyDescent="0.2">
      <c r="B330" s="642"/>
      <c r="C330" s="642"/>
      <c r="D330" s="642"/>
      <c r="E330" s="642"/>
      <c r="F330" s="642"/>
      <c r="G330" s="642"/>
      <c r="H330" s="642"/>
      <c r="I330" s="642"/>
      <c r="J330" s="642"/>
      <c r="K330" s="642"/>
      <c r="L330" s="642"/>
      <c r="M330" s="642"/>
      <c r="N330" s="642"/>
      <c r="O330" s="642"/>
      <c r="P330" s="642"/>
      <c r="Q330" s="642"/>
    </row>
    <row r="331" spans="2:17" ht="15" x14ac:dyDescent="0.2">
      <c r="B331" s="642"/>
      <c r="C331" s="642"/>
      <c r="D331" s="642"/>
      <c r="E331" s="642"/>
      <c r="F331" s="642"/>
      <c r="G331" s="642"/>
      <c r="H331" s="642"/>
      <c r="I331" s="642"/>
      <c r="J331" s="642"/>
      <c r="K331" s="642"/>
      <c r="L331" s="642"/>
      <c r="M331" s="642"/>
      <c r="N331" s="642"/>
      <c r="O331" s="642"/>
      <c r="P331" s="642"/>
      <c r="Q331" s="642"/>
    </row>
    <row r="332" spans="2:17" ht="15" x14ac:dyDescent="0.2">
      <c r="B332" s="642"/>
      <c r="C332" s="642"/>
      <c r="D332" s="642"/>
      <c r="E332" s="642"/>
      <c r="F332" s="642"/>
      <c r="G332" s="642"/>
      <c r="H332" s="642"/>
      <c r="I332" s="642"/>
      <c r="J332" s="642"/>
      <c r="K332" s="642"/>
      <c r="L332" s="642"/>
      <c r="M332" s="642"/>
      <c r="N332" s="642"/>
      <c r="O332" s="642"/>
      <c r="P332" s="642"/>
      <c r="Q332" s="642"/>
    </row>
    <row r="333" spans="2:17" ht="15" x14ac:dyDescent="0.2">
      <c r="B333" s="642"/>
      <c r="C333" s="642"/>
      <c r="D333" s="642"/>
      <c r="E333" s="642"/>
      <c r="F333" s="642"/>
      <c r="G333" s="642"/>
      <c r="H333" s="642"/>
      <c r="I333" s="642"/>
      <c r="J333" s="642"/>
      <c r="K333" s="642"/>
      <c r="L333" s="642"/>
      <c r="M333" s="642"/>
      <c r="N333" s="642"/>
      <c r="O333" s="642"/>
      <c r="P333" s="642"/>
      <c r="Q333" s="642"/>
    </row>
    <row r="334" spans="2:17" ht="15" x14ac:dyDescent="0.2">
      <c r="B334" s="642"/>
      <c r="C334" s="642"/>
      <c r="D334" s="642"/>
      <c r="E334" s="642"/>
      <c r="F334" s="642"/>
      <c r="G334" s="642"/>
      <c r="H334" s="642"/>
      <c r="I334" s="642"/>
      <c r="J334" s="642"/>
      <c r="K334" s="642"/>
      <c r="L334" s="642"/>
      <c r="M334" s="642"/>
      <c r="N334" s="642"/>
      <c r="O334" s="642"/>
      <c r="P334" s="642"/>
      <c r="Q334" s="642"/>
    </row>
    <row r="335" spans="2:17" ht="15" x14ac:dyDescent="0.2">
      <c r="B335" s="642"/>
      <c r="C335" s="642"/>
      <c r="D335" s="642"/>
      <c r="E335" s="642"/>
      <c r="F335" s="642"/>
      <c r="G335" s="642"/>
      <c r="H335" s="642"/>
      <c r="I335" s="642"/>
      <c r="J335" s="642"/>
      <c r="K335" s="642"/>
      <c r="L335" s="642"/>
      <c r="M335" s="642"/>
      <c r="N335" s="642"/>
      <c r="O335" s="642"/>
      <c r="P335" s="642"/>
      <c r="Q335" s="642"/>
    </row>
    <row r="336" spans="2:17" ht="15" x14ac:dyDescent="0.2">
      <c r="B336" s="642"/>
      <c r="C336" s="642"/>
      <c r="D336" s="642"/>
      <c r="E336" s="642"/>
      <c r="F336" s="642"/>
      <c r="G336" s="642"/>
      <c r="H336" s="642"/>
      <c r="I336" s="642"/>
      <c r="J336" s="642"/>
      <c r="K336" s="642"/>
      <c r="L336" s="642"/>
      <c r="M336" s="642"/>
      <c r="N336" s="642"/>
      <c r="O336" s="642"/>
      <c r="P336" s="642"/>
      <c r="Q336" s="642"/>
    </row>
    <row r="337" spans="2:17" ht="15" x14ac:dyDescent="0.2">
      <c r="B337" s="642"/>
      <c r="C337" s="642"/>
      <c r="D337" s="642"/>
      <c r="E337" s="642"/>
      <c r="F337" s="642"/>
      <c r="G337" s="642"/>
      <c r="H337" s="642"/>
      <c r="I337" s="642"/>
      <c r="J337" s="642"/>
      <c r="K337" s="642"/>
      <c r="L337" s="642"/>
      <c r="M337" s="642"/>
      <c r="N337" s="642"/>
      <c r="O337" s="642"/>
      <c r="P337" s="642"/>
      <c r="Q337" s="642"/>
    </row>
    <row r="338" spans="2:17" ht="15" x14ac:dyDescent="0.2">
      <c r="B338" s="642"/>
      <c r="C338" s="642"/>
      <c r="D338" s="642"/>
      <c r="E338" s="642"/>
      <c r="F338" s="642"/>
      <c r="G338" s="642"/>
      <c r="H338" s="642"/>
      <c r="I338" s="642"/>
      <c r="J338" s="642"/>
      <c r="K338" s="642"/>
      <c r="L338" s="642"/>
      <c r="M338" s="642"/>
      <c r="N338" s="642"/>
      <c r="O338" s="642"/>
      <c r="P338" s="642"/>
      <c r="Q338" s="642"/>
    </row>
    <row r="339" spans="2:17" ht="15" x14ac:dyDescent="0.2">
      <c r="B339" s="642"/>
      <c r="C339" s="642"/>
      <c r="D339" s="642"/>
      <c r="E339" s="642"/>
      <c r="F339" s="642"/>
      <c r="G339" s="642"/>
      <c r="H339" s="642"/>
      <c r="I339" s="642"/>
      <c r="J339" s="642"/>
      <c r="K339" s="642"/>
      <c r="L339" s="642"/>
      <c r="M339" s="642"/>
      <c r="N339" s="642"/>
      <c r="O339" s="642"/>
      <c r="P339" s="642"/>
      <c r="Q339" s="642"/>
    </row>
    <row r="340" spans="2:17" ht="15" x14ac:dyDescent="0.2">
      <c r="B340" s="642"/>
      <c r="C340" s="642"/>
      <c r="D340" s="642"/>
      <c r="E340" s="642"/>
      <c r="F340" s="642"/>
      <c r="G340" s="642"/>
      <c r="H340" s="642"/>
      <c r="I340" s="642"/>
      <c r="J340" s="642"/>
      <c r="K340" s="642"/>
      <c r="L340" s="642"/>
      <c r="M340" s="642"/>
      <c r="N340" s="642"/>
      <c r="O340" s="642"/>
      <c r="P340" s="642"/>
      <c r="Q340" s="642"/>
    </row>
    <row r="341" spans="2:17" ht="15" x14ac:dyDescent="0.2">
      <c r="B341" s="642"/>
      <c r="C341" s="642"/>
      <c r="D341" s="642"/>
      <c r="E341" s="642"/>
      <c r="F341" s="642"/>
      <c r="G341" s="642"/>
      <c r="H341" s="642"/>
      <c r="I341" s="642"/>
      <c r="J341" s="642"/>
      <c r="K341" s="642"/>
      <c r="L341" s="642"/>
      <c r="M341" s="642"/>
      <c r="N341" s="642"/>
      <c r="O341" s="642"/>
      <c r="P341" s="642"/>
      <c r="Q341" s="642"/>
    </row>
    <row r="342" spans="2:17" ht="15" x14ac:dyDescent="0.2">
      <c r="B342" s="642"/>
      <c r="C342" s="642"/>
      <c r="D342" s="642"/>
      <c r="E342" s="642"/>
      <c r="F342" s="642"/>
      <c r="G342" s="642"/>
      <c r="H342" s="642"/>
      <c r="I342" s="642"/>
      <c r="J342" s="642"/>
      <c r="K342" s="642"/>
      <c r="L342" s="642"/>
      <c r="M342" s="642"/>
      <c r="N342" s="642"/>
      <c r="O342" s="642"/>
      <c r="P342" s="642"/>
      <c r="Q342" s="642"/>
    </row>
    <row r="343" spans="2:17" ht="15" x14ac:dyDescent="0.2">
      <c r="B343" s="642"/>
      <c r="C343" s="642"/>
      <c r="D343" s="642"/>
      <c r="E343" s="642"/>
      <c r="F343" s="642"/>
      <c r="G343" s="642"/>
      <c r="H343" s="642"/>
      <c r="I343" s="642"/>
      <c r="J343" s="642"/>
      <c r="K343" s="642"/>
      <c r="L343" s="642"/>
      <c r="M343" s="642"/>
      <c r="N343" s="642"/>
      <c r="O343" s="642"/>
      <c r="P343" s="642"/>
      <c r="Q343" s="642"/>
    </row>
    <row r="344" spans="2:17" ht="15" x14ac:dyDescent="0.2">
      <c r="B344" s="642"/>
      <c r="C344" s="642"/>
      <c r="D344" s="642"/>
      <c r="E344" s="642"/>
      <c r="F344" s="642"/>
      <c r="G344" s="642"/>
      <c r="H344" s="642"/>
      <c r="I344" s="642"/>
      <c r="J344" s="642"/>
      <c r="K344" s="642"/>
      <c r="L344" s="642"/>
      <c r="M344" s="642"/>
      <c r="N344" s="642"/>
      <c r="O344" s="642"/>
      <c r="P344" s="642"/>
      <c r="Q344" s="642"/>
    </row>
    <row r="345" spans="2:17" ht="15" x14ac:dyDescent="0.2">
      <c r="B345" s="642"/>
      <c r="C345" s="642"/>
      <c r="D345" s="642"/>
      <c r="E345" s="642"/>
      <c r="F345" s="642"/>
      <c r="G345" s="642"/>
      <c r="H345" s="642"/>
      <c r="I345" s="642"/>
      <c r="J345" s="642"/>
      <c r="K345" s="642"/>
      <c r="L345" s="642"/>
      <c r="M345" s="642"/>
      <c r="N345" s="642"/>
      <c r="O345" s="642"/>
      <c r="P345" s="642"/>
      <c r="Q345" s="642"/>
    </row>
    <row r="346" spans="2:17" ht="15" x14ac:dyDescent="0.2">
      <c r="B346" s="642"/>
      <c r="C346" s="642"/>
      <c r="D346" s="642"/>
      <c r="E346" s="642"/>
      <c r="F346" s="642"/>
      <c r="G346" s="642"/>
      <c r="H346" s="642"/>
      <c r="I346" s="642"/>
      <c r="J346" s="642"/>
      <c r="K346" s="642"/>
      <c r="L346" s="642"/>
      <c r="M346" s="642"/>
      <c r="N346" s="642"/>
      <c r="O346" s="642"/>
      <c r="P346" s="642"/>
      <c r="Q346" s="642"/>
    </row>
    <row r="347" spans="2:17" ht="15" x14ac:dyDescent="0.2">
      <c r="B347" s="642"/>
      <c r="C347" s="642"/>
      <c r="D347" s="642"/>
      <c r="E347" s="642"/>
      <c r="F347" s="642"/>
      <c r="G347" s="642"/>
      <c r="H347" s="642"/>
      <c r="I347" s="642"/>
      <c r="J347" s="642"/>
      <c r="K347" s="642"/>
      <c r="L347" s="642"/>
      <c r="M347" s="642"/>
      <c r="N347" s="642"/>
      <c r="O347" s="642"/>
      <c r="P347" s="642"/>
      <c r="Q347" s="642"/>
    </row>
    <row r="348" spans="2:17" ht="15" x14ac:dyDescent="0.2">
      <c r="B348" s="642"/>
      <c r="C348" s="642"/>
      <c r="D348" s="642"/>
      <c r="E348" s="642"/>
      <c r="F348" s="642"/>
      <c r="G348" s="642"/>
      <c r="H348" s="642"/>
      <c r="I348" s="642"/>
      <c r="J348" s="642"/>
      <c r="K348" s="642"/>
      <c r="L348" s="642"/>
      <c r="M348" s="642"/>
      <c r="N348" s="642"/>
      <c r="O348" s="642"/>
      <c r="P348" s="642"/>
      <c r="Q348" s="642"/>
    </row>
    <row r="349" spans="2:17" ht="15" x14ac:dyDescent="0.2">
      <c r="B349" s="642"/>
      <c r="C349" s="642"/>
      <c r="D349" s="642"/>
      <c r="E349" s="642"/>
      <c r="F349" s="642"/>
      <c r="G349" s="642"/>
      <c r="H349" s="642"/>
      <c r="I349" s="642"/>
      <c r="J349" s="642"/>
      <c r="K349" s="642"/>
      <c r="L349" s="642"/>
      <c r="M349" s="642"/>
      <c r="N349" s="642"/>
      <c r="O349" s="642"/>
      <c r="P349" s="642"/>
      <c r="Q349" s="642"/>
    </row>
    <row r="350" spans="2:17" ht="15" x14ac:dyDescent="0.2">
      <c r="B350" s="642"/>
      <c r="C350" s="642"/>
      <c r="D350" s="642"/>
      <c r="E350" s="642"/>
      <c r="F350" s="642"/>
      <c r="G350" s="642"/>
      <c r="H350" s="642"/>
      <c r="I350" s="642"/>
      <c r="J350" s="642"/>
      <c r="K350" s="642"/>
      <c r="L350" s="642"/>
      <c r="M350" s="642"/>
      <c r="N350" s="642"/>
      <c r="O350" s="642"/>
      <c r="P350" s="642"/>
      <c r="Q350" s="642"/>
    </row>
    <row r="351" spans="2:17" ht="15" x14ac:dyDescent="0.2">
      <c r="B351" s="642"/>
      <c r="C351" s="642"/>
      <c r="D351" s="642"/>
      <c r="E351" s="642"/>
      <c r="F351" s="642"/>
      <c r="G351" s="642"/>
      <c r="H351" s="642"/>
      <c r="I351" s="642"/>
      <c r="J351" s="642"/>
      <c r="K351" s="642"/>
      <c r="L351" s="642"/>
      <c r="M351" s="642"/>
      <c r="N351" s="642"/>
      <c r="O351" s="642"/>
      <c r="P351" s="642"/>
      <c r="Q351" s="642"/>
    </row>
    <row r="352" spans="2:17" ht="15" x14ac:dyDescent="0.2">
      <c r="B352" s="642"/>
      <c r="C352" s="642"/>
      <c r="D352" s="642"/>
      <c r="E352" s="642"/>
      <c r="F352" s="642"/>
      <c r="G352" s="642"/>
      <c r="H352" s="642"/>
      <c r="I352" s="642"/>
      <c r="J352" s="642"/>
      <c r="K352" s="642"/>
      <c r="L352" s="642"/>
      <c r="M352" s="642"/>
      <c r="N352" s="642"/>
      <c r="O352" s="642"/>
      <c r="P352" s="642"/>
      <c r="Q352" s="642"/>
    </row>
    <row r="353" spans="2:17" ht="15" x14ac:dyDescent="0.2">
      <c r="B353" s="642"/>
      <c r="C353" s="642"/>
      <c r="D353" s="642"/>
      <c r="E353" s="642"/>
      <c r="F353" s="642"/>
      <c r="G353" s="642"/>
      <c r="H353" s="642"/>
      <c r="I353" s="642"/>
      <c r="J353" s="642"/>
      <c r="K353" s="642"/>
      <c r="L353" s="642"/>
      <c r="M353" s="642"/>
      <c r="N353" s="642"/>
      <c r="O353" s="642"/>
      <c r="P353" s="642"/>
      <c r="Q353" s="642"/>
    </row>
    <row r="354" spans="2:17" ht="15" x14ac:dyDescent="0.2">
      <c r="B354" s="642"/>
      <c r="C354" s="642"/>
      <c r="D354" s="642"/>
      <c r="E354" s="642"/>
      <c r="F354" s="642"/>
      <c r="G354" s="642"/>
      <c r="H354" s="642"/>
      <c r="I354" s="642"/>
      <c r="J354" s="642"/>
      <c r="K354" s="642"/>
      <c r="L354" s="642"/>
      <c r="M354" s="642"/>
      <c r="N354" s="642"/>
      <c r="O354" s="642"/>
      <c r="P354" s="642"/>
      <c r="Q354" s="642"/>
    </row>
    <row r="355" spans="2:17" ht="15" x14ac:dyDescent="0.2">
      <c r="B355" s="642"/>
      <c r="C355" s="642"/>
      <c r="D355" s="642"/>
      <c r="E355" s="642"/>
      <c r="F355" s="642"/>
      <c r="G355" s="642"/>
      <c r="H355" s="642"/>
      <c r="I355" s="642"/>
      <c r="J355" s="642"/>
      <c r="K355" s="642"/>
      <c r="L355" s="642"/>
      <c r="M355" s="642"/>
      <c r="N355" s="642"/>
      <c r="O355" s="642"/>
      <c r="P355" s="642"/>
      <c r="Q355" s="642"/>
    </row>
    <row r="356" spans="2:17" ht="15" x14ac:dyDescent="0.2">
      <c r="B356" s="642"/>
      <c r="C356" s="642"/>
      <c r="D356" s="642"/>
      <c r="E356" s="642"/>
      <c r="F356" s="642"/>
      <c r="G356" s="642"/>
      <c r="H356" s="642"/>
      <c r="I356" s="642"/>
      <c r="J356" s="642"/>
      <c r="K356" s="642"/>
      <c r="L356" s="642"/>
      <c r="M356" s="642"/>
      <c r="N356" s="642"/>
      <c r="O356" s="642"/>
      <c r="P356" s="642"/>
      <c r="Q356" s="642"/>
    </row>
    <row r="357" spans="2:17" ht="15" x14ac:dyDescent="0.2">
      <c r="B357" s="642"/>
      <c r="C357" s="642"/>
      <c r="D357" s="642"/>
      <c r="E357" s="642"/>
      <c r="F357" s="642"/>
      <c r="G357" s="642"/>
      <c r="H357" s="642"/>
      <c r="I357" s="642"/>
      <c r="J357" s="642"/>
      <c r="K357" s="642"/>
      <c r="L357" s="642"/>
      <c r="M357" s="642"/>
      <c r="N357" s="642"/>
      <c r="O357" s="642"/>
      <c r="P357" s="642"/>
      <c r="Q357" s="642"/>
    </row>
    <row r="358" spans="2:17" ht="15" x14ac:dyDescent="0.2">
      <c r="B358" s="642"/>
      <c r="C358" s="642"/>
      <c r="D358" s="642"/>
      <c r="E358" s="642"/>
      <c r="F358" s="642"/>
      <c r="G358" s="642"/>
      <c r="H358" s="642"/>
      <c r="I358" s="642"/>
      <c r="J358" s="642"/>
      <c r="K358" s="642"/>
      <c r="L358" s="642"/>
      <c r="M358" s="642"/>
      <c r="N358" s="642"/>
      <c r="O358" s="642"/>
      <c r="P358" s="642"/>
      <c r="Q358" s="642"/>
    </row>
    <row r="359" spans="2:17" ht="15" x14ac:dyDescent="0.2">
      <c r="B359" s="642"/>
      <c r="C359" s="642"/>
      <c r="D359" s="642"/>
      <c r="E359" s="642"/>
      <c r="F359" s="642"/>
      <c r="G359" s="642"/>
      <c r="H359" s="642"/>
      <c r="I359" s="642"/>
      <c r="J359" s="642"/>
      <c r="K359" s="642"/>
      <c r="L359" s="642"/>
      <c r="M359" s="642"/>
      <c r="N359" s="642"/>
      <c r="O359" s="642"/>
      <c r="P359" s="642"/>
      <c r="Q359" s="642"/>
    </row>
    <row r="360" spans="2:17" ht="15" x14ac:dyDescent="0.2">
      <c r="B360" s="642"/>
      <c r="C360" s="642"/>
      <c r="D360" s="642"/>
      <c r="E360" s="642"/>
      <c r="F360" s="642"/>
      <c r="G360" s="642"/>
      <c r="H360" s="642"/>
      <c r="I360" s="642"/>
      <c r="J360" s="642"/>
      <c r="K360" s="642"/>
      <c r="L360" s="642"/>
      <c r="M360" s="642"/>
      <c r="N360" s="642"/>
      <c r="O360" s="642"/>
      <c r="P360" s="642"/>
      <c r="Q360" s="642"/>
    </row>
    <row r="361" spans="2:17" ht="15" x14ac:dyDescent="0.2">
      <c r="B361" s="642"/>
      <c r="C361" s="642"/>
      <c r="D361" s="642"/>
      <c r="E361" s="642"/>
      <c r="F361" s="642"/>
      <c r="G361" s="642"/>
      <c r="H361" s="642"/>
      <c r="I361" s="642"/>
      <c r="J361" s="642"/>
      <c r="K361" s="642"/>
      <c r="L361" s="642"/>
      <c r="M361" s="642"/>
      <c r="N361" s="642"/>
      <c r="O361" s="642"/>
      <c r="P361" s="642"/>
      <c r="Q361" s="642"/>
    </row>
    <row r="362" spans="2:17" ht="15" x14ac:dyDescent="0.2">
      <c r="B362" s="642"/>
      <c r="C362" s="642"/>
      <c r="D362" s="642"/>
      <c r="E362" s="642"/>
      <c r="F362" s="642"/>
      <c r="G362" s="642"/>
      <c r="H362" s="642"/>
      <c r="I362" s="642"/>
      <c r="J362" s="642"/>
      <c r="K362" s="642"/>
      <c r="L362" s="642"/>
      <c r="M362" s="642"/>
      <c r="N362" s="642"/>
      <c r="O362" s="642"/>
      <c r="P362" s="642"/>
      <c r="Q362" s="642"/>
    </row>
    <row r="363" spans="2:17" ht="15" x14ac:dyDescent="0.2">
      <c r="B363" s="642"/>
      <c r="C363" s="642"/>
      <c r="D363" s="642"/>
      <c r="E363" s="642"/>
      <c r="F363" s="642"/>
      <c r="G363" s="642"/>
      <c r="H363" s="642"/>
      <c r="I363" s="642"/>
      <c r="J363" s="642"/>
      <c r="K363" s="642"/>
      <c r="L363" s="642"/>
      <c r="M363" s="642"/>
      <c r="N363" s="642"/>
      <c r="O363" s="642"/>
      <c r="P363" s="642"/>
      <c r="Q363" s="642"/>
    </row>
    <row r="364" spans="2:17" ht="15" x14ac:dyDescent="0.2">
      <c r="B364" s="642"/>
      <c r="C364" s="642"/>
      <c r="D364" s="642"/>
      <c r="E364" s="642"/>
      <c r="F364" s="642"/>
      <c r="G364" s="642"/>
      <c r="H364" s="642"/>
      <c r="I364" s="642"/>
      <c r="J364" s="642"/>
      <c r="K364" s="642"/>
      <c r="L364" s="642"/>
      <c r="M364" s="642"/>
      <c r="N364" s="642"/>
      <c r="O364" s="642"/>
      <c r="P364" s="642"/>
      <c r="Q364" s="642"/>
    </row>
    <row r="365" spans="2:17" ht="15" x14ac:dyDescent="0.2">
      <c r="B365" s="642"/>
      <c r="C365" s="642"/>
      <c r="D365" s="642"/>
      <c r="E365" s="642"/>
      <c r="F365" s="642"/>
      <c r="G365" s="642"/>
      <c r="H365" s="642"/>
      <c r="I365" s="642"/>
      <c r="J365" s="642"/>
      <c r="K365" s="642"/>
      <c r="L365" s="642"/>
      <c r="M365" s="642"/>
      <c r="N365" s="642"/>
      <c r="O365" s="642"/>
      <c r="P365" s="642"/>
      <c r="Q365" s="642"/>
    </row>
    <row r="366" spans="2:17" ht="15" x14ac:dyDescent="0.2">
      <c r="B366" s="642"/>
      <c r="C366" s="642"/>
      <c r="D366" s="642"/>
      <c r="E366" s="642"/>
      <c r="F366" s="642"/>
      <c r="G366" s="642"/>
      <c r="H366" s="642"/>
      <c r="I366" s="642"/>
      <c r="J366" s="642"/>
      <c r="K366" s="642"/>
      <c r="L366" s="642"/>
      <c r="M366" s="642"/>
      <c r="N366" s="642"/>
      <c r="O366" s="642"/>
      <c r="P366" s="642"/>
      <c r="Q366" s="642"/>
    </row>
    <row r="367" spans="2:17" ht="15" x14ac:dyDescent="0.2">
      <c r="B367" s="642"/>
      <c r="C367" s="642"/>
      <c r="D367" s="642"/>
      <c r="E367" s="642"/>
      <c r="F367" s="642"/>
      <c r="G367" s="642"/>
      <c r="H367" s="642"/>
      <c r="I367" s="642"/>
      <c r="J367" s="642"/>
      <c r="K367" s="642"/>
      <c r="L367" s="642"/>
      <c r="M367" s="642"/>
      <c r="N367" s="642"/>
      <c r="O367" s="642"/>
      <c r="P367" s="642"/>
      <c r="Q367" s="642"/>
    </row>
    <row r="368" spans="2:17" ht="15" x14ac:dyDescent="0.2">
      <c r="B368" s="642"/>
      <c r="C368" s="642"/>
      <c r="D368" s="642"/>
      <c r="E368" s="642"/>
      <c r="F368" s="642"/>
      <c r="G368" s="642"/>
      <c r="H368" s="642"/>
      <c r="I368" s="642"/>
      <c r="J368" s="642"/>
      <c r="K368" s="642"/>
      <c r="L368" s="642"/>
      <c r="M368" s="642"/>
      <c r="N368" s="642"/>
      <c r="O368" s="642"/>
      <c r="P368" s="642"/>
      <c r="Q368" s="642"/>
    </row>
    <row r="369" spans="2:17" ht="15" x14ac:dyDescent="0.2">
      <c r="B369" s="642"/>
      <c r="C369" s="642"/>
      <c r="D369" s="642"/>
      <c r="E369" s="642"/>
      <c r="F369" s="642"/>
      <c r="G369" s="642"/>
      <c r="H369" s="642"/>
      <c r="I369" s="642"/>
      <c r="J369" s="642"/>
      <c r="K369" s="642"/>
      <c r="L369" s="642"/>
      <c r="M369" s="642"/>
      <c r="N369" s="642"/>
      <c r="O369" s="642"/>
      <c r="P369" s="642"/>
      <c r="Q369" s="642"/>
    </row>
    <row r="370" spans="2:17" ht="15" x14ac:dyDescent="0.2">
      <c r="B370" s="642"/>
      <c r="C370" s="642"/>
      <c r="D370" s="642"/>
      <c r="E370" s="642"/>
      <c r="F370" s="642"/>
      <c r="G370" s="642"/>
      <c r="H370" s="642"/>
      <c r="I370" s="642"/>
      <c r="J370" s="642"/>
      <c r="K370" s="642"/>
      <c r="L370" s="642"/>
      <c r="M370" s="642"/>
      <c r="N370" s="642"/>
      <c r="O370" s="642"/>
      <c r="P370" s="642"/>
      <c r="Q370" s="642"/>
    </row>
    <row r="371" spans="2:17" ht="15" x14ac:dyDescent="0.2">
      <c r="B371" s="642"/>
      <c r="C371" s="642"/>
      <c r="D371" s="642"/>
      <c r="E371" s="642"/>
      <c r="F371" s="642"/>
      <c r="G371" s="642"/>
      <c r="H371" s="642"/>
      <c r="I371" s="642"/>
      <c r="J371" s="642"/>
      <c r="K371" s="642"/>
      <c r="L371" s="642"/>
      <c r="M371" s="642"/>
      <c r="N371" s="642"/>
      <c r="O371" s="642"/>
      <c r="P371" s="642"/>
      <c r="Q371" s="642"/>
    </row>
    <row r="372" spans="2:17" ht="15" x14ac:dyDescent="0.2">
      <c r="B372" s="642"/>
      <c r="C372" s="642"/>
      <c r="D372" s="642"/>
      <c r="E372" s="642"/>
      <c r="F372" s="642"/>
      <c r="G372" s="642"/>
      <c r="H372" s="642"/>
      <c r="I372" s="642"/>
      <c r="J372" s="642"/>
      <c r="K372" s="642"/>
      <c r="L372" s="642"/>
      <c r="M372" s="642"/>
      <c r="N372" s="642"/>
      <c r="O372" s="642"/>
      <c r="P372" s="642"/>
      <c r="Q372" s="642"/>
    </row>
    <row r="373" spans="2:17" ht="15" x14ac:dyDescent="0.2">
      <c r="B373" s="642"/>
      <c r="C373" s="642"/>
      <c r="D373" s="642"/>
      <c r="E373" s="642"/>
      <c r="F373" s="642"/>
      <c r="G373" s="642"/>
      <c r="H373" s="642"/>
      <c r="I373" s="642"/>
      <c r="J373" s="642"/>
      <c r="K373" s="642"/>
      <c r="L373" s="642"/>
      <c r="M373" s="642"/>
      <c r="N373" s="642"/>
      <c r="O373" s="642"/>
      <c r="P373" s="642"/>
      <c r="Q373" s="642"/>
    </row>
    <row r="374" spans="2:17" ht="15" x14ac:dyDescent="0.2">
      <c r="B374" s="642"/>
      <c r="C374" s="642"/>
      <c r="D374" s="642"/>
      <c r="E374" s="642"/>
      <c r="F374" s="642"/>
      <c r="G374" s="642"/>
      <c r="H374" s="642"/>
      <c r="I374" s="642"/>
      <c r="J374" s="642"/>
      <c r="K374" s="642"/>
      <c r="L374" s="642"/>
      <c r="M374" s="642"/>
      <c r="N374" s="642"/>
      <c r="O374" s="642"/>
      <c r="P374" s="642"/>
      <c r="Q374" s="642"/>
    </row>
    <row r="375" spans="2:17" ht="15" x14ac:dyDescent="0.2">
      <c r="B375" s="642"/>
      <c r="C375" s="642"/>
      <c r="D375" s="642"/>
      <c r="E375" s="642"/>
      <c r="F375" s="642"/>
      <c r="G375" s="642"/>
      <c r="H375" s="642"/>
      <c r="I375" s="642"/>
      <c r="J375" s="642"/>
      <c r="K375" s="642"/>
      <c r="L375" s="642"/>
      <c r="M375" s="642"/>
      <c r="N375" s="642"/>
      <c r="O375" s="642"/>
      <c r="P375" s="642"/>
      <c r="Q375" s="642"/>
    </row>
    <row r="376" spans="2:17" ht="15" x14ac:dyDescent="0.2">
      <c r="B376" s="642"/>
      <c r="C376" s="642"/>
      <c r="D376" s="642"/>
      <c r="E376" s="642"/>
      <c r="F376" s="642"/>
      <c r="G376" s="642"/>
      <c r="H376" s="642"/>
      <c r="I376" s="642"/>
      <c r="J376" s="642"/>
      <c r="K376" s="642"/>
      <c r="L376" s="642"/>
      <c r="M376" s="642"/>
      <c r="N376" s="642"/>
      <c r="O376" s="642"/>
      <c r="P376" s="642"/>
      <c r="Q376" s="642"/>
    </row>
    <row r="377" spans="2:17" ht="15" x14ac:dyDescent="0.2">
      <c r="B377" s="642"/>
      <c r="C377" s="642"/>
      <c r="D377" s="642"/>
      <c r="E377" s="642"/>
      <c r="F377" s="642"/>
      <c r="G377" s="642"/>
      <c r="H377" s="642"/>
      <c r="I377" s="642"/>
      <c r="J377" s="642"/>
      <c r="K377" s="642"/>
      <c r="L377" s="642"/>
      <c r="M377" s="642"/>
      <c r="N377" s="642"/>
      <c r="O377" s="642"/>
      <c r="P377" s="642"/>
      <c r="Q377" s="642"/>
    </row>
    <row r="378" spans="2:17" ht="15" x14ac:dyDescent="0.2">
      <c r="B378" s="642"/>
      <c r="C378" s="642"/>
      <c r="D378" s="642"/>
      <c r="E378" s="642"/>
      <c r="F378" s="642"/>
      <c r="G378" s="642"/>
      <c r="H378" s="642"/>
      <c r="I378" s="642"/>
      <c r="J378" s="642"/>
      <c r="K378" s="642"/>
      <c r="L378" s="642"/>
      <c r="M378" s="642"/>
      <c r="N378" s="642"/>
      <c r="O378" s="642"/>
      <c r="P378" s="642"/>
      <c r="Q378" s="642"/>
    </row>
    <row r="379" spans="2:17" ht="15" x14ac:dyDescent="0.2">
      <c r="B379" s="642"/>
      <c r="C379" s="642"/>
      <c r="D379" s="642"/>
      <c r="E379" s="642"/>
      <c r="F379" s="642"/>
      <c r="G379" s="642"/>
      <c r="H379" s="642"/>
      <c r="I379" s="642"/>
      <c r="J379" s="642"/>
      <c r="K379" s="642"/>
      <c r="L379" s="642"/>
      <c r="M379" s="642"/>
      <c r="N379" s="642"/>
      <c r="O379" s="642"/>
      <c r="P379" s="642"/>
      <c r="Q379" s="642"/>
    </row>
    <row r="380" spans="2:17" ht="15" x14ac:dyDescent="0.2">
      <c r="B380" s="642"/>
      <c r="C380" s="642"/>
      <c r="D380" s="642"/>
      <c r="E380" s="642"/>
      <c r="F380" s="642"/>
      <c r="G380" s="642"/>
      <c r="H380" s="642"/>
      <c r="I380" s="642"/>
      <c r="J380" s="642"/>
      <c r="K380" s="642"/>
      <c r="L380" s="642"/>
      <c r="M380" s="642"/>
      <c r="N380" s="642"/>
      <c r="O380" s="642"/>
      <c r="P380" s="642"/>
      <c r="Q380" s="642"/>
    </row>
    <row r="381" spans="2:17" ht="15" x14ac:dyDescent="0.2">
      <c r="B381" s="642"/>
      <c r="C381" s="642"/>
      <c r="D381" s="642"/>
      <c r="E381" s="642"/>
      <c r="F381" s="642"/>
      <c r="G381" s="642"/>
      <c r="H381" s="642"/>
      <c r="I381" s="642"/>
      <c r="J381" s="642"/>
      <c r="K381" s="642"/>
      <c r="L381" s="642"/>
      <c r="M381" s="642"/>
      <c r="N381" s="642"/>
      <c r="O381" s="642"/>
      <c r="P381" s="642"/>
      <c r="Q381" s="642"/>
    </row>
    <row r="382" spans="2:17" ht="15" x14ac:dyDescent="0.2">
      <c r="B382" s="642"/>
      <c r="C382" s="642"/>
      <c r="D382" s="642"/>
      <c r="E382" s="642"/>
      <c r="F382" s="642"/>
      <c r="G382" s="642"/>
      <c r="H382" s="642"/>
      <c r="I382" s="642"/>
      <c r="J382" s="642"/>
      <c r="K382" s="642"/>
      <c r="L382" s="642"/>
      <c r="M382" s="642"/>
      <c r="N382" s="642"/>
      <c r="O382" s="642"/>
      <c r="P382" s="642"/>
      <c r="Q382" s="642"/>
    </row>
    <row r="383" spans="2:17" ht="15" x14ac:dyDescent="0.2">
      <c r="B383" s="642"/>
      <c r="C383" s="642"/>
      <c r="D383" s="642"/>
      <c r="E383" s="642"/>
      <c r="F383" s="642"/>
      <c r="G383" s="642"/>
      <c r="H383" s="642"/>
      <c r="I383" s="642"/>
      <c r="J383" s="642"/>
      <c r="K383" s="642"/>
      <c r="L383" s="642"/>
      <c r="M383" s="642"/>
      <c r="N383" s="642"/>
      <c r="O383" s="642"/>
      <c r="P383" s="642"/>
      <c r="Q383" s="642"/>
    </row>
    <row r="384" spans="2:17" ht="15" x14ac:dyDescent="0.2">
      <c r="B384" s="642"/>
      <c r="C384" s="642"/>
      <c r="D384" s="642"/>
      <c r="E384" s="642"/>
      <c r="F384" s="642"/>
      <c r="G384" s="642"/>
      <c r="H384" s="642"/>
      <c r="I384" s="642"/>
      <c r="J384" s="642"/>
      <c r="K384" s="642"/>
      <c r="L384" s="642"/>
      <c r="M384" s="642"/>
      <c r="N384" s="642"/>
      <c r="O384" s="642"/>
      <c r="P384" s="642"/>
      <c r="Q384" s="642"/>
    </row>
    <row r="385" spans="2:17" ht="15" x14ac:dyDescent="0.2">
      <c r="B385" s="642"/>
      <c r="C385" s="642"/>
      <c r="D385" s="642"/>
      <c r="E385" s="642"/>
      <c r="F385" s="642"/>
      <c r="G385" s="642"/>
      <c r="H385" s="642"/>
      <c r="I385" s="642"/>
      <c r="J385" s="642"/>
      <c r="K385" s="642"/>
      <c r="L385" s="642"/>
      <c r="M385" s="642"/>
      <c r="N385" s="642"/>
      <c r="O385" s="642"/>
      <c r="P385" s="642"/>
      <c r="Q385" s="642"/>
    </row>
    <row r="386" spans="2:17" ht="15" x14ac:dyDescent="0.2">
      <c r="B386" s="642"/>
      <c r="C386" s="642"/>
      <c r="D386" s="642"/>
      <c r="E386" s="642"/>
      <c r="F386" s="642"/>
      <c r="G386" s="642"/>
      <c r="H386" s="642"/>
      <c r="I386" s="642"/>
      <c r="J386" s="642"/>
      <c r="K386" s="642"/>
      <c r="L386" s="642"/>
      <c r="M386" s="642"/>
      <c r="N386" s="642"/>
      <c r="O386" s="642"/>
      <c r="P386" s="642"/>
      <c r="Q386" s="642"/>
    </row>
    <row r="387" spans="2:17" ht="15" x14ac:dyDescent="0.2">
      <c r="B387" s="642"/>
      <c r="C387" s="642"/>
      <c r="D387" s="642"/>
      <c r="E387" s="642"/>
      <c r="F387" s="642"/>
      <c r="G387" s="642"/>
      <c r="H387" s="642"/>
      <c r="I387" s="642"/>
      <c r="J387" s="642"/>
      <c r="K387" s="642"/>
      <c r="L387" s="642"/>
      <c r="M387" s="642"/>
      <c r="N387" s="642"/>
      <c r="O387" s="642"/>
      <c r="P387" s="642"/>
      <c r="Q387" s="642"/>
    </row>
    <row r="388" spans="2:17" ht="15" x14ac:dyDescent="0.2">
      <c r="B388" s="642"/>
      <c r="C388" s="642"/>
      <c r="D388" s="642"/>
      <c r="E388" s="642"/>
      <c r="F388" s="642"/>
      <c r="G388" s="642"/>
      <c r="H388" s="642"/>
      <c r="I388" s="642"/>
      <c r="J388" s="642"/>
      <c r="K388" s="642"/>
      <c r="L388" s="642"/>
      <c r="M388" s="642"/>
      <c r="N388" s="642"/>
      <c r="O388" s="642"/>
      <c r="P388" s="642"/>
      <c r="Q388" s="642"/>
    </row>
    <row r="389" spans="2:17" ht="15" x14ac:dyDescent="0.2">
      <c r="B389" s="642"/>
      <c r="C389" s="642"/>
      <c r="D389" s="642"/>
      <c r="E389" s="642"/>
      <c r="F389" s="642"/>
      <c r="G389" s="642"/>
      <c r="H389" s="642"/>
      <c r="I389" s="642"/>
      <c r="J389" s="642"/>
      <c r="K389" s="642"/>
      <c r="L389" s="642"/>
      <c r="M389" s="642"/>
      <c r="N389" s="642"/>
      <c r="O389" s="642"/>
      <c r="P389" s="642"/>
      <c r="Q389" s="642"/>
    </row>
    <row r="390" spans="2:17" ht="15" x14ac:dyDescent="0.2">
      <c r="B390" s="642"/>
      <c r="C390" s="642"/>
      <c r="D390" s="642"/>
      <c r="E390" s="642"/>
      <c r="F390" s="642"/>
      <c r="G390" s="642"/>
      <c r="H390" s="642"/>
      <c r="I390" s="642"/>
      <c r="J390" s="642"/>
      <c r="K390" s="642"/>
      <c r="L390" s="642"/>
      <c r="M390" s="642"/>
      <c r="N390" s="642"/>
      <c r="O390" s="642"/>
      <c r="P390" s="642"/>
      <c r="Q390" s="642"/>
    </row>
    <row r="391" spans="2:17" ht="15" x14ac:dyDescent="0.2">
      <c r="B391" s="642"/>
      <c r="C391" s="642"/>
      <c r="D391" s="642"/>
      <c r="E391" s="642"/>
      <c r="F391" s="642"/>
      <c r="G391" s="642"/>
      <c r="H391" s="642"/>
      <c r="I391" s="642"/>
      <c r="J391" s="642"/>
      <c r="K391" s="642"/>
      <c r="L391" s="642"/>
      <c r="M391" s="642"/>
      <c r="N391" s="642"/>
      <c r="O391" s="642"/>
      <c r="P391" s="642"/>
      <c r="Q391" s="642"/>
    </row>
    <row r="392" spans="2:17" ht="15" x14ac:dyDescent="0.2">
      <c r="B392" s="642"/>
      <c r="C392" s="642"/>
      <c r="D392" s="642"/>
      <c r="E392" s="642"/>
      <c r="F392" s="642"/>
      <c r="G392" s="642"/>
      <c r="H392" s="642"/>
      <c r="I392" s="642"/>
      <c r="J392" s="642"/>
      <c r="K392" s="642"/>
      <c r="L392" s="642"/>
      <c r="M392" s="642"/>
      <c r="N392" s="642"/>
      <c r="O392" s="642"/>
      <c r="P392" s="642"/>
      <c r="Q392" s="642"/>
    </row>
    <row r="393" spans="2:17" ht="15" x14ac:dyDescent="0.2">
      <c r="B393" s="642"/>
      <c r="C393" s="642"/>
      <c r="D393" s="642"/>
      <c r="E393" s="642"/>
      <c r="F393" s="642"/>
      <c r="G393" s="642"/>
      <c r="H393" s="642"/>
      <c r="I393" s="642"/>
      <c r="J393" s="642"/>
      <c r="K393" s="642"/>
      <c r="L393" s="642"/>
      <c r="M393" s="642"/>
      <c r="N393" s="642"/>
      <c r="O393" s="642"/>
      <c r="P393" s="642"/>
      <c r="Q393" s="642"/>
    </row>
    <row r="394" spans="2:17" ht="15" x14ac:dyDescent="0.2">
      <c r="B394" s="642"/>
      <c r="C394" s="642"/>
      <c r="D394" s="642"/>
      <c r="E394" s="642"/>
      <c r="F394" s="642"/>
      <c r="G394" s="642"/>
      <c r="H394" s="642"/>
      <c r="I394" s="642"/>
      <c r="J394" s="642"/>
      <c r="K394" s="642"/>
      <c r="L394" s="642"/>
      <c r="M394" s="642"/>
      <c r="N394" s="642"/>
      <c r="O394" s="642"/>
      <c r="P394" s="642"/>
      <c r="Q394" s="642"/>
    </row>
    <row r="395" spans="2:17" ht="15" x14ac:dyDescent="0.2">
      <c r="B395" s="642"/>
      <c r="C395" s="642"/>
      <c r="D395" s="642"/>
      <c r="E395" s="642"/>
      <c r="F395" s="642"/>
      <c r="G395" s="642"/>
      <c r="H395" s="642"/>
      <c r="I395" s="642"/>
      <c r="J395" s="642"/>
      <c r="K395" s="642"/>
      <c r="L395" s="642"/>
      <c r="M395" s="642"/>
      <c r="N395" s="642"/>
      <c r="O395" s="642"/>
      <c r="P395" s="642"/>
      <c r="Q395" s="642"/>
    </row>
    <row r="396" spans="2:17" ht="15" x14ac:dyDescent="0.2">
      <c r="B396" s="642"/>
      <c r="C396" s="642"/>
      <c r="D396" s="642"/>
      <c r="E396" s="642"/>
      <c r="F396" s="642"/>
      <c r="G396" s="642"/>
      <c r="H396" s="642"/>
      <c r="I396" s="642"/>
      <c r="J396" s="642"/>
      <c r="K396" s="642"/>
      <c r="L396" s="642"/>
      <c r="M396" s="642"/>
      <c r="N396" s="642"/>
      <c r="O396" s="642"/>
      <c r="P396" s="642"/>
      <c r="Q396" s="642"/>
    </row>
    <row r="397" spans="2:17" ht="15" x14ac:dyDescent="0.2">
      <c r="B397" s="642"/>
      <c r="C397" s="642"/>
      <c r="D397" s="642"/>
      <c r="E397" s="642"/>
      <c r="F397" s="642"/>
      <c r="G397" s="642"/>
      <c r="H397" s="642"/>
      <c r="I397" s="642"/>
      <c r="J397" s="642"/>
      <c r="K397" s="642"/>
      <c r="L397" s="642"/>
      <c r="M397" s="642"/>
      <c r="N397" s="642"/>
      <c r="O397" s="642"/>
      <c r="P397" s="642"/>
      <c r="Q397" s="642"/>
    </row>
    <row r="398" spans="2:17" ht="15" x14ac:dyDescent="0.2">
      <c r="B398" s="642"/>
      <c r="C398" s="642"/>
      <c r="D398" s="642"/>
      <c r="E398" s="642"/>
      <c r="F398" s="642"/>
      <c r="G398" s="642"/>
      <c r="H398" s="642"/>
      <c r="I398" s="642"/>
      <c r="J398" s="642"/>
      <c r="K398" s="642"/>
      <c r="L398" s="642"/>
      <c r="M398" s="642"/>
      <c r="N398" s="642"/>
      <c r="O398" s="642"/>
      <c r="P398" s="642"/>
      <c r="Q398" s="642"/>
    </row>
    <row r="399" spans="2:17" ht="15" x14ac:dyDescent="0.2">
      <c r="B399" s="642"/>
      <c r="C399" s="642"/>
      <c r="D399" s="642"/>
      <c r="E399" s="642"/>
      <c r="F399" s="642"/>
      <c r="G399" s="642"/>
      <c r="H399" s="642"/>
      <c r="I399" s="642"/>
      <c r="J399" s="642"/>
      <c r="K399" s="642"/>
      <c r="L399" s="642"/>
      <c r="M399" s="642"/>
      <c r="N399" s="642"/>
      <c r="O399" s="642"/>
      <c r="P399" s="642"/>
      <c r="Q399" s="642"/>
    </row>
    <row r="400" spans="2:17" ht="15" x14ac:dyDescent="0.2">
      <c r="B400" s="642"/>
      <c r="C400" s="642"/>
      <c r="D400" s="642"/>
      <c r="E400" s="642"/>
      <c r="F400" s="642"/>
      <c r="G400" s="642"/>
      <c r="H400" s="642"/>
      <c r="I400" s="642"/>
      <c r="J400" s="642"/>
      <c r="K400" s="642"/>
      <c r="L400" s="642"/>
      <c r="M400" s="642"/>
      <c r="N400" s="642"/>
      <c r="O400" s="642"/>
      <c r="P400" s="642"/>
      <c r="Q400" s="642"/>
    </row>
    <row r="401" spans="2:17" ht="15" x14ac:dyDescent="0.2">
      <c r="B401" s="642"/>
      <c r="C401" s="642"/>
      <c r="D401" s="642"/>
      <c r="E401" s="642"/>
      <c r="F401" s="642"/>
      <c r="G401" s="642"/>
      <c r="H401" s="642"/>
      <c r="I401" s="642"/>
      <c r="J401" s="642"/>
      <c r="K401" s="642"/>
      <c r="L401" s="642"/>
      <c r="M401" s="642"/>
      <c r="N401" s="642"/>
      <c r="O401" s="642"/>
      <c r="P401" s="642"/>
      <c r="Q401" s="642"/>
    </row>
    <row r="402" spans="2:17" ht="15" x14ac:dyDescent="0.2">
      <c r="B402" s="642"/>
      <c r="C402" s="642"/>
      <c r="D402" s="642"/>
      <c r="E402" s="642"/>
      <c r="F402" s="642"/>
      <c r="G402" s="642"/>
      <c r="H402" s="642"/>
      <c r="I402" s="642"/>
      <c r="J402" s="642"/>
      <c r="K402" s="642"/>
      <c r="L402" s="642"/>
      <c r="M402" s="642"/>
      <c r="N402" s="642"/>
      <c r="O402" s="642"/>
      <c r="P402" s="642"/>
      <c r="Q402" s="642"/>
    </row>
    <row r="403" spans="2:17" ht="15" x14ac:dyDescent="0.2">
      <c r="B403" s="642"/>
      <c r="C403" s="642"/>
      <c r="D403" s="642"/>
      <c r="E403" s="642"/>
      <c r="F403" s="642"/>
      <c r="G403" s="642"/>
      <c r="H403" s="642"/>
      <c r="I403" s="642"/>
      <c r="J403" s="642"/>
      <c r="K403" s="642"/>
      <c r="L403" s="642"/>
      <c r="M403" s="642"/>
      <c r="N403" s="642"/>
      <c r="O403" s="642"/>
      <c r="P403" s="642"/>
      <c r="Q403" s="642"/>
    </row>
    <row r="404" spans="2:17" ht="15" x14ac:dyDescent="0.2">
      <c r="B404" s="642"/>
      <c r="C404" s="642"/>
      <c r="D404" s="642"/>
      <c r="E404" s="642"/>
      <c r="F404" s="642"/>
      <c r="G404" s="642"/>
      <c r="H404" s="642"/>
      <c r="I404" s="642"/>
      <c r="J404" s="642"/>
      <c r="K404" s="642"/>
      <c r="L404" s="642"/>
      <c r="M404" s="642"/>
      <c r="N404" s="642"/>
      <c r="O404" s="642"/>
      <c r="P404" s="642"/>
      <c r="Q404" s="642"/>
    </row>
    <row r="405" spans="2:17" ht="15" x14ac:dyDescent="0.2">
      <c r="B405" s="642"/>
      <c r="C405" s="642"/>
      <c r="D405" s="642"/>
      <c r="E405" s="642"/>
      <c r="F405" s="642"/>
      <c r="G405" s="642"/>
      <c r="H405" s="642"/>
      <c r="I405" s="642"/>
      <c r="J405" s="642"/>
      <c r="K405" s="642"/>
      <c r="L405" s="642"/>
      <c r="M405" s="642"/>
      <c r="N405" s="642"/>
      <c r="O405" s="642"/>
      <c r="P405" s="642"/>
      <c r="Q405" s="642"/>
    </row>
    <row r="406" spans="2:17" ht="15" x14ac:dyDescent="0.2">
      <c r="B406" s="642"/>
      <c r="C406" s="642"/>
      <c r="D406" s="642"/>
      <c r="E406" s="642"/>
      <c r="F406" s="642"/>
      <c r="G406" s="642"/>
      <c r="H406" s="642"/>
      <c r="I406" s="642"/>
      <c r="J406" s="642"/>
      <c r="K406" s="642"/>
      <c r="L406" s="642"/>
      <c r="M406" s="642"/>
      <c r="N406" s="642"/>
      <c r="O406" s="642"/>
      <c r="P406" s="642"/>
      <c r="Q406" s="642"/>
    </row>
    <row r="407" spans="2:17" ht="15" x14ac:dyDescent="0.2">
      <c r="B407" s="642"/>
      <c r="C407" s="642"/>
      <c r="D407" s="642"/>
      <c r="E407" s="642"/>
      <c r="F407" s="642"/>
      <c r="G407" s="642"/>
      <c r="H407" s="642"/>
      <c r="I407" s="642"/>
      <c r="J407" s="642"/>
      <c r="K407" s="642"/>
      <c r="L407" s="642"/>
      <c r="M407" s="642"/>
      <c r="N407" s="642"/>
      <c r="O407" s="642"/>
      <c r="P407" s="642"/>
      <c r="Q407" s="642"/>
    </row>
    <row r="408" spans="2:17" ht="15" x14ac:dyDescent="0.2">
      <c r="B408" s="642"/>
      <c r="C408" s="642"/>
      <c r="D408" s="642"/>
      <c r="E408" s="642"/>
      <c r="F408" s="642"/>
      <c r="G408" s="642"/>
      <c r="H408" s="642"/>
      <c r="I408" s="642"/>
      <c r="J408" s="642"/>
      <c r="K408" s="642"/>
      <c r="L408" s="642"/>
      <c r="M408" s="642"/>
      <c r="N408" s="642"/>
      <c r="O408" s="642"/>
      <c r="P408" s="642"/>
      <c r="Q408" s="642"/>
    </row>
    <row r="409" spans="2:17" ht="15" x14ac:dyDescent="0.2">
      <c r="B409" s="642"/>
      <c r="C409" s="642"/>
      <c r="D409" s="642"/>
      <c r="E409" s="642"/>
      <c r="F409" s="642"/>
      <c r="G409" s="642"/>
      <c r="H409" s="642"/>
      <c r="I409" s="642"/>
      <c r="J409" s="642"/>
      <c r="K409" s="642"/>
      <c r="L409" s="642"/>
      <c r="M409" s="642"/>
      <c r="N409" s="642"/>
      <c r="O409" s="642"/>
      <c r="P409" s="642"/>
      <c r="Q409" s="642"/>
    </row>
    <row r="410" spans="2:17" ht="15" x14ac:dyDescent="0.2">
      <c r="B410" s="642"/>
      <c r="C410" s="642"/>
      <c r="D410" s="642"/>
      <c r="E410" s="642"/>
      <c r="F410" s="642"/>
      <c r="G410" s="642"/>
      <c r="H410" s="642"/>
      <c r="I410" s="642"/>
      <c r="J410" s="642"/>
      <c r="K410" s="642"/>
      <c r="L410" s="642"/>
      <c r="M410" s="642"/>
      <c r="N410" s="642"/>
      <c r="O410" s="642"/>
      <c r="P410" s="642"/>
      <c r="Q410" s="642"/>
    </row>
    <row r="411" spans="2:17" ht="15" x14ac:dyDescent="0.2">
      <c r="B411" s="642"/>
      <c r="C411" s="642"/>
      <c r="D411" s="642"/>
      <c r="E411" s="642"/>
      <c r="F411" s="642"/>
      <c r="G411" s="642"/>
      <c r="H411" s="642"/>
      <c r="I411" s="642"/>
      <c r="J411" s="642"/>
      <c r="K411" s="642"/>
      <c r="L411" s="642"/>
      <c r="M411" s="642"/>
      <c r="N411" s="642"/>
      <c r="O411" s="642"/>
      <c r="P411" s="642"/>
      <c r="Q411" s="642"/>
    </row>
    <row r="412" spans="2:17" ht="15" x14ac:dyDescent="0.2">
      <c r="B412" s="642"/>
      <c r="C412" s="642"/>
      <c r="D412" s="642"/>
      <c r="E412" s="642"/>
      <c r="F412" s="642"/>
      <c r="G412" s="642"/>
      <c r="H412" s="642"/>
      <c r="I412" s="642"/>
      <c r="J412" s="642"/>
      <c r="K412" s="642"/>
      <c r="L412" s="642"/>
      <c r="M412" s="642"/>
      <c r="N412" s="642"/>
      <c r="O412" s="642"/>
      <c r="P412" s="642"/>
      <c r="Q412" s="642"/>
    </row>
    <row r="413" spans="2:17" ht="15" x14ac:dyDescent="0.2">
      <c r="B413" s="642"/>
      <c r="C413" s="642"/>
      <c r="D413" s="642"/>
      <c r="E413" s="642"/>
      <c r="F413" s="642"/>
      <c r="G413" s="642"/>
      <c r="H413" s="642"/>
      <c r="I413" s="642"/>
      <c r="J413" s="642"/>
      <c r="K413" s="642"/>
      <c r="L413" s="642"/>
      <c r="M413" s="642"/>
      <c r="N413" s="642"/>
      <c r="O413" s="642"/>
      <c r="P413" s="642"/>
      <c r="Q413" s="642"/>
    </row>
    <row r="414" spans="2:17" ht="15" x14ac:dyDescent="0.2">
      <c r="B414" s="642"/>
      <c r="C414" s="642"/>
      <c r="D414" s="642"/>
      <c r="E414" s="642"/>
      <c r="F414" s="642"/>
      <c r="G414" s="642"/>
      <c r="H414" s="642"/>
      <c r="I414" s="642"/>
      <c r="J414" s="642"/>
      <c r="K414" s="642"/>
      <c r="L414" s="642"/>
      <c r="M414" s="642"/>
      <c r="N414" s="642"/>
      <c r="O414" s="642"/>
      <c r="P414" s="642"/>
      <c r="Q414" s="642"/>
    </row>
    <row r="415" spans="2:17" ht="15" x14ac:dyDescent="0.2">
      <c r="B415" s="642"/>
      <c r="C415" s="642"/>
      <c r="D415" s="642"/>
      <c r="E415" s="642"/>
      <c r="F415" s="642"/>
      <c r="G415" s="642"/>
      <c r="H415" s="642"/>
      <c r="I415" s="642"/>
      <c r="J415" s="642"/>
      <c r="K415" s="642"/>
      <c r="L415" s="642"/>
      <c r="M415" s="642"/>
      <c r="N415" s="642"/>
      <c r="O415" s="642"/>
      <c r="P415" s="642"/>
      <c r="Q415" s="642"/>
    </row>
    <row r="416" spans="2:17" ht="15" x14ac:dyDescent="0.2">
      <c r="B416" s="642"/>
      <c r="C416" s="642"/>
      <c r="D416" s="642"/>
      <c r="E416" s="642"/>
      <c r="F416" s="642"/>
      <c r="G416" s="642"/>
      <c r="H416" s="642"/>
      <c r="I416" s="642"/>
      <c r="J416" s="642"/>
      <c r="K416" s="642"/>
      <c r="L416" s="642"/>
      <c r="M416" s="642"/>
      <c r="N416" s="642"/>
      <c r="O416" s="642"/>
      <c r="P416" s="642"/>
      <c r="Q416" s="642"/>
    </row>
    <row r="417" spans="2:17" ht="15" x14ac:dyDescent="0.2">
      <c r="B417" s="642"/>
      <c r="C417" s="642"/>
      <c r="D417" s="642"/>
      <c r="E417" s="642"/>
      <c r="F417" s="642"/>
      <c r="G417" s="642"/>
      <c r="H417" s="642"/>
      <c r="I417" s="642"/>
      <c r="J417" s="642"/>
      <c r="K417" s="642"/>
      <c r="L417" s="642"/>
      <c r="M417" s="642"/>
      <c r="N417" s="642"/>
      <c r="O417" s="642"/>
      <c r="P417" s="642"/>
      <c r="Q417" s="642"/>
    </row>
    <row r="418" spans="2:17" ht="15" x14ac:dyDescent="0.2">
      <c r="B418" s="642"/>
      <c r="C418" s="642"/>
      <c r="D418" s="642"/>
      <c r="E418" s="642"/>
      <c r="F418" s="642"/>
      <c r="G418" s="642"/>
      <c r="H418" s="642"/>
      <c r="I418" s="642"/>
      <c r="J418" s="642"/>
      <c r="K418" s="642"/>
      <c r="L418" s="642"/>
      <c r="M418" s="642"/>
      <c r="N418" s="642"/>
      <c r="O418" s="642"/>
      <c r="P418" s="642"/>
      <c r="Q418" s="642"/>
    </row>
    <row r="419" spans="2:17" ht="15" x14ac:dyDescent="0.2">
      <c r="B419" s="642"/>
      <c r="C419" s="642"/>
      <c r="D419" s="642"/>
      <c r="E419" s="642"/>
      <c r="F419" s="642"/>
      <c r="G419" s="642"/>
      <c r="H419" s="642"/>
      <c r="I419" s="642"/>
      <c r="J419" s="642"/>
      <c r="K419" s="642"/>
      <c r="L419" s="642"/>
      <c r="M419" s="642"/>
      <c r="N419" s="642"/>
      <c r="O419" s="642"/>
      <c r="P419" s="642"/>
      <c r="Q419" s="642"/>
    </row>
    <row r="420" spans="2:17" ht="15" x14ac:dyDescent="0.2">
      <c r="B420" s="642"/>
      <c r="C420" s="642"/>
      <c r="D420" s="642"/>
      <c r="E420" s="642"/>
      <c r="F420" s="642"/>
      <c r="G420" s="642"/>
      <c r="H420" s="642"/>
      <c r="I420" s="642"/>
      <c r="J420" s="642"/>
      <c r="K420" s="642"/>
      <c r="L420" s="642"/>
      <c r="M420" s="642"/>
      <c r="N420" s="642"/>
      <c r="O420" s="642"/>
      <c r="P420" s="642"/>
      <c r="Q420" s="642"/>
    </row>
    <row r="421" spans="2:17" ht="15" x14ac:dyDescent="0.2">
      <c r="B421" s="642"/>
      <c r="C421" s="642"/>
      <c r="D421" s="642"/>
      <c r="E421" s="642"/>
      <c r="F421" s="642"/>
      <c r="G421" s="642"/>
      <c r="H421" s="642"/>
      <c r="I421" s="642"/>
      <c r="J421" s="642"/>
      <c r="K421" s="642"/>
      <c r="L421" s="642"/>
      <c r="M421" s="642"/>
      <c r="N421" s="642"/>
      <c r="O421" s="642"/>
      <c r="P421" s="642"/>
      <c r="Q421" s="642"/>
    </row>
    <row r="422" spans="2:17" ht="15" x14ac:dyDescent="0.2">
      <c r="B422" s="642"/>
      <c r="C422" s="642"/>
      <c r="D422" s="642"/>
      <c r="E422" s="642"/>
      <c r="F422" s="642"/>
      <c r="G422" s="642"/>
      <c r="H422" s="642"/>
      <c r="I422" s="642"/>
      <c r="J422" s="642"/>
      <c r="K422" s="642"/>
      <c r="L422" s="642"/>
      <c r="M422" s="642"/>
      <c r="N422" s="642"/>
      <c r="O422" s="642"/>
      <c r="P422" s="642"/>
      <c r="Q422" s="642"/>
    </row>
    <row r="423" spans="2:17" ht="15" x14ac:dyDescent="0.2">
      <c r="B423" s="642"/>
      <c r="C423" s="642"/>
      <c r="D423" s="642"/>
      <c r="E423" s="642"/>
      <c r="F423" s="642"/>
      <c r="G423" s="642"/>
      <c r="H423" s="642"/>
      <c r="I423" s="642"/>
      <c r="J423" s="642"/>
      <c r="K423" s="642"/>
      <c r="L423" s="642"/>
      <c r="M423" s="642"/>
      <c r="N423" s="642"/>
      <c r="O423" s="642"/>
      <c r="P423" s="642"/>
      <c r="Q423" s="642"/>
    </row>
    <row r="424" spans="2:17" ht="15" x14ac:dyDescent="0.2">
      <c r="B424" s="642"/>
      <c r="C424" s="642"/>
      <c r="D424" s="642"/>
      <c r="E424" s="642"/>
      <c r="F424" s="642"/>
      <c r="G424" s="642"/>
      <c r="H424" s="642"/>
      <c r="I424" s="642"/>
      <c r="J424" s="642"/>
      <c r="K424" s="642"/>
      <c r="L424" s="642"/>
      <c r="M424" s="642"/>
      <c r="N424" s="642"/>
      <c r="O424" s="642"/>
      <c r="P424" s="642"/>
      <c r="Q424" s="642"/>
    </row>
    <row r="425" spans="2:17" ht="15" x14ac:dyDescent="0.2">
      <c r="B425" s="642"/>
      <c r="C425" s="642"/>
      <c r="D425" s="642"/>
      <c r="E425" s="642"/>
      <c r="F425" s="642"/>
      <c r="G425" s="642"/>
      <c r="H425" s="642"/>
      <c r="I425" s="642"/>
      <c r="J425" s="642"/>
      <c r="K425" s="642"/>
      <c r="L425" s="642"/>
      <c r="M425" s="642"/>
      <c r="N425" s="642"/>
      <c r="O425" s="642"/>
      <c r="P425" s="642"/>
      <c r="Q425" s="642"/>
    </row>
    <row r="426" spans="2:17" ht="15" x14ac:dyDescent="0.2">
      <c r="B426" s="642"/>
      <c r="C426" s="642"/>
      <c r="D426" s="642"/>
      <c r="E426" s="642"/>
      <c r="F426" s="642"/>
      <c r="G426" s="642"/>
      <c r="H426" s="642"/>
      <c r="I426" s="642"/>
      <c r="J426" s="642"/>
      <c r="K426" s="642"/>
      <c r="L426" s="642"/>
      <c r="M426" s="642"/>
      <c r="N426" s="642"/>
      <c r="O426" s="642"/>
      <c r="P426" s="642"/>
      <c r="Q426" s="642"/>
    </row>
    <row r="427" spans="2:17" ht="15" x14ac:dyDescent="0.2">
      <c r="B427" s="642"/>
      <c r="C427" s="642"/>
      <c r="D427" s="642"/>
      <c r="E427" s="642"/>
      <c r="F427" s="642"/>
      <c r="G427" s="642"/>
      <c r="H427" s="642"/>
      <c r="I427" s="642"/>
      <c r="J427" s="642"/>
      <c r="K427" s="642"/>
      <c r="L427" s="642"/>
      <c r="M427" s="642"/>
      <c r="N427" s="642"/>
      <c r="O427" s="642"/>
      <c r="P427" s="642"/>
      <c r="Q427" s="642"/>
    </row>
    <row r="428" spans="2:17" ht="15" x14ac:dyDescent="0.2">
      <c r="B428" s="642"/>
      <c r="C428" s="642"/>
      <c r="D428" s="642"/>
      <c r="E428" s="642"/>
      <c r="F428" s="642"/>
      <c r="G428" s="642"/>
      <c r="H428" s="642"/>
      <c r="I428" s="642"/>
      <c r="J428" s="642"/>
      <c r="K428" s="642"/>
      <c r="L428" s="642"/>
      <c r="M428" s="642"/>
      <c r="N428" s="642"/>
      <c r="O428" s="642"/>
      <c r="P428" s="642"/>
      <c r="Q428" s="642"/>
    </row>
    <row r="429" spans="2:17" ht="15" x14ac:dyDescent="0.2">
      <c r="B429" s="642"/>
      <c r="C429" s="642"/>
      <c r="D429" s="642"/>
      <c r="E429" s="642"/>
      <c r="F429" s="642"/>
      <c r="G429" s="642"/>
      <c r="H429" s="642"/>
      <c r="I429" s="642"/>
      <c r="J429" s="642"/>
      <c r="K429" s="642"/>
      <c r="L429" s="642"/>
      <c r="M429" s="642"/>
      <c r="N429" s="642"/>
      <c r="O429" s="642"/>
      <c r="P429" s="642"/>
      <c r="Q429" s="642"/>
    </row>
    <row r="430" spans="2:17" ht="15" x14ac:dyDescent="0.2">
      <c r="B430" s="642"/>
      <c r="C430" s="642"/>
      <c r="D430" s="642"/>
      <c r="E430" s="642"/>
      <c r="F430" s="642"/>
      <c r="G430" s="642"/>
      <c r="H430" s="642"/>
      <c r="I430" s="642"/>
      <c r="J430" s="642"/>
      <c r="K430" s="642"/>
      <c r="L430" s="642"/>
      <c r="M430" s="642"/>
      <c r="N430" s="642"/>
      <c r="O430" s="642"/>
      <c r="P430" s="642"/>
      <c r="Q430" s="642"/>
    </row>
    <row r="431" spans="2:17" ht="15" x14ac:dyDescent="0.2">
      <c r="B431" s="642"/>
      <c r="C431" s="642"/>
      <c r="D431" s="642"/>
      <c r="E431" s="642"/>
      <c r="F431" s="642"/>
      <c r="G431" s="642"/>
      <c r="H431" s="642"/>
      <c r="I431" s="642"/>
      <c r="J431" s="642"/>
      <c r="K431" s="642"/>
      <c r="L431" s="642"/>
      <c r="M431" s="642"/>
      <c r="N431" s="642"/>
      <c r="O431" s="642"/>
      <c r="P431" s="642"/>
      <c r="Q431" s="642"/>
    </row>
    <row r="432" spans="2:17" ht="15" x14ac:dyDescent="0.2">
      <c r="B432" s="642"/>
      <c r="C432" s="642"/>
      <c r="D432" s="642"/>
      <c r="E432" s="642"/>
      <c r="F432" s="642"/>
      <c r="G432" s="642"/>
      <c r="H432" s="642"/>
      <c r="I432" s="642"/>
      <c r="J432" s="642"/>
      <c r="K432" s="642"/>
      <c r="L432" s="642"/>
      <c r="M432" s="642"/>
      <c r="N432" s="642"/>
      <c r="O432" s="642"/>
      <c r="P432" s="642"/>
      <c r="Q432" s="642"/>
    </row>
    <row r="433" spans="2:17" ht="15" x14ac:dyDescent="0.2">
      <c r="B433" s="642"/>
      <c r="C433" s="642"/>
      <c r="D433" s="642"/>
      <c r="E433" s="642"/>
      <c r="F433" s="642"/>
      <c r="G433" s="642"/>
      <c r="H433" s="642"/>
      <c r="I433" s="642"/>
      <c r="J433" s="642"/>
      <c r="K433" s="642"/>
      <c r="L433" s="642"/>
      <c r="M433" s="642"/>
      <c r="N433" s="642"/>
      <c r="O433" s="642"/>
      <c r="P433" s="642"/>
      <c r="Q433" s="642"/>
    </row>
    <row r="434" spans="2:17" ht="15" x14ac:dyDescent="0.2">
      <c r="B434" s="642"/>
      <c r="C434" s="642"/>
      <c r="D434" s="642"/>
      <c r="E434" s="642"/>
      <c r="F434" s="642"/>
      <c r="G434" s="642"/>
      <c r="H434" s="642"/>
      <c r="I434" s="642"/>
      <c r="J434" s="642"/>
      <c r="K434" s="642"/>
      <c r="L434" s="642"/>
      <c r="M434" s="642"/>
      <c r="N434" s="642"/>
      <c r="O434" s="642"/>
      <c r="P434" s="642"/>
      <c r="Q434" s="642"/>
    </row>
    <row r="435" spans="2:17" ht="15" x14ac:dyDescent="0.2">
      <c r="B435" s="642"/>
      <c r="C435" s="642"/>
      <c r="D435" s="642"/>
      <c r="E435" s="642"/>
      <c r="F435" s="642"/>
      <c r="G435" s="642"/>
      <c r="H435" s="642"/>
      <c r="I435" s="642"/>
      <c r="J435" s="642"/>
      <c r="K435" s="642"/>
      <c r="L435" s="642"/>
      <c r="M435" s="642"/>
      <c r="N435" s="642"/>
      <c r="O435" s="642"/>
      <c r="P435" s="642"/>
      <c r="Q435" s="642"/>
    </row>
    <row r="436" spans="2:17" ht="15" x14ac:dyDescent="0.2">
      <c r="B436" s="642"/>
      <c r="C436" s="642"/>
      <c r="D436" s="642"/>
      <c r="E436" s="642"/>
      <c r="F436" s="642"/>
      <c r="G436" s="642"/>
      <c r="H436" s="642"/>
      <c r="I436" s="642"/>
      <c r="J436" s="642"/>
      <c r="K436" s="642"/>
      <c r="L436" s="642"/>
      <c r="M436" s="642"/>
      <c r="N436" s="642"/>
      <c r="O436" s="642"/>
      <c r="P436" s="642"/>
      <c r="Q436" s="642"/>
    </row>
    <row r="437" spans="2:17" ht="15" x14ac:dyDescent="0.2">
      <c r="B437" s="642"/>
      <c r="C437" s="642"/>
      <c r="D437" s="642"/>
      <c r="E437" s="642"/>
      <c r="F437" s="642"/>
      <c r="G437" s="642"/>
      <c r="H437" s="642"/>
      <c r="I437" s="642"/>
      <c r="J437" s="642"/>
      <c r="K437" s="642"/>
      <c r="L437" s="642"/>
      <c r="M437" s="642"/>
      <c r="N437" s="642"/>
      <c r="O437" s="642"/>
      <c r="P437" s="642"/>
      <c r="Q437" s="642"/>
    </row>
    <row r="438" spans="2:17" ht="15" x14ac:dyDescent="0.2">
      <c r="B438" s="642"/>
      <c r="C438" s="642"/>
      <c r="D438" s="642"/>
      <c r="E438" s="642"/>
      <c r="F438" s="642"/>
      <c r="G438" s="642"/>
      <c r="H438" s="642"/>
      <c r="I438" s="642"/>
      <c r="J438" s="642"/>
      <c r="K438" s="642"/>
      <c r="L438" s="642"/>
      <c r="M438" s="642"/>
      <c r="N438" s="642"/>
      <c r="O438" s="642"/>
      <c r="P438" s="642"/>
      <c r="Q438" s="642"/>
    </row>
    <row r="439" spans="2:17" ht="15" x14ac:dyDescent="0.2">
      <c r="B439" s="642"/>
      <c r="C439" s="642"/>
      <c r="D439" s="642"/>
      <c r="E439" s="642"/>
      <c r="F439" s="642"/>
      <c r="G439" s="642"/>
      <c r="H439" s="642"/>
      <c r="I439" s="642"/>
      <c r="J439" s="642"/>
      <c r="K439" s="642"/>
      <c r="L439" s="642"/>
      <c r="M439" s="642"/>
      <c r="N439" s="642"/>
      <c r="O439" s="642"/>
      <c r="P439" s="642"/>
      <c r="Q439" s="642"/>
    </row>
    <row r="440" spans="2:17" ht="15" x14ac:dyDescent="0.2">
      <c r="B440" s="642"/>
      <c r="C440" s="642"/>
      <c r="D440" s="642"/>
      <c r="E440" s="642"/>
      <c r="F440" s="642"/>
      <c r="G440" s="642"/>
      <c r="H440" s="642"/>
      <c r="I440" s="642"/>
      <c r="J440" s="642"/>
      <c r="K440" s="642"/>
      <c r="L440" s="642"/>
      <c r="M440" s="642"/>
      <c r="N440" s="642"/>
      <c r="O440" s="642"/>
      <c r="P440" s="642"/>
      <c r="Q440" s="642"/>
    </row>
    <row r="441" spans="2:17" ht="15" x14ac:dyDescent="0.2">
      <c r="B441" s="642"/>
      <c r="C441" s="642"/>
      <c r="D441" s="642"/>
      <c r="E441" s="642"/>
      <c r="F441" s="642"/>
      <c r="G441" s="642"/>
      <c r="H441" s="642"/>
      <c r="I441" s="642"/>
      <c r="J441" s="642"/>
      <c r="K441" s="642"/>
      <c r="L441" s="642"/>
      <c r="M441" s="642"/>
      <c r="N441" s="642"/>
      <c r="O441" s="642"/>
      <c r="P441" s="642"/>
      <c r="Q441" s="642"/>
    </row>
    <row r="442" spans="2:17" ht="15" x14ac:dyDescent="0.2">
      <c r="B442" s="642"/>
      <c r="C442" s="642"/>
      <c r="D442" s="642"/>
      <c r="E442" s="642"/>
      <c r="F442" s="642"/>
      <c r="G442" s="642"/>
      <c r="H442" s="642"/>
      <c r="I442" s="642"/>
      <c r="J442" s="642"/>
      <c r="K442" s="642"/>
      <c r="L442" s="642"/>
      <c r="M442" s="642"/>
      <c r="N442" s="642"/>
      <c r="O442" s="642"/>
      <c r="P442" s="642"/>
      <c r="Q442" s="642"/>
    </row>
    <row r="443" spans="2:17" ht="15" x14ac:dyDescent="0.2">
      <c r="B443" s="642"/>
      <c r="C443" s="642"/>
      <c r="D443" s="642"/>
      <c r="E443" s="642"/>
      <c r="F443" s="642"/>
      <c r="G443" s="642"/>
      <c r="H443" s="642"/>
      <c r="I443" s="642"/>
      <c r="J443" s="642"/>
      <c r="K443" s="642"/>
      <c r="L443" s="642"/>
      <c r="M443" s="642"/>
      <c r="N443" s="642"/>
      <c r="O443" s="642"/>
      <c r="P443" s="642"/>
      <c r="Q443" s="642"/>
    </row>
    <row r="444" spans="2:17" ht="15" x14ac:dyDescent="0.2">
      <c r="B444" s="642"/>
      <c r="C444" s="642"/>
      <c r="D444" s="642"/>
      <c r="E444" s="642"/>
      <c r="F444" s="642"/>
      <c r="G444" s="642"/>
      <c r="H444" s="642"/>
      <c r="I444" s="642"/>
      <c r="J444" s="642"/>
      <c r="K444" s="642"/>
      <c r="L444" s="642"/>
      <c r="M444" s="642"/>
      <c r="N444" s="642"/>
      <c r="O444" s="642"/>
      <c r="P444" s="642"/>
      <c r="Q444" s="642"/>
    </row>
    <row r="445" spans="2:17" ht="15" x14ac:dyDescent="0.2">
      <c r="B445" s="642"/>
      <c r="C445" s="642"/>
      <c r="D445" s="642"/>
      <c r="E445" s="642"/>
      <c r="F445" s="642"/>
      <c r="G445" s="642"/>
      <c r="H445" s="642"/>
      <c r="I445" s="642"/>
      <c r="J445" s="642"/>
      <c r="K445" s="642"/>
      <c r="L445" s="642"/>
      <c r="M445" s="642"/>
      <c r="N445" s="642"/>
      <c r="O445" s="642"/>
      <c r="P445" s="642"/>
      <c r="Q445" s="642"/>
    </row>
    <row r="446" spans="2:17" ht="15" x14ac:dyDescent="0.2">
      <c r="B446" s="642"/>
      <c r="C446" s="642"/>
      <c r="D446" s="642"/>
      <c r="E446" s="642"/>
      <c r="F446" s="642"/>
      <c r="G446" s="642"/>
      <c r="H446" s="642"/>
      <c r="I446" s="642"/>
      <c r="J446" s="642"/>
      <c r="K446" s="642"/>
      <c r="L446" s="642"/>
      <c r="M446" s="642"/>
      <c r="N446" s="642"/>
      <c r="O446" s="642"/>
      <c r="P446" s="642"/>
      <c r="Q446" s="642"/>
    </row>
    <row r="447" spans="2:17" ht="15" x14ac:dyDescent="0.2">
      <c r="B447" s="642"/>
      <c r="C447" s="642"/>
      <c r="D447" s="642"/>
      <c r="E447" s="642"/>
      <c r="F447" s="642"/>
      <c r="G447" s="642"/>
      <c r="H447" s="642"/>
      <c r="I447" s="642"/>
      <c r="J447" s="642"/>
      <c r="K447" s="642"/>
      <c r="L447" s="642"/>
      <c r="M447" s="642"/>
      <c r="N447" s="642"/>
      <c r="O447" s="642"/>
      <c r="P447" s="642"/>
      <c r="Q447" s="642"/>
    </row>
    <row r="448" spans="2:17" ht="15" x14ac:dyDescent="0.2">
      <c r="B448" s="642"/>
      <c r="C448" s="642"/>
      <c r="D448" s="642"/>
      <c r="E448" s="642"/>
      <c r="F448" s="642"/>
      <c r="G448" s="642"/>
      <c r="H448" s="642"/>
      <c r="I448" s="642"/>
      <c r="J448" s="642"/>
      <c r="K448" s="642"/>
      <c r="L448" s="642"/>
      <c r="M448" s="642"/>
      <c r="N448" s="642"/>
      <c r="O448" s="642"/>
      <c r="P448" s="642"/>
      <c r="Q448" s="642"/>
    </row>
    <row r="449" spans="2:17" ht="15" x14ac:dyDescent="0.2">
      <c r="B449" s="642"/>
      <c r="C449" s="642"/>
      <c r="D449" s="642"/>
      <c r="E449" s="642"/>
      <c r="F449" s="642"/>
      <c r="G449" s="642"/>
      <c r="H449" s="642"/>
      <c r="I449" s="642"/>
      <c r="J449" s="642"/>
      <c r="K449" s="642"/>
      <c r="L449" s="642"/>
      <c r="M449" s="642"/>
      <c r="N449" s="642"/>
      <c r="O449" s="642"/>
      <c r="P449" s="642"/>
      <c r="Q449" s="642"/>
    </row>
    <row r="450" spans="2:17" ht="15" x14ac:dyDescent="0.2">
      <c r="B450" s="642"/>
      <c r="C450" s="642"/>
      <c r="D450" s="642"/>
      <c r="E450" s="642"/>
      <c r="F450" s="642"/>
      <c r="G450" s="642"/>
      <c r="H450" s="642"/>
      <c r="I450" s="642"/>
      <c r="J450" s="642"/>
      <c r="K450" s="642"/>
      <c r="L450" s="642"/>
      <c r="M450" s="642"/>
      <c r="N450" s="642"/>
      <c r="O450" s="642"/>
      <c r="P450" s="642"/>
      <c r="Q450" s="642"/>
    </row>
    <row r="451" spans="2:17" ht="15" x14ac:dyDescent="0.2">
      <c r="B451" s="642"/>
      <c r="C451" s="642"/>
      <c r="D451" s="642"/>
      <c r="E451" s="642"/>
      <c r="F451" s="642"/>
      <c r="G451" s="642"/>
      <c r="H451" s="642"/>
      <c r="I451" s="642"/>
      <c r="J451" s="642"/>
      <c r="K451" s="642"/>
      <c r="L451" s="642"/>
      <c r="M451" s="642"/>
      <c r="N451" s="642"/>
      <c r="O451" s="642"/>
      <c r="P451" s="642"/>
      <c r="Q451" s="642"/>
    </row>
    <row r="452" spans="2:17" ht="15" x14ac:dyDescent="0.2">
      <c r="B452" s="642"/>
      <c r="C452" s="642"/>
      <c r="D452" s="642"/>
      <c r="E452" s="642"/>
      <c r="F452" s="642"/>
      <c r="G452" s="642"/>
      <c r="H452" s="642"/>
      <c r="I452" s="642"/>
      <c r="J452" s="642"/>
      <c r="K452" s="642"/>
      <c r="L452" s="642"/>
      <c r="M452" s="642"/>
      <c r="N452" s="642"/>
      <c r="O452" s="642"/>
      <c r="P452" s="642"/>
      <c r="Q452" s="642"/>
    </row>
    <row r="453" spans="2:17" ht="15" x14ac:dyDescent="0.2">
      <c r="B453" s="642"/>
      <c r="C453" s="642"/>
      <c r="D453" s="642"/>
      <c r="E453" s="642"/>
      <c r="F453" s="642"/>
      <c r="G453" s="642"/>
      <c r="H453" s="642"/>
      <c r="I453" s="642"/>
      <c r="J453" s="642"/>
      <c r="K453" s="642"/>
      <c r="L453" s="642"/>
      <c r="M453" s="642"/>
      <c r="N453" s="642"/>
      <c r="O453" s="642"/>
      <c r="P453" s="642"/>
      <c r="Q453" s="642"/>
    </row>
    <row r="454" spans="2:17" ht="15" x14ac:dyDescent="0.2">
      <c r="B454" s="642"/>
      <c r="C454" s="642"/>
      <c r="D454" s="642"/>
      <c r="E454" s="642"/>
      <c r="F454" s="642"/>
      <c r="G454" s="642"/>
      <c r="H454" s="642"/>
      <c r="I454" s="642"/>
      <c r="J454" s="642"/>
      <c r="K454" s="642"/>
      <c r="L454" s="642"/>
      <c r="M454" s="642"/>
      <c r="N454" s="642"/>
      <c r="O454" s="642"/>
      <c r="P454" s="642"/>
      <c r="Q454" s="642"/>
    </row>
    <row r="455" spans="2:17" ht="15" x14ac:dyDescent="0.2">
      <c r="B455" s="642"/>
      <c r="C455" s="642"/>
      <c r="D455" s="642"/>
      <c r="E455" s="642"/>
      <c r="F455" s="642"/>
      <c r="G455" s="642"/>
      <c r="H455" s="642"/>
      <c r="I455" s="642"/>
      <c r="J455" s="642"/>
      <c r="K455" s="642"/>
      <c r="L455" s="642"/>
      <c r="M455" s="642"/>
      <c r="N455" s="642"/>
      <c r="O455" s="642"/>
      <c r="P455" s="642"/>
      <c r="Q455" s="642"/>
    </row>
    <row r="456" spans="2:17" ht="15" x14ac:dyDescent="0.2">
      <c r="B456" s="642"/>
      <c r="C456" s="642"/>
      <c r="D456" s="642"/>
      <c r="E456" s="642"/>
      <c r="F456" s="642"/>
      <c r="G456" s="642"/>
      <c r="H456" s="642"/>
      <c r="I456" s="642"/>
      <c r="J456" s="642"/>
      <c r="K456" s="642"/>
      <c r="L456" s="642"/>
      <c r="M456" s="642"/>
      <c r="N456" s="642"/>
      <c r="O456" s="642"/>
      <c r="P456" s="642"/>
      <c r="Q456" s="642"/>
    </row>
    <row r="457" spans="2:17" ht="15" x14ac:dyDescent="0.2">
      <c r="B457" s="642"/>
      <c r="C457" s="642"/>
      <c r="D457" s="642"/>
      <c r="E457" s="642"/>
      <c r="F457" s="642"/>
      <c r="G457" s="642"/>
      <c r="H457" s="642"/>
      <c r="I457" s="642"/>
      <c r="J457" s="642"/>
      <c r="K457" s="642"/>
      <c r="L457" s="642"/>
      <c r="M457" s="642"/>
      <c r="N457" s="642"/>
      <c r="O457" s="642"/>
      <c r="P457" s="642"/>
      <c r="Q457" s="642"/>
    </row>
    <row r="458" spans="2:17" ht="15" x14ac:dyDescent="0.2">
      <c r="B458" s="642"/>
      <c r="C458" s="642"/>
      <c r="D458" s="642"/>
      <c r="E458" s="642"/>
      <c r="F458" s="642"/>
      <c r="G458" s="642"/>
      <c r="H458" s="642"/>
      <c r="I458" s="642"/>
      <c r="J458" s="642"/>
      <c r="K458" s="642"/>
      <c r="L458" s="642"/>
      <c r="M458" s="642"/>
      <c r="N458" s="642"/>
      <c r="O458" s="642"/>
      <c r="P458" s="642"/>
      <c r="Q458" s="642"/>
    </row>
    <row r="459" spans="2:17" ht="15" x14ac:dyDescent="0.2">
      <c r="B459" s="642"/>
      <c r="C459" s="642"/>
      <c r="D459" s="642"/>
      <c r="E459" s="642"/>
      <c r="F459" s="642"/>
      <c r="G459" s="642"/>
      <c r="H459" s="642"/>
      <c r="I459" s="642"/>
      <c r="J459" s="642"/>
      <c r="K459" s="642"/>
      <c r="L459" s="642"/>
      <c r="M459" s="642"/>
      <c r="N459" s="642"/>
      <c r="O459" s="642"/>
      <c r="P459" s="642"/>
      <c r="Q459" s="642"/>
    </row>
    <row r="460" spans="2:17" ht="15" x14ac:dyDescent="0.2">
      <c r="B460" s="642"/>
      <c r="C460" s="642"/>
      <c r="D460" s="642"/>
      <c r="E460" s="642"/>
      <c r="F460" s="642"/>
      <c r="G460" s="642"/>
      <c r="H460" s="642"/>
      <c r="I460" s="642"/>
      <c r="J460" s="642"/>
      <c r="K460" s="642"/>
      <c r="L460" s="642"/>
      <c r="M460" s="642"/>
      <c r="N460" s="642"/>
      <c r="O460" s="642"/>
      <c r="P460" s="642"/>
      <c r="Q460" s="642"/>
    </row>
    <row r="461" spans="2:17" ht="15" x14ac:dyDescent="0.2">
      <c r="B461" s="642"/>
      <c r="C461" s="642"/>
      <c r="D461" s="642"/>
      <c r="E461" s="642"/>
      <c r="F461" s="642"/>
      <c r="G461" s="642"/>
      <c r="H461" s="642"/>
      <c r="I461" s="642"/>
      <c r="J461" s="642"/>
      <c r="K461" s="642"/>
      <c r="L461" s="642"/>
      <c r="M461" s="642"/>
      <c r="N461" s="642"/>
      <c r="O461" s="642"/>
      <c r="P461" s="642"/>
      <c r="Q461" s="642"/>
    </row>
    <row r="462" spans="2:17" ht="15" x14ac:dyDescent="0.2">
      <c r="B462" s="642"/>
      <c r="C462" s="642"/>
      <c r="D462" s="642"/>
      <c r="E462" s="642"/>
      <c r="F462" s="642"/>
      <c r="G462" s="642"/>
      <c r="H462" s="642"/>
      <c r="I462" s="642"/>
      <c r="J462" s="642"/>
      <c r="K462" s="642"/>
      <c r="L462" s="642"/>
      <c r="M462" s="642"/>
      <c r="N462" s="642"/>
      <c r="O462" s="642"/>
      <c r="P462" s="642"/>
      <c r="Q462" s="642"/>
    </row>
    <row r="463" spans="2:17" ht="15" x14ac:dyDescent="0.2">
      <c r="B463" s="642"/>
      <c r="C463" s="642"/>
      <c r="D463" s="642"/>
      <c r="E463" s="642"/>
      <c r="F463" s="642"/>
      <c r="G463" s="642"/>
      <c r="H463" s="642"/>
      <c r="I463" s="642"/>
      <c r="J463" s="642"/>
      <c r="K463" s="642"/>
      <c r="L463" s="642"/>
      <c r="M463" s="642"/>
      <c r="N463" s="642"/>
      <c r="O463" s="642"/>
      <c r="P463" s="642"/>
      <c r="Q463" s="642"/>
    </row>
    <row r="464" spans="2:17" ht="15" x14ac:dyDescent="0.2">
      <c r="B464" s="642"/>
      <c r="C464" s="642"/>
      <c r="D464" s="642"/>
      <c r="E464" s="642"/>
      <c r="F464" s="642"/>
      <c r="G464" s="642"/>
      <c r="H464" s="642"/>
      <c r="I464" s="642"/>
      <c r="J464" s="642"/>
      <c r="K464" s="642"/>
      <c r="L464" s="642"/>
      <c r="M464" s="642"/>
      <c r="N464" s="642"/>
      <c r="O464" s="642"/>
      <c r="P464" s="642"/>
      <c r="Q464" s="642"/>
    </row>
    <row r="465" spans="2:17" ht="15" x14ac:dyDescent="0.2">
      <c r="B465" s="642"/>
      <c r="C465" s="642"/>
      <c r="D465" s="642"/>
      <c r="E465" s="642"/>
      <c r="F465" s="642"/>
      <c r="G465" s="642"/>
      <c r="H465" s="642"/>
      <c r="I465" s="642"/>
      <c r="J465" s="642"/>
      <c r="K465" s="642"/>
      <c r="L465" s="642"/>
      <c r="M465" s="642"/>
      <c r="N465" s="642"/>
      <c r="O465" s="642"/>
      <c r="P465" s="642"/>
      <c r="Q465" s="642"/>
    </row>
    <row r="466" spans="2:17" ht="15" x14ac:dyDescent="0.2">
      <c r="B466" s="642"/>
      <c r="C466" s="642"/>
      <c r="D466" s="642"/>
      <c r="E466" s="642"/>
      <c r="F466" s="642"/>
      <c r="G466" s="642"/>
      <c r="H466" s="642"/>
      <c r="I466" s="642"/>
      <c r="J466" s="642"/>
      <c r="K466" s="642"/>
      <c r="L466" s="642"/>
      <c r="M466" s="642"/>
      <c r="N466" s="642"/>
      <c r="O466" s="642"/>
      <c r="P466" s="642"/>
      <c r="Q466" s="642"/>
    </row>
    <row r="467" spans="2:17" ht="15" x14ac:dyDescent="0.2">
      <c r="B467" s="642"/>
      <c r="C467" s="642"/>
      <c r="D467" s="642"/>
      <c r="E467" s="642"/>
      <c r="F467" s="642"/>
      <c r="G467" s="642"/>
      <c r="H467" s="642"/>
      <c r="I467" s="642"/>
      <c r="J467" s="642"/>
      <c r="K467" s="642"/>
      <c r="L467" s="642"/>
      <c r="M467" s="642"/>
      <c r="N467" s="642"/>
      <c r="O467" s="642"/>
      <c r="P467" s="642"/>
      <c r="Q467" s="642"/>
    </row>
    <row r="468" spans="2:17" ht="15" x14ac:dyDescent="0.2">
      <c r="B468" s="642"/>
      <c r="C468" s="642"/>
      <c r="D468" s="642"/>
      <c r="E468" s="642"/>
      <c r="F468" s="642"/>
      <c r="G468" s="642"/>
      <c r="H468" s="642"/>
      <c r="I468" s="642"/>
      <c r="J468" s="642"/>
      <c r="K468" s="642"/>
      <c r="L468" s="642"/>
      <c r="M468" s="642"/>
      <c r="N468" s="642"/>
      <c r="O468" s="642"/>
      <c r="P468" s="642"/>
      <c r="Q468" s="642"/>
    </row>
    <row r="469" spans="2:17" ht="15" x14ac:dyDescent="0.2">
      <c r="B469" s="642"/>
      <c r="C469" s="642"/>
      <c r="D469" s="642"/>
      <c r="E469" s="642"/>
      <c r="F469" s="642"/>
      <c r="G469" s="642"/>
      <c r="H469" s="642"/>
      <c r="I469" s="642"/>
      <c r="J469" s="642"/>
      <c r="K469" s="642"/>
      <c r="L469" s="642"/>
      <c r="M469" s="642"/>
      <c r="N469" s="642"/>
      <c r="O469" s="642"/>
      <c r="P469" s="642"/>
      <c r="Q469" s="642"/>
    </row>
    <row r="470" spans="2:17" ht="15" x14ac:dyDescent="0.2">
      <c r="B470" s="642"/>
      <c r="C470" s="642"/>
      <c r="D470" s="642"/>
      <c r="E470" s="642"/>
      <c r="F470" s="642"/>
      <c r="G470" s="642"/>
      <c r="H470" s="642"/>
      <c r="I470" s="642"/>
      <c r="J470" s="642"/>
      <c r="K470" s="642"/>
      <c r="L470" s="642"/>
      <c r="M470" s="642"/>
      <c r="N470" s="642"/>
      <c r="O470" s="642"/>
      <c r="P470" s="642"/>
      <c r="Q470" s="642"/>
    </row>
    <row r="471" spans="2:17" ht="15" x14ac:dyDescent="0.2">
      <c r="B471" s="642"/>
      <c r="C471" s="642"/>
      <c r="D471" s="642"/>
      <c r="E471" s="642"/>
      <c r="F471" s="642"/>
      <c r="G471" s="642"/>
      <c r="H471" s="642"/>
      <c r="I471" s="642"/>
      <c r="J471" s="642"/>
      <c r="K471" s="642"/>
      <c r="L471" s="642"/>
      <c r="M471" s="642"/>
      <c r="N471" s="642"/>
      <c r="O471" s="642"/>
      <c r="P471" s="642"/>
      <c r="Q471" s="642"/>
    </row>
    <row r="472" spans="2:17" ht="15" x14ac:dyDescent="0.2">
      <c r="B472" s="642"/>
      <c r="C472" s="642"/>
      <c r="D472" s="642"/>
      <c r="E472" s="642"/>
      <c r="F472" s="642"/>
      <c r="G472" s="642"/>
      <c r="H472" s="642"/>
      <c r="I472" s="642"/>
      <c r="J472" s="642"/>
      <c r="K472" s="642"/>
      <c r="L472" s="642"/>
      <c r="M472" s="642"/>
      <c r="N472" s="642"/>
      <c r="O472" s="642"/>
      <c r="P472" s="642"/>
      <c r="Q472" s="642"/>
    </row>
    <row r="473" spans="2:17" ht="15" x14ac:dyDescent="0.2">
      <c r="B473" s="642"/>
      <c r="C473" s="642"/>
      <c r="D473" s="642"/>
      <c r="E473" s="642"/>
      <c r="F473" s="642"/>
      <c r="G473" s="642"/>
      <c r="H473" s="642"/>
      <c r="I473" s="642"/>
      <c r="J473" s="642"/>
      <c r="K473" s="642"/>
      <c r="L473" s="642"/>
      <c r="M473" s="642"/>
      <c r="N473" s="642"/>
      <c r="O473" s="642"/>
      <c r="P473" s="642"/>
      <c r="Q473" s="642"/>
    </row>
    <row r="474" spans="2:17" ht="15" x14ac:dyDescent="0.2">
      <c r="B474" s="642"/>
      <c r="C474" s="642"/>
      <c r="D474" s="642"/>
      <c r="E474" s="642"/>
      <c r="F474" s="642"/>
      <c r="G474" s="642"/>
      <c r="H474" s="642"/>
      <c r="I474" s="642"/>
      <c r="J474" s="642"/>
      <c r="K474" s="642"/>
      <c r="L474" s="642"/>
      <c r="M474" s="642"/>
      <c r="N474" s="642"/>
      <c r="O474" s="642"/>
      <c r="P474" s="642"/>
      <c r="Q474" s="642"/>
    </row>
    <row r="475" spans="2:17" ht="15" x14ac:dyDescent="0.2">
      <c r="B475" s="642"/>
      <c r="C475" s="642"/>
      <c r="D475" s="642"/>
      <c r="E475" s="642"/>
      <c r="F475" s="642"/>
      <c r="G475" s="642"/>
      <c r="H475" s="642"/>
      <c r="I475" s="642"/>
      <c r="J475" s="642"/>
      <c r="K475" s="642"/>
      <c r="L475" s="642"/>
      <c r="M475" s="642"/>
      <c r="N475" s="642"/>
      <c r="O475" s="642"/>
      <c r="P475" s="642"/>
      <c r="Q475" s="642"/>
    </row>
    <row r="476" spans="2:17" ht="15" x14ac:dyDescent="0.2">
      <c r="B476" s="642"/>
      <c r="C476" s="642"/>
      <c r="D476" s="642"/>
      <c r="E476" s="642"/>
      <c r="F476" s="642"/>
      <c r="G476" s="642"/>
      <c r="H476" s="642"/>
      <c r="I476" s="642"/>
      <c r="J476" s="642"/>
      <c r="K476" s="642"/>
      <c r="L476" s="642"/>
      <c r="M476" s="642"/>
      <c r="N476" s="642"/>
      <c r="O476" s="642"/>
      <c r="P476" s="642"/>
      <c r="Q476" s="642"/>
    </row>
    <row r="477" spans="2:17" ht="15" x14ac:dyDescent="0.2">
      <c r="B477" s="642"/>
      <c r="C477" s="642"/>
      <c r="D477" s="642"/>
      <c r="E477" s="642"/>
      <c r="F477" s="642"/>
      <c r="G477" s="642"/>
      <c r="H477" s="642"/>
      <c r="I477" s="642"/>
      <c r="J477" s="642"/>
      <c r="K477" s="642"/>
      <c r="L477" s="642"/>
      <c r="M477" s="642"/>
      <c r="N477" s="642"/>
      <c r="O477" s="642"/>
      <c r="P477" s="642"/>
      <c r="Q477" s="642"/>
    </row>
    <row r="478" spans="2:17" ht="15" x14ac:dyDescent="0.2">
      <c r="B478" s="642"/>
      <c r="C478" s="642"/>
      <c r="D478" s="642"/>
      <c r="E478" s="642"/>
      <c r="F478" s="642"/>
      <c r="G478" s="642"/>
      <c r="H478" s="642"/>
      <c r="I478" s="642"/>
      <c r="J478" s="642"/>
      <c r="K478" s="642"/>
      <c r="L478" s="642"/>
      <c r="M478" s="642"/>
      <c r="N478" s="642"/>
      <c r="O478" s="642"/>
      <c r="P478" s="642"/>
      <c r="Q478" s="642"/>
    </row>
    <row r="479" spans="2:17" ht="15" x14ac:dyDescent="0.2">
      <c r="B479" s="642"/>
      <c r="C479" s="642"/>
      <c r="D479" s="642"/>
      <c r="E479" s="642"/>
      <c r="F479" s="642"/>
      <c r="G479" s="642"/>
      <c r="H479" s="642"/>
      <c r="I479" s="642"/>
      <c r="J479" s="642"/>
      <c r="K479" s="642"/>
      <c r="L479" s="642"/>
      <c r="M479" s="642"/>
      <c r="N479" s="642"/>
      <c r="O479" s="642"/>
      <c r="P479" s="642"/>
      <c r="Q479" s="642"/>
    </row>
    <row r="480" spans="2:17" ht="15" x14ac:dyDescent="0.2">
      <c r="B480" s="642"/>
      <c r="C480" s="642"/>
      <c r="D480" s="642"/>
      <c r="E480" s="642"/>
      <c r="F480" s="642"/>
      <c r="G480" s="642"/>
      <c r="H480" s="642"/>
      <c r="I480" s="642"/>
      <c r="J480" s="642"/>
      <c r="K480" s="642"/>
      <c r="L480" s="642"/>
      <c r="M480" s="642"/>
      <c r="N480" s="642"/>
      <c r="O480" s="642"/>
      <c r="P480" s="642"/>
      <c r="Q480" s="642"/>
    </row>
    <row r="481" spans="2:17" ht="15" x14ac:dyDescent="0.2">
      <c r="B481" s="642"/>
      <c r="C481" s="642"/>
      <c r="D481" s="642"/>
      <c r="E481" s="642"/>
      <c r="F481" s="642"/>
      <c r="G481" s="642"/>
      <c r="H481" s="642"/>
      <c r="I481" s="642"/>
      <c r="J481" s="642"/>
      <c r="K481" s="642"/>
      <c r="L481" s="642"/>
      <c r="M481" s="642"/>
      <c r="N481" s="642"/>
      <c r="O481" s="642"/>
      <c r="P481" s="642"/>
      <c r="Q481" s="642"/>
    </row>
    <row r="482" spans="2:17" ht="15" x14ac:dyDescent="0.2">
      <c r="B482" s="642"/>
      <c r="C482" s="642"/>
      <c r="D482" s="642"/>
      <c r="E482" s="642"/>
      <c r="F482" s="642"/>
      <c r="G482" s="642"/>
      <c r="H482" s="642"/>
      <c r="I482" s="642"/>
      <c r="J482" s="642"/>
      <c r="K482" s="642"/>
      <c r="L482" s="642"/>
      <c r="M482" s="642"/>
      <c r="N482" s="642"/>
      <c r="O482" s="642"/>
      <c r="P482" s="642"/>
      <c r="Q482" s="642"/>
    </row>
    <row r="483" spans="2:17" ht="15" x14ac:dyDescent="0.2">
      <c r="B483" s="642"/>
      <c r="C483" s="642"/>
      <c r="D483" s="642"/>
      <c r="E483" s="642"/>
      <c r="F483" s="642"/>
      <c r="G483" s="642"/>
      <c r="H483" s="642"/>
      <c r="I483" s="642"/>
      <c r="J483" s="642"/>
      <c r="K483" s="642"/>
      <c r="L483" s="642"/>
      <c r="M483" s="642"/>
      <c r="N483" s="642"/>
      <c r="O483" s="642"/>
      <c r="P483" s="642"/>
      <c r="Q483" s="642"/>
    </row>
    <row r="484" spans="2:17" ht="15" x14ac:dyDescent="0.2">
      <c r="B484" s="642"/>
      <c r="C484" s="642"/>
      <c r="D484" s="642"/>
      <c r="E484" s="642"/>
      <c r="F484" s="642"/>
      <c r="G484" s="642"/>
      <c r="H484" s="642"/>
      <c r="I484" s="642"/>
      <c r="J484" s="642"/>
      <c r="K484" s="642"/>
      <c r="L484" s="642"/>
      <c r="M484" s="642"/>
      <c r="N484" s="642"/>
      <c r="O484" s="642"/>
      <c r="P484" s="642"/>
      <c r="Q484" s="642"/>
    </row>
    <row r="485" spans="2:17" ht="15" x14ac:dyDescent="0.2">
      <c r="B485" s="642"/>
      <c r="C485" s="642"/>
      <c r="D485" s="642"/>
      <c r="E485" s="642"/>
      <c r="F485" s="642"/>
      <c r="G485" s="642"/>
      <c r="H485" s="642"/>
      <c r="I485" s="642"/>
      <c r="J485" s="642"/>
      <c r="K485" s="642"/>
      <c r="L485" s="642"/>
      <c r="M485" s="642"/>
      <c r="N485" s="642"/>
      <c r="O485" s="642"/>
      <c r="P485" s="642"/>
      <c r="Q485" s="642"/>
    </row>
    <row r="486" spans="2:17" ht="15" x14ac:dyDescent="0.2">
      <c r="B486" s="642"/>
      <c r="C486" s="642"/>
      <c r="D486" s="642"/>
      <c r="E486" s="642"/>
      <c r="F486" s="642"/>
      <c r="G486" s="642"/>
      <c r="H486" s="642"/>
      <c r="I486" s="642"/>
      <c r="J486" s="642"/>
      <c r="K486" s="642"/>
      <c r="L486" s="642"/>
      <c r="M486" s="642"/>
      <c r="N486" s="642"/>
      <c r="O486" s="642"/>
      <c r="P486" s="642"/>
      <c r="Q486" s="642"/>
    </row>
    <row r="487" spans="2:17" ht="15" x14ac:dyDescent="0.2">
      <c r="B487" s="642"/>
      <c r="C487" s="642"/>
      <c r="D487" s="642"/>
      <c r="E487" s="642"/>
      <c r="F487" s="642"/>
      <c r="G487" s="642"/>
      <c r="H487" s="642"/>
      <c r="I487" s="642"/>
      <c r="J487" s="642"/>
      <c r="K487" s="642"/>
      <c r="L487" s="642"/>
      <c r="M487" s="642"/>
      <c r="N487" s="642"/>
      <c r="O487" s="642"/>
      <c r="P487" s="642"/>
      <c r="Q487" s="642"/>
    </row>
    <row r="488" spans="2:17" ht="15" x14ac:dyDescent="0.2">
      <c r="B488" s="642"/>
      <c r="C488" s="642"/>
      <c r="D488" s="642"/>
      <c r="E488" s="642"/>
      <c r="F488" s="642"/>
      <c r="G488" s="642"/>
      <c r="H488" s="642"/>
      <c r="I488" s="642"/>
      <c r="J488" s="642"/>
      <c r="K488" s="642"/>
      <c r="L488" s="642"/>
      <c r="M488" s="642"/>
      <c r="N488" s="642"/>
      <c r="O488" s="642"/>
      <c r="P488" s="642"/>
      <c r="Q488" s="642"/>
    </row>
    <row r="489" spans="2:17" ht="15" x14ac:dyDescent="0.2">
      <c r="B489" s="642"/>
      <c r="C489" s="642"/>
      <c r="D489" s="642"/>
      <c r="E489" s="642"/>
      <c r="F489" s="642"/>
      <c r="G489" s="642"/>
      <c r="H489" s="642"/>
      <c r="I489" s="642"/>
      <c r="J489" s="642"/>
      <c r="K489" s="642"/>
      <c r="L489" s="642"/>
      <c r="M489" s="642"/>
      <c r="N489" s="642"/>
      <c r="O489" s="642"/>
      <c r="P489" s="642"/>
      <c r="Q489" s="642"/>
    </row>
    <row r="490" spans="2:17" ht="15" x14ac:dyDescent="0.2">
      <c r="B490" s="642"/>
      <c r="C490" s="642"/>
      <c r="D490" s="642"/>
      <c r="E490" s="642"/>
      <c r="F490" s="642"/>
      <c r="G490" s="642"/>
      <c r="H490" s="642"/>
      <c r="I490" s="642"/>
      <c r="J490" s="642"/>
      <c r="K490" s="642"/>
      <c r="L490" s="642"/>
      <c r="M490" s="642"/>
      <c r="N490" s="642"/>
      <c r="O490" s="642"/>
      <c r="P490" s="642"/>
      <c r="Q490" s="642"/>
    </row>
    <row r="491" spans="2:17" ht="15" x14ac:dyDescent="0.2">
      <c r="B491" s="642"/>
      <c r="C491" s="642"/>
      <c r="D491" s="642"/>
      <c r="E491" s="642"/>
      <c r="F491" s="642"/>
      <c r="G491" s="642"/>
      <c r="H491" s="642"/>
      <c r="I491" s="642"/>
      <c r="J491" s="642"/>
      <c r="K491" s="642"/>
      <c r="L491" s="642"/>
      <c r="M491" s="642"/>
      <c r="N491" s="642"/>
      <c r="O491" s="642"/>
      <c r="P491" s="642"/>
      <c r="Q491" s="642"/>
    </row>
    <row r="492" spans="2:17" ht="15" x14ac:dyDescent="0.2">
      <c r="B492" s="642"/>
      <c r="C492" s="642"/>
      <c r="D492" s="642"/>
      <c r="E492" s="642"/>
      <c r="F492" s="642"/>
      <c r="G492" s="642"/>
      <c r="H492" s="642"/>
      <c r="I492" s="642"/>
      <c r="J492" s="642"/>
      <c r="K492" s="642"/>
      <c r="L492" s="642"/>
      <c r="M492" s="642"/>
      <c r="N492" s="642"/>
      <c r="O492" s="642"/>
      <c r="P492" s="642"/>
      <c r="Q492" s="642"/>
    </row>
    <row r="493" spans="2:17" ht="15" x14ac:dyDescent="0.2">
      <c r="B493" s="642"/>
      <c r="C493" s="642"/>
      <c r="D493" s="642"/>
      <c r="E493" s="642"/>
      <c r="F493" s="642"/>
      <c r="G493" s="642"/>
      <c r="H493" s="642"/>
      <c r="I493" s="642"/>
      <c r="J493" s="642"/>
      <c r="K493" s="642"/>
      <c r="L493" s="642"/>
      <c r="M493" s="642"/>
      <c r="N493" s="642"/>
      <c r="O493" s="642"/>
      <c r="P493" s="642"/>
      <c r="Q493" s="642"/>
    </row>
    <row r="494" spans="2:17" ht="15" x14ac:dyDescent="0.2">
      <c r="B494" s="642"/>
      <c r="C494" s="642"/>
      <c r="D494" s="642"/>
      <c r="E494" s="642"/>
      <c r="F494" s="642"/>
      <c r="G494" s="642"/>
      <c r="H494" s="642"/>
      <c r="I494" s="642"/>
      <c r="J494" s="642"/>
      <c r="K494" s="642"/>
      <c r="L494" s="642"/>
      <c r="M494" s="642"/>
      <c r="N494" s="642"/>
      <c r="O494" s="642"/>
      <c r="P494" s="642"/>
      <c r="Q494" s="642"/>
    </row>
    <row r="495" spans="2:17" ht="15" x14ac:dyDescent="0.2">
      <c r="B495" s="642"/>
      <c r="C495" s="642"/>
      <c r="D495" s="642"/>
      <c r="E495" s="642"/>
      <c r="F495" s="642"/>
      <c r="G495" s="642"/>
      <c r="H495" s="642"/>
      <c r="I495" s="642"/>
      <c r="J495" s="642"/>
      <c r="K495" s="642"/>
      <c r="L495" s="642"/>
      <c r="M495" s="642"/>
      <c r="N495" s="642"/>
      <c r="O495" s="642"/>
      <c r="P495" s="642"/>
      <c r="Q495" s="642"/>
    </row>
    <row r="496" spans="2:17" ht="15" x14ac:dyDescent="0.2">
      <c r="B496" s="642"/>
      <c r="C496" s="642"/>
      <c r="D496" s="642"/>
      <c r="E496" s="642"/>
      <c r="F496" s="642"/>
      <c r="G496" s="642"/>
      <c r="H496" s="642"/>
      <c r="I496" s="642"/>
      <c r="J496" s="642"/>
      <c r="K496" s="642"/>
      <c r="L496" s="642"/>
      <c r="M496" s="642"/>
      <c r="N496" s="642"/>
      <c r="O496" s="642"/>
      <c r="P496" s="642"/>
      <c r="Q496" s="642"/>
    </row>
    <row r="497" spans="2:17" ht="15" x14ac:dyDescent="0.2">
      <c r="B497" s="642"/>
      <c r="C497" s="642"/>
      <c r="D497" s="642"/>
      <c r="E497" s="642"/>
      <c r="F497" s="642"/>
      <c r="G497" s="642"/>
      <c r="H497" s="642"/>
      <c r="I497" s="642"/>
      <c r="J497" s="642"/>
      <c r="K497" s="642"/>
      <c r="L497" s="642"/>
      <c r="M497" s="642"/>
      <c r="N497" s="642"/>
      <c r="O497" s="642"/>
      <c r="P497" s="642"/>
      <c r="Q497" s="642"/>
    </row>
    <row r="498" spans="2:17" ht="15" x14ac:dyDescent="0.2">
      <c r="B498" s="642"/>
      <c r="C498" s="642"/>
      <c r="D498" s="642"/>
      <c r="E498" s="642"/>
      <c r="F498" s="642"/>
      <c r="G498" s="642"/>
      <c r="H498" s="642"/>
      <c r="I498" s="642"/>
      <c r="J498" s="642"/>
      <c r="K498" s="642"/>
      <c r="L498" s="642"/>
      <c r="M498" s="642"/>
      <c r="N498" s="642"/>
      <c r="O498" s="642"/>
      <c r="P498" s="642"/>
      <c r="Q498" s="642"/>
    </row>
    <row r="499" spans="2:17" ht="15" x14ac:dyDescent="0.2">
      <c r="B499" s="642"/>
      <c r="C499" s="642"/>
      <c r="D499" s="642"/>
      <c r="E499" s="642"/>
      <c r="F499" s="642"/>
      <c r="G499" s="642"/>
      <c r="H499" s="642"/>
      <c r="I499" s="642"/>
      <c r="J499" s="642"/>
      <c r="K499" s="642"/>
      <c r="L499" s="642"/>
      <c r="M499" s="642"/>
      <c r="N499" s="642"/>
      <c r="O499" s="642"/>
      <c r="P499" s="642"/>
      <c r="Q499" s="642"/>
    </row>
    <row r="500" spans="2:17" ht="15" x14ac:dyDescent="0.2">
      <c r="B500" s="642"/>
      <c r="C500" s="642"/>
      <c r="D500" s="642"/>
      <c r="E500" s="642"/>
      <c r="F500" s="642"/>
      <c r="G500" s="642"/>
      <c r="H500" s="642"/>
      <c r="I500" s="642"/>
      <c r="J500" s="642"/>
      <c r="K500" s="642"/>
      <c r="L500" s="642"/>
      <c r="M500" s="642"/>
      <c r="N500" s="642"/>
      <c r="O500" s="642"/>
      <c r="P500" s="642"/>
      <c r="Q500" s="642"/>
    </row>
    <row r="501" spans="2:17" ht="15" x14ac:dyDescent="0.2">
      <c r="B501" s="642"/>
      <c r="C501" s="642"/>
      <c r="D501" s="642"/>
      <c r="E501" s="642"/>
      <c r="F501" s="642"/>
      <c r="G501" s="642"/>
      <c r="H501" s="642"/>
      <c r="I501" s="642"/>
      <c r="J501" s="642"/>
      <c r="K501" s="642"/>
      <c r="L501" s="642"/>
      <c r="M501" s="642"/>
      <c r="N501" s="642"/>
      <c r="O501" s="642"/>
      <c r="P501" s="642"/>
      <c r="Q501" s="642"/>
    </row>
    <row r="502" spans="2:17" ht="15" x14ac:dyDescent="0.2">
      <c r="B502" s="642"/>
      <c r="C502" s="642"/>
      <c r="D502" s="642"/>
      <c r="E502" s="642"/>
      <c r="F502" s="642"/>
      <c r="G502" s="642"/>
      <c r="H502" s="642"/>
      <c r="I502" s="642"/>
      <c r="J502" s="642"/>
      <c r="K502" s="642"/>
      <c r="L502" s="642"/>
      <c r="M502" s="642"/>
      <c r="N502" s="642"/>
      <c r="O502" s="642"/>
      <c r="P502" s="642"/>
      <c r="Q502" s="642"/>
    </row>
    <row r="503" spans="2:17" ht="15" x14ac:dyDescent="0.2">
      <c r="B503" s="642"/>
      <c r="C503" s="642"/>
      <c r="D503" s="642"/>
      <c r="E503" s="642"/>
      <c r="F503" s="642"/>
      <c r="G503" s="642"/>
      <c r="H503" s="642"/>
      <c r="I503" s="642"/>
      <c r="J503" s="642"/>
      <c r="K503" s="642"/>
      <c r="L503" s="642"/>
      <c r="M503" s="642"/>
      <c r="N503" s="642"/>
      <c r="O503" s="642"/>
      <c r="P503" s="642"/>
      <c r="Q503" s="642"/>
    </row>
    <row r="504" spans="2:17" ht="15" x14ac:dyDescent="0.2">
      <c r="B504" s="642"/>
      <c r="C504" s="642"/>
      <c r="D504" s="642"/>
      <c r="E504" s="642"/>
      <c r="F504" s="642"/>
      <c r="G504" s="642"/>
      <c r="H504" s="642"/>
      <c r="I504" s="642"/>
      <c r="J504" s="642"/>
      <c r="K504" s="642"/>
      <c r="L504" s="642"/>
      <c r="M504" s="642"/>
      <c r="N504" s="642"/>
      <c r="O504" s="642"/>
      <c r="P504" s="642"/>
      <c r="Q504" s="642"/>
    </row>
    <row r="505" spans="2:17" ht="15" x14ac:dyDescent="0.2">
      <c r="B505" s="642"/>
      <c r="C505" s="642"/>
      <c r="D505" s="642"/>
      <c r="E505" s="642"/>
      <c r="F505" s="642"/>
      <c r="G505" s="642"/>
      <c r="H505" s="642"/>
      <c r="I505" s="642"/>
      <c r="J505" s="642"/>
      <c r="K505" s="642"/>
      <c r="L505" s="642"/>
      <c r="M505" s="642"/>
      <c r="N505" s="642"/>
      <c r="O505" s="642"/>
      <c r="P505" s="642"/>
      <c r="Q505" s="642"/>
    </row>
    <row r="506" spans="2:17" ht="15" x14ac:dyDescent="0.2">
      <c r="B506" s="642"/>
      <c r="C506" s="642"/>
      <c r="D506" s="642"/>
      <c r="E506" s="642"/>
      <c r="F506" s="642"/>
      <c r="G506" s="642"/>
      <c r="H506" s="642"/>
      <c r="I506" s="642"/>
      <c r="J506" s="642"/>
      <c r="K506" s="642"/>
      <c r="L506" s="642"/>
      <c r="M506" s="642"/>
      <c r="N506" s="642"/>
      <c r="O506" s="642"/>
      <c r="P506" s="642"/>
      <c r="Q506" s="642"/>
    </row>
    <row r="507" spans="2:17" ht="15" x14ac:dyDescent="0.2">
      <c r="B507" s="642"/>
      <c r="C507" s="642"/>
      <c r="D507" s="642"/>
      <c r="E507" s="642"/>
      <c r="F507" s="642"/>
      <c r="G507" s="642"/>
      <c r="H507" s="642"/>
      <c r="I507" s="642"/>
      <c r="J507" s="642"/>
      <c r="K507" s="642"/>
      <c r="L507" s="642"/>
      <c r="M507" s="642"/>
      <c r="N507" s="642"/>
      <c r="O507" s="642"/>
      <c r="P507" s="642"/>
      <c r="Q507" s="642"/>
    </row>
    <row r="508" spans="2:17" ht="15" x14ac:dyDescent="0.2">
      <c r="B508" s="642"/>
      <c r="C508" s="642"/>
      <c r="D508" s="642"/>
      <c r="E508" s="642"/>
      <c r="F508" s="642"/>
      <c r="G508" s="642"/>
      <c r="H508" s="642"/>
      <c r="I508" s="642"/>
      <c r="J508" s="642"/>
      <c r="K508" s="642"/>
      <c r="L508" s="642"/>
      <c r="M508" s="642"/>
      <c r="N508" s="642"/>
      <c r="O508" s="642"/>
      <c r="P508" s="642"/>
      <c r="Q508" s="642"/>
    </row>
    <row r="509" spans="2:17" ht="15" x14ac:dyDescent="0.2">
      <c r="B509" s="642"/>
      <c r="C509" s="642"/>
      <c r="D509" s="642"/>
      <c r="E509" s="642"/>
      <c r="F509" s="642"/>
      <c r="G509" s="642"/>
      <c r="H509" s="642"/>
      <c r="I509" s="642"/>
      <c r="J509" s="642"/>
      <c r="K509" s="642"/>
      <c r="L509" s="642"/>
      <c r="M509" s="642"/>
      <c r="N509" s="642"/>
      <c r="O509" s="642"/>
      <c r="P509" s="642"/>
      <c r="Q509" s="642"/>
    </row>
    <row r="510" spans="2:17" ht="15" x14ac:dyDescent="0.2">
      <c r="B510" s="642"/>
      <c r="C510" s="642"/>
      <c r="D510" s="642"/>
      <c r="E510" s="642"/>
      <c r="F510" s="642"/>
      <c r="G510" s="642"/>
      <c r="H510" s="642"/>
      <c r="I510" s="642"/>
      <c r="J510" s="642"/>
      <c r="K510" s="642"/>
      <c r="L510" s="642"/>
      <c r="M510" s="642"/>
      <c r="N510" s="642"/>
      <c r="O510" s="642"/>
      <c r="P510" s="642"/>
      <c r="Q510" s="642"/>
    </row>
    <row r="511" spans="2:17" ht="15" x14ac:dyDescent="0.2">
      <c r="B511" s="642"/>
      <c r="C511" s="642"/>
      <c r="D511" s="642"/>
      <c r="E511" s="642"/>
      <c r="F511" s="642"/>
      <c r="G511" s="642"/>
      <c r="H511" s="642"/>
      <c r="I511" s="642"/>
      <c r="J511" s="642"/>
      <c r="K511" s="642"/>
      <c r="L511" s="642"/>
      <c r="M511" s="642"/>
      <c r="N511" s="642"/>
      <c r="O511" s="642"/>
      <c r="P511" s="642"/>
      <c r="Q511" s="642"/>
    </row>
    <row r="512" spans="2:17" ht="15" x14ac:dyDescent="0.2">
      <c r="B512" s="642"/>
      <c r="C512" s="642"/>
      <c r="D512" s="642"/>
      <c r="E512" s="642"/>
      <c r="F512" s="642"/>
      <c r="G512" s="642"/>
      <c r="H512" s="642"/>
      <c r="I512" s="642"/>
      <c r="J512" s="642"/>
      <c r="K512" s="642"/>
      <c r="L512" s="642"/>
      <c r="M512" s="642"/>
      <c r="N512" s="642"/>
      <c r="O512" s="642"/>
      <c r="P512" s="642"/>
      <c r="Q512" s="642"/>
    </row>
    <row r="513" spans="2:17" ht="15" x14ac:dyDescent="0.2">
      <c r="B513" s="642"/>
      <c r="C513" s="642"/>
      <c r="D513" s="642"/>
      <c r="E513" s="642"/>
      <c r="F513" s="642"/>
      <c r="G513" s="642"/>
      <c r="H513" s="642"/>
      <c r="I513" s="642"/>
      <c r="J513" s="642"/>
      <c r="K513" s="642"/>
      <c r="L513" s="642"/>
      <c r="M513" s="642"/>
      <c r="N513" s="642"/>
      <c r="O513" s="642"/>
      <c r="P513" s="642"/>
      <c r="Q513" s="642"/>
    </row>
    <row r="514" spans="2:17" ht="15" x14ac:dyDescent="0.2">
      <c r="B514" s="642"/>
      <c r="C514" s="642"/>
      <c r="D514" s="642"/>
      <c r="E514" s="642"/>
      <c r="F514" s="642"/>
      <c r="G514" s="642"/>
      <c r="H514" s="642"/>
      <c r="I514" s="642"/>
      <c r="J514" s="642"/>
      <c r="K514" s="642"/>
      <c r="L514" s="642"/>
      <c r="M514" s="642"/>
      <c r="N514" s="642"/>
      <c r="O514" s="642"/>
      <c r="P514" s="642"/>
      <c r="Q514" s="642"/>
    </row>
    <row r="515" spans="2:17" ht="15" x14ac:dyDescent="0.2">
      <c r="B515" s="642"/>
      <c r="C515" s="642"/>
      <c r="D515" s="642"/>
      <c r="E515" s="642"/>
      <c r="F515" s="642"/>
      <c r="G515" s="642"/>
      <c r="H515" s="642"/>
      <c r="I515" s="642"/>
      <c r="J515" s="642"/>
      <c r="K515" s="642"/>
      <c r="L515" s="642"/>
      <c r="M515" s="642"/>
      <c r="N515" s="642"/>
      <c r="O515" s="642"/>
      <c r="P515" s="642"/>
      <c r="Q515" s="642"/>
    </row>
    <row r="516" spans="2:17" ht="15" x14ac:dyDescent="0.2">
      <c r="B516" s="642"/>
      <c r="C516" s="642"/>
      <c r="D516" s="642"/>
      <c r="E516" s="642"/>
      <c r="F516" s="642"/>
      <c r="G516" s="642"/>
      <c r="H516" s="642"/>
      <c r="I516" s="642"/>
      <c r="J516" s="642"/>
      <c r="K516" s="642"/>
      <c r="L516" s="642"/>
      <c r="M516" s="642"/>
      <c r="N516" s="642"/>
      <c r="O516" s="642"/>
      <c r="P516" s="642"/>
      <c r="Q516" s="642"/>
    </row>
    <row r="517" spans="2:17" ht="15" x14ac:dyDescent="0.2">
      <c r="B517" s="642"/>
      <c r="C517" s="642"/>
      <c r="D517" s="642"/>
      <c r="E517" s="642"/>
      <c r="F517" s="642"/>
      <c r="G517" s="642"/>
      <c r="H517" s="642"/>
      <c r="I517" s="642"/>
      <c r="J517" s="642"/>
      <c r="K517" s="642"/>
      <c r="L517" s="642"/>
      <c r="M517" s="642"/>
      <c r="N517" s="642"/>
      <c r="O517" s="642"/>
      <c r="P517" s="642"/>
      <c r="Q517" s="642"/>
    </row>
    <row r="518" spans="2:17" ht="15" x14ac:dyDescent="0.2">
      <c r="B518" s="642"/>
      <c r="C518" s="642"/>
      <c r="D518" s="642"/>
      <c r="E518" s="642"/>
      <c r="F518" s="642"/>
      <c r="G518" s="642"/>
      <c r="H518" s="642"/>
      <c r="I518" s="642"/>
      <c r="J518" s="642"/>
      <c r="K518" s="642"/>
      <c r="L518" s="642"/>
      <c r="M518" s="642"/>
      <c r="N518" s="642"/>
      <c r="O518" s="642"/>
      <c r="P518" s="642"/>
      <c r="Q518" s="642"/>
    </row>
    <row r="519" spans="2:17" ht="15" x14ac:dyDescent="0.2">
      <c r="B519" s="642"/>
      <c r="C519" s="642"/>
      <c r="D519" s="642"/>
      <c r="E519" s="642"/>
      <c r="F519" s="642"/>
      <c r="G519" s="642"/>
      <c r="H519" s="642"/>
      <c r="I519" s="642"/>
      <c r="J519" s="642"/>
      <c r="K519" s="642"/>
      <c r="L519" s="642"/>
      <c r="M519" s="642"/>
      <c r="N519" s="642"/>
      <c r="O519" s="642"/>
      <c r="P519" s="642"/>
      <c r="Q519" s="642"/>
    </row>
    <row r="520" spans="2:17" ht="15" x14ac:dyDescent="0.2">
      <c r="B520" s="642"/>
      <c r="C520" s="642"/>
      <c r="D520" s="642"/>
      <c r="E520" s="642"/>
      <c r="F520" s="642"/>
      <c r="G520" s="642"/>
      <c r="H520" s="642"/>
      <c r="I520" s="642"/>
      <c r="J520" s="642"/>
      <c r="K520" s="642"/>
      <c r="L520" s="642"/>
      <c r="M520" s="642"/>
      <c r="N520" s="642"/>
      <c r="O520" s="642"/>
      <c r="P520" s="642"/>
      <c r="Q520" s="642"/>
    </row>
    <row r="521" spans="2:17" ht="15" x14ac:dyDescent="0.2">
      <c r="B521" s="642"/>
      <c r="C521" s="642"/>
      <c r="D521" s="642"/>
      <c r="E521" s="642"/>
      <c r="F521" s="642"/>
      <c r="G521" s="642"/>
      <c r="H521" s="642"/>
      <c r="I521" s="642"/>
      <c r="J521" s="642"/>
      <c r="K521" s="642"/>
      <c r="L521" s="642"/>
      <c r="M521" s="642"/>
      <c r="N521" s="642"/>
      <c r="O521" s="642"/>
      <c r="P521" s="642"/>
      <c r="Q521" s="642"/>
    </row>
    <row r="522" spans="2:17" ht="15" x14ac:dyDescent="0.2">
      <c r="B522" s="642"/>
      <c r="C522" s="642"/>
      <c r="D522" s="642"/>
      <c r="E522" s="642"/>
      <c r="F522" s="642"/>
      <c r="G522" s="642"/>
      <c r="H522" s="642"/>
      <c r="I522" s="642"/>
      <c r="J522" s="642"/>
      <c r="K522" s="642"/>
      <c r="L522" s="642"/>
      <c r="M522" s="642"/>
      <c r="N522" s="642"/>
      <c r="O522" s="642"/>
      <c r="P522" s="642"/>
      <c r="Q522" s="642"/>
    </row>
    <row r="523" spans="2:17" ht="15" x14ac:dyDescent="0.2">
      <c r="B523" s="642"/>
      <c r="C523" s="642"/>
      <c r="D523" s="642"/>
      <c r="E523" s="642"/>
      <c r="F523" s="642"/>
      <c r="G523" s="642"/>
      <c r="H523" s="642"/>
      <c r="I523" s="642"/>
      <c r="J523" s="642"/>
      <c r="K523" s="642"/>
      <c r="L523" s="642"/>
      <c r="M523" s="642"/>
      <c r="N523" s="642"/>
      <c r="O523" s="642"/>
      <c r="P523" s="642"/>
      <c r="Q523" s="642"/>
    </row>
    <row r="524" spans="2:17" ht="15" x14ac:dyDescent="0.2">
      <c r="B524" s="642"/>
      <c r="C524" s="642"/>
      <c r="D524" s="642"/>
      <c r="E524" s="642"/>
      <c r="F524" s="642"/>
      <c r="G524" s="642"/>
      <c r="H524" s="642"/>
      <c r="I524" s="642"/>
      <c r="J524" s="642"/>
      <c r="K524" s="642"/>
      <c r="L524" s="642"/>
      <c r="M524" s="642"/>
      <c r="N524" s="642"/>
      <c r="O524" s="642"/>
      <c r="P524" s="642"/>
      <c r="Q524" s="642"/>
    </row>
    <row r="525" spans="2:17" ht="15" x14ac:dyDescent="0.2">
      <c r="B525" s="642"/>
      <c r="C525" s="642"/>
      <c r="D525" s="642"/>
      <c r="E525" s="642"/>
      <c r="F525" s="642"/>
      <c r="G525" s="642"/>
      <c r="H525" s="642"/>
      <c r="I525" s="642"/>
      <c r="J525" s="642"/>
      <c r="K525" s="642"/>
      <c r="L525" s="642"/>
      <c r="M525" s="642"/>
      <c r="N525" s="642"/>
      <c r="O525" s="642"/>
      <c r="P525" s="642"/>
      <c r="Q525" s="642"/>
    </row>
    <row r="526" spans="2:17" ht="15" x14ac:dyDescent="0.2">
      <c r="B526" s="642"/>
      <c r="C526" s="642"/>
      <c r="D526" s="642"/>
      <c r="E526" s="642"/>
      <c r="F526" s="642"/>
      <c r="G526" s="642"/>
      <c r="H526" s="642"/>
      <c r="I526" s="642"/>
      <c r="J526" s="642"/>
      <c r="K526" s="642"/>
      <c r="L526" s="642"/>
      <c r="M526" s="642"/>
      <c r="N526" s="642"/>
      <c r="O526" s="642"/>
      <c r="P526" s="642"/>
      <c r="Q526" s="642"/>
    </row>
    <row r="527" spans="2:17" ht="15" x14ac:dyDescent="0.2">
      <c r="B527" s="642"/>
      <c r="C527" s="642"/>
      <c r="D527" s="642"/>
      <c r="E527" s="642"/>
      <c r="F527" s="642"/>
      <c r="G527" s="642"/>
      <c r="H527" s="642"/>
      <c r="I527" s="642"/>
      <c r="J527" s="642"/>
      <c r="K527" s="642"/>
      <c r="L527" s="642"/>
      <c r="M527" s="642"/>
      <c r="N527" s="642"/>
      <c r="O527" s="642"/>
      <c r="P527" s="642"/>
      <c r="Q527" s="642"/>
    </row>
    <row r="528" spans="2:17" ht="15" x14ac:dyDescent="0.2">
      <c r="B528" s="642"/>
      <c r="C528" s="642"/>
      <c r="D528" s="642"/>
      <c r="E528" s="642"/>
      <c r="F528" s="642"/>
      <c r="G528" s="642"/>
      <c r="H528" s="642"/>
      <c r="I528" s="642"/>
      <c r="J528" s="642"/>
      <c r="K528" s="642"/>
      <c r="L528" s="642"/>
      <c r="M528" s="642"/>
      <c r="N528" s="642"/>
      <c r="O528" s="642"/>
      <c r="P528" s="642"/>
      <c r="Q528" s="642"/>
    </row>
    <row r="529" spans="2:17" ht="15" x14ac:dyDescent="0.2">
      <c r="B529" s="642"/>
      <c r="C529" s="642"/>
      <c r="D529" s="642"/>
      <c r="E529" s="642"/>
      <c r="F529" s="642"/>
      <c r="G529" s="642"/>
      <c r="H529" s="642"/>
      <c r="I529" s="642"/>
      <c r="J529" s="642"/>
      <c r="K529" s="642"/>
      <c r="L529" s="642"/>
      <c r="M529" s="642"/>
      <c r="N529" s="642"/>
      <c r="O529" s="642"/>
      <c r="P529" s="642"/>
      <c r="Q529" s="642"/>
    </row>
    <row r="530" spans="2:17" ht="15" x14ac:dyDescent="0.2">
      <c r="B530" s="642"/>
      <c r="C530" s="642"/>
      <c r="D530" s="642"/>
      <c r="E530" s="642"/>
      <c r="F530" s="642"/>
      <c r="G530" s="642"/>
      <c r="H530" s="642"/>
      <c r="I530" s="642"/>
      <c r="J530" s="642"/>
      <c r="K530" s="642"/>
      <c r="L530" s="642"/>
      <c r="M530" s="642"/>
      <c r="N530" s="642"/>
      <c r="O530" s="642"/>
      <c r="P530" s="642"/>
      <c r="Q530" s="642"/>
    </row>
    <row r="531" spans="2:17" ht="15" x14ac:dyDescent="0.2">
      <c r="B531" s="642"/>
      <c r="C531" s="642"/>
      <c r="D531" s="642"/>
      <c r="E531" s="642"/>
      <c r="F531" s="642"/>
      <c r="G531" s="642"/>
      <c r="H531" s="642"/>
      <c r="I531" s="642"/>
      <c r="J531" s="642"/>
      <c r="K531" s="642"/>
      <c r="L531" s="642"/>
      <c r="M531" s="642"/>
      <c r="N531" s="642"/>
      <c r="O531" s="642"/>
      <c r="P531" s="642"/>
      <c r="Q531" s="642"/>
    </row>
    <row r="532" spans="2:17" ht="15" x14ac:dyDescent="0.2">
      <c r="B532" s="642"/>
      <c r="C532" s="642"/>
      <c r="D532" s="642"/>
      <c r="E532" s="642"/>
      <c r="F532" s="642"/>
      <c r="G532" s="642"/>
      <c r="H532" s="642"/>
      <c r="I532" s="642"/>
      <c r="J532" s="642"/>
      <c r="K532" s="642"/>
      <c r="L532" s="642"/>
      <c r="M532" s="642"/>
      <c r="N532" s="642"/>
      <c r="O532" s="642"/>
      <c r="P532" s="642"/>
      <c r="Q532" s="642"/>
    </row>
    <row r="533" spans="2:17" ht="15" x14ac:dyDescent="0.2">
      <c r="B533" s="642"/>
      <c r="C533" s="642"/>
      <c r="D533" s="642"/>
      <c r="E533" s="642"/>
      <c r="F533" s="642"/>
      <c r="G533" s="642"/>
      <c r="H533" s="642"/>
      <c r="I533" s="642"/>
      <c r="J533" s="642"/>
      <c r="K533" s="642"/>
      <c r="L533" s="642"/>
      <c r="M533" s="642"/>
      <c r="N533" s="642"/>
      <c r="O533" s="642"/>
      <c r="P533" s="642"/>
      <c r="Q533" s="642"/>
    </row>
    <row r="534" spans="2:17" ht="15" x14ac:dyDescent="0.2">
      <c r="B534" s="642"/>
      <c r="C534" s="642"/>
      <c r="D534" s="642"/>
      <c r="E534" s="642"/>
      <c r="F534" s="642"/>
      <c r="G534" s="642"/>
      <c r="H534" s="642"/>
      <c r="I534" s="642"/>
      <c r="J534" s="642"/>
      <c r="K534" s="642"/>
      <c r="L534" s="642"/>
      <c r="M534" s="642"/>
      <c r="N534" s="642"/>
      <c r="O534" s="642"/>
      <c r="P534" s="642"/>
      <c r="Q534" s="642"/>
    </row>
    <row r="535" spans="2:17" ht="15" x14ac:dyDescent="0.2">
      <c r="B535" s="642"/>
      <c r="C535" s="642"/>
      <c r="D535" s="642"/>
      <c r="E535" s="642"/>
      <c r="F535" s="642"/>
      <c r="G535" s="642"/>
      <c r="H535" s="642"/>
      <c r="I535" s="642"/>
      <c r="J535" s="642"/>
      <c r="K535" s="642"/>
      <c r="L535" s="642"/>
      <c r="M535" s="642"/>
      <c r="N535" s="642"/>
      <c r="O535" s="642"/>
      <c r="P535" s="642"/>
      <c r="Q535" s="642"/>
    </row>
    <row r="536" spans="2:17" ht="15" x14ac:dyDescent="0.2">
      <c r="B536" s="642"/>
      <c r="C536" s="642"/>
      <c r="D536" s="642"/>
      <c r="E536" s="642"/>
      <c r="F536" s="642"/>
      <c r="G536" s="642"/>
      <c r="H536" s="642"/>
      <c r="I536" s="642"/>
      <c r="J536" s="642"/>
      <c r="K536" s="642"/>
      <c r="L536" s="642"/>
      <c r="M536" s="642"/>
      <c r="N536" s="642"/>
      <c r="O536" s="642"/>
      <c r="P536" s="642"/>
      <c r="Q536" s="642"/>
    </row>
    <row r="537" spans="2:17" ht="15" x14ac:dyDescent="0.2">
      <c r="B537" s="642"/>
      <c r="C537" s="642"/>
      <c r="D537" s="642"/>
      <c r="E537" s="642"/>
      <c r="F537" s="642"/>
      <c r="G537" s="642"/>
      <c r="H537" s="642"/>
      <c r="I537" s="642"/>
      <c r="J537" s="642"/>
      <c r="K537" s="642"/>
      <c r="L537" s="642"/>
      <c r="M537" s="642"/>
      <c r="N537" s="642"/>
      <c r="O537" s="642"/>
      <c r="P537" s="642"/>
      <c r="Q537" s="642"/>
    </row>
    <row r="538" spans="2:17" ht="15" x14ac:dyDescent="0.2">
      <c r="B538" s="642"/>
      <c r="C538" s="642"/>
      <c r="D538" s="642"/>
      <c r="E538" s="642"/>
      <c r="F538" s="642"/>
      <c r="G538" s="642"/>
      <c r="H538" s="642"/>
      <c r="I538" s="642"/>
      <c r="J538" s="642"/>
      <c r="K538" s="642"/>
      <c r="L538" s="642"/>
      <c r="M538" s="642"/>
      <c r="N538" s="642"/>
      <c r="O538" s="642"/>
      <c r="P538" s="642"/>
      <c r="Q538" s="642"/>
    </row>
    <row r="539" spans="2:17" ht="15" x14ac:dyDescent="0.2">
      <c r="B539" s="642"/>
      <c r="C539" s="642"/>
      <c r="D539" s="642"/>
      <c r="E539" s="642"/>
      <c r="F539" s="642"/>
      <c r="G539" s="642"/>
      <c r="H539" s="642"/>
      <c r="I539" s="642"/>
      <c r="J539" s="642"/>
      <c r="K539" s="642"/>
      <c r="L539" s="642"/>
      <c r="M539" s="642"/>
      <c r="N539" s="642"/>
      <c r="O539" s="642"/>
      <c r="P539" s="642"/>
      <c r="Q539" s="642"/>
    </row>
    <row r="540" spans="2:17" ht="15" x14ac:dyDescent="0.2">
      <c r="B540" s="642"/>
      <c r="C540" s="642"/>
      <c r="D540" s="642"/>
      <c r="E540" s="642"/>
      <c r="F540" s="642"/>
      <c r="G540" s="642"/>
      <c r="H540" s="642"/>
      <c r="I540" s="642"/>
      <c r="J540" s="642"/>
      <c r="K540" s="642"/>
      <c r="L540" s="642"/>
      <c r="M540" s="642"/>
      <c r="N540" s="642"/>
      <c r="O540" s="642"/>
      <c r="P540" s="642"/>
      <c r="Q540" s="642"/>
    </row>
    <row r="541" spans="2:17" ht="15" x14ac:dyDescent="0.2">
      <c r="B541" s="642"/>
      <c r="C541" s="642"/>
      <c r="D541" s="642"/>
      <c r="E541" s="642"/>
      <c r="F541" s="642"/>
      <c r="G541" s="642"/>
      <c r="H541" s="642"/>
      <c r="I541" s="642"/>
      <c r="J541" s="642"/>
      <c r="K541" s="642"/>
      <c r="L541" s="642"/>
      <c r="M541" s="642"/>
      <c r="N541" s="642"/>
      <c r="O541" s="642"/>
      <c r="P541" s="642"/>
      <c r="Q541" s="642"/>
    </row>
    <row r="542" spans="2:17" ht="15" x14ac:dyDescent="0.2">
      <c r="B542" s="642"/>
      <c r="C542" s="642"/>
      <c r="D542" s="642"/>
      <c r="E542" s="642"/>
      <c r="F542" s="642"/>
      <c r="G542" s="642"/>
      <c r="H542" s="642"/>
      <c r="I542" s="642"/>
      <c r="J542" s="642"/>
      <c r="K542" s="642"/>
      <c r="L542" s="642"/>
      <c r="M542" s="642"/>
      <c r="N542" s="642"/>
      <c r="O542" s="642"/>
      <c r="P542" s="642"/>
      <c r="Q542" s="642"/>
    </row>
    <row r="543" spans="2:17" ht="15" x14ac:dyDescent="0.2">
      <c r="B543" s="642"/>
      <c r="C543" s="642"/>
      <c r="D543" s="642"/>
      <c r="E543" s="642"/>
      <c r="F543" s="642"/>
      <c r="G543" s="642"/>
      <c r="H543" s="642"/>
      <c r="I543" s="642"/>
      <c r="J543" s="642"/>
      <c r="K543" s="642"/>
      <c r="L543" s="642"/>
      <c r="M543" s="642"/>
      <c r="N543" s="642"/>
      <c r="O543" s="642"/>
      <c r="P543" s="642"/>
      <c r="Q543" s="642"/>
    </row>
    <row r="544" spans="2:17" ht="15" x14ac:dyDescent="0.2">
      <c r="B544" s="642"/>
      <c r="C544" s="642"/>
      <c r="D544" s="642"/>
      <c r="E544" s="642"/>
      <c r="F544" s="642"/>
      <c r="G544" s="642"/>
      <c r="H544" s="642"/>
      <c r="I544" s="642"/>
      <c r="J544" s="642"/>
      <c r="K544" s="642"/>
      <c r="L544" s="642"/>
      <c r="M544" s="642"/>
      <c r="N544" s="642"/>
      <c r="O544" s="642"/>
      <c r="P544" s="642"/>
      <c r="Q544" s="642"/>
    </row>
    <row r="545" spans="2:17" ht="15" x14ac:dyDescent="0.2">
      <c r="B545" s="642"/>
      <c r="C545" s="642"/>
      <c r="D545" s="642"/>
      <c r="E545" s="642"/>
      <c r="F545" s="642"/>
      <c r="G545" s="642"/>
      <c r="H545" s="642"/>
      <c r="I545" s="642"/>
      <c r="J545" s="642"/>
      <c r="K545" s="642"/>
      <c r="L545" s="642"/>
      <c r="M545" s="642"/>
      <c r="N545" s="642"/>
      <c r="O545" s="642"/>
      <c r="P545" s="642"/>
      <c r="Q545" s="642"/>
    </row>
    <row r="546" spans="2:17" ht="15" x14ac:dyDescent="0.2">
      <c r="B546" s="642"/>
      <c r="C546" s="642"/>
      <c r="D546" s="642"/>
      <c r="E546" s="642"/>
      <c r="F546" s="642"/>
      <c r="G546" s="642"/>
      <c r="H546" s="642"/>
      <c r="I546" s="642"/>
      <c r="J546" s="642"/>
      <c r="K546" s="642"/>
      <c r="L546" s="642"/>
      <c r="M546" s="642"/>
      <c r="N546" s="642"/>
      <c r="O546" s="642"/>
      <c r="P546" s="642"/>
      <c r="Q546" s="642"/>
    </row>
    <row r="547" spans="2:17" ht="15" x14ac:dyDescent="0.2">
      <c r="B547" s="642"/>
      <c r="C547" s="642"/>
      <c r="D547" s="642"/>
      <c r="E547" s="642"/>
      <c r="F547" s="642"/>
      <c r="G547" s="642"/>
      <c r="H547" s="642"/>
      <c r="I547" s="642"/>
      <c r="J547" s="642"/>
      <c r="K547" s="642"/>
      <c r="L547" s="642"/>
      <c r="M547" s="642"/>
      <c r="N547" s="642"/>
      <c r="O547" s="642"/>
      <c r="P547" s="642"/>
      <c r="Q547" s="642"/>
    </row>
    <row r="548" spans="2:17" ht="15" x14ac:dyDescent="0.2">
      <c r="B548" s="642"/>
      <c r="C548" s="642"/>
      <c r="D548" s="642"/>
      <c r="E548" s="642"/>
      <c r="F548" s="642"/>
      <c r="G548" s="642"/>
      <c r="H548" s="642"/>
      <c r="I548" s="642"/>
      <c r="J548" s="642"/>
      <c r="K548" s="642"/>
      <c r="L548" s="642"/>
      <c r="M548" s="642"/>
      <c r="N548" s="642"/>
      <c r="O548" s="642"/>
      <c r="P548" s="642"/>
      <c r="Q548" s="642"/>
    </row>
    <row r="549" spans="2:17" ht="15" x14ac:dyDescent="0.2">
      <c r="B549" s="642"/>
      <c r="C549" s="642"/>
      <c r="D549" s="642"/>
      <c r="E549" s="642"/>
      <c r="F549" s="642"/>
      <c r="G549" s="642"/>
      <c r="H549" s="642"/>
      <c r="I549" s="642"/>
      <c r="J549" s="642"/>
      <c r="K549" s="642"/>
      <c r="L549" s="642"/>
      <c r="M549" s="642"/>
      <c r="N549" s="642"/>
      <c r="O549" s="642"/>
      <c r="P549" s="642"/>
      <c r="Q549" s="642"/>
    </row>
    <row r="550" spans="2:17" ht="15" x14ac:dyDescent="0.2">
      <c r="B550" s="642"/>
      <c r="C550" s="642"/>
      <c r="D550" s="642"/>
      <c r="E550" s="642"/>
      <c r="F550" s="642"/>
      <c r="G550" s="642"/>
      <c r="H550" s="642"/>
      <c r="I550" s="642"/>
      <c r="J550" s="642"/>
      <c r="K550" s="642"/>
      <c r="L550" s="642"/>
      <c r="M550" s="642"/>
      <c r="N550" s="642"/>
      <c r="O550" s="642"/>
      <c r="P550" s="642"/>
      <c r="Q550" s="642"/>
    </row>
    <row r="551" spans="2:17" ht="15" x14ac:dyDescent="0.2">
      <c r="B551" s="642"/>
      <c r="C551" s="642"/>
      <c r="D551" s="642"/>
      <c r="E551" s="642"/>
      <c r="F551" s="642"/>
      <c r="G551" s="642"/>
      <c r="H551" s="642"/>
      <c r="I551" s="642"/>
      <c r="J551" s="642"/>
      <c r="K551" s="642"/>
      <c r="L551" s="642"/>
      <c r="M551" s="642"/>
      <c r="N551" s="642"/>
      <c r="O551" s="642"/>
      <c r="P551" s="642"/>
      <c r="Q551" s="642"/>
    </row>
    <row r="552" spans="2:17" ht="15" x14ac:dyDescent="0.2">
      <c r="B552" s="642"/>
      <c r="C552" s="642"/>
      <c r="D552" s="642"/>
      <c r="E552" s="642"/>
      <c r="F552" s="642"/>
      <c r="G552" s="642"/>
      <c r="H552" s="642"/>
      <c r="I552" s="642"/>
      <c r="J552" s="642"/>
      <c r="K552" s="642"/>
      <c r="L552" s="642"/>
      <c r="M552" s="642"/>
      <c r="N552" s="642"/>
      <c r="O552" s="642"/>
      <c r="P552" s="642"/>
      <c r="Q552" s="642"/>
    </row>
    <row r="553" spans="2:17" ht="15" x14ac:dyDescent="0.2">
      <c r="B553" s="642"/>
      <c r="C553" s="642"/>
      <c r="D553" s="642"/>
      <c r="E553" s="642"/>
      <c r="F553" s="642"/>
      <c r="G553" s="642"/>
      <c r="H553" s="642"/>
      <c r="I553" s="642"/>
      <c r="J553" s="642"/>
      <c r="K553" s="642"/>
      <c r="L553" s="642"/>
      <c r="M553" s="642"/>
      <c r="N553" s="642"/>
      <c r="O553" s="642"/>
      <c r="P553" s="642"/>
      <c r="Q553" s="642"/>
    </row>
    <row r="554" spans="2:17" ht="15" x14ac:dyDescent="0.2">
      <c r="B554" s="642"/>
      <c r="C554" s="642"/>
      <c r="D554" s="642"/>
      <c r="E554" s="642"/>
      <c r="F554" s="642"/>
      <c r="G554" s="642"/>
      <c r="H554" s="642"/>
      <c r="I554" s="642"/>
      <c r="J554" s="642"/>
      <c r="K554" s="642"/>
      <c r="L554" s="642"/>
      <c r="M554" s="642"/>
      <c r="N554" s="642"/>
      <c r="O554" s="642"/>
      <c r="P554" s="642"/>
      <c r="Q554" s="642"/>
    </row>
    <row r="555" spans="2:17" ht="15" x14ac:dyDescent="0.2">
      <c r="B555" s="642"/>
      <c r="C555" s="642"/>
      <c r="D555" s="642"/>
      <c r="E555" s="642"/>
      <c r="F555" s="642"/>
      <c r="G555" s="642"/>
      <c r="H555" s="642"/>
      <c r="I555" s="642"/>
      <c r="J555" s="642"/>
      <c r="K555" s="642"/>
      <c r="L555" s="642"/>
      <c r="M555" s="642"/>
      <c r="N555" s="642"/>
      <c r="O555" s="642"/>
      <c r="P555" s="642"/>
      <c r="Q555" s="642"/>
    </row>
    <row r="556" spans="2:17" ht="15" x14ac:dyDescent="0.2">
      <c r="B556" s="642"/>
      <c r="C556" s="642"/>
      <c r="D556" s="642"/>
      <c r="E556" s="642"/>
      <c r="F556" s="642"/>
      <c r="G556" s="642"/>
      <c r="H556" s="642"/>
      <c r="I556" s="642"/>
      <c r="J556" s="642"/>
      <c r="K556" s="642"/>
      <c r="L556" s="642"/>
      <c r="M556" s="642"/>
      <c r="N556" s="642"/>
      <c r="O556" s="642"/>
      <c r="P556" s="642"/>
      <c r="Q556" s="642"/>
    </row>
    <row r="557" spans="2:17" ht="15" x14ac:dyDescent="0.2">
      <c r="B557" s="642"/>
      <c r="C557" s="642"/>
      <c r="D557" s="642"/>
      <c r="E557" s="642"/>
      <c r="F557" s="642"/>
      <c r="G557" s="642"/>
      <c r="H557" s="642"/>
      <c r="I557" s="642"/>
      <c r="J557" s="642"/>
      <c r="K557" s="642"/>
      <c r="L557" s="642"/>
      <c r="M557" s="642"/>
      <c r="N557" s="642"/>
      <c r="O557" s="642"/>
      <c r="P557" s="642"/>
      <c r="Q557" s="642"/>
    </row>
    <row r="558" spans="2:17" ht="15" x14ac:dyDescent="0.2">
      <c r="B558" s="642"/>
      <c r="C558" s="642"/>
      <c r="D558" s="642"/>
      <c r="E558" s="642"/>
      <c r="F558" s="642"/>
      <c r="G558" s="642"/>
      <c r="H558" s="642"/>
      <c r="I558" s="642"/>
      <c r="J558" s="642"/>
      <c r="K558" s="642"/>
      <c r="L558" s="642"/>
      <c r="M558" s="642"/>
      <c r="N558" s="642"/>
      <c r="O558" s="642"/>
      <c r="P558" s="642"/>
      <c r="Q558" s="642"/>
    </row>
    <row r="559" spans="2:17" ht="15" x14ac:dyDescent="0.2">
      <c r="B559" s="642"/>
      <c r="C559" s="642"/>
      <c r="D559" s="642"/>
      <c r="E559" s="642"/>
      <c r="F559" s="642"/>
      <c r="G559" s="642"/>
      <c r="H559" s="642"/>
      <c r="I559" s="642"/>
      <c r="J559" s="642"/>
      <c r="K559" s="642"/>
      <c r="L559" s="642"/>
      <c r="M559" s="642"/>
      <c r="N559" s="642"/>
      <c r="O559" s="642"/>
      <c r="P559" s="642"/>
      <c r="Q559" s="642"/>
    </row>
    <row r="560" spans="2:17" ht="15" x14ac:dyDescent="0.2">
      <c r="B560" s="642"/>
      <c r="C560" s="642"/>
      <c r="D560" s="642"/>
      <c r="E560" s="642"/>
      <c r="F560" s="642"/>
      <c r="G560" s="642"/>
      <c r="H560" s="642"/>
      <c r="I560" s="642"/>
      <c r="J560" s="642"/>
      <c r="K560" s="642"/>
      <c r="L560" s="642"/>
      <c r="M560" s="642"/>
      <c r="N560" s="642"/>
      <c r="O560" s="642"/>
      <c r="P560" s="642"/>
      <c r="Q560" s="642"/>
    </row>
    <row r="561" spans="2:17" ht="15" x14ac:dyDescent="0.2">
      <c r="B561" s="642"/>
      <c r="C561" s="642"/>
      <c r="D561" s="642"/>
      <c r="E561" s="642"/>
      <c r="F561" s="642"/>
      <c r="G561" s="642"/>
      <c r="H561" s="642"/>
      <c r="I561" s="642"/>
      <c r="J561" s="642"/>
      <c r="K561" s="642"/>
      <c r="L561" s="642"/>
      <c r="M561" s="642"/>
      <c r="N561" s="642"/>
      <c r="O561" s="642"/>
      <c r="P561" s="642"/>
      <c r="Q561" s="642"/>
    </row>
    <row r="562" spans="2:17" ht="15" x14ac:dyDescent="0.2">
      <c r="B562" s="642"/>
      <c r="C562" s="642"/>
      <c r="D562" s="642"/>
      <c r="E562" s="642"/>
      <c r="F562" s="642"/>
      <c r="G562" s="642"/>
      <c r="H562" s="642"/>
      <c r="I562" s="642"/>
      <c r="J562" s="642"/>
      <c r="K562" s="642"/>
      <c r="L562" s="642"/>
      <c r="M562" s="642"/>
      <c r="N562" s="642"/>
      <c r="O562" s="642"/>
      <c r="P562" s="642"/>
      <c r="Q562" s="642"/>
    </row>
    <row r="563" spans="2:17" ht="15" x14ac:dyDescent="0.2">
      <c r="B563" s="642"/>
      <c r="C563" s="642"/>
      <c r="D563" s="642"/>
      <c r="E563" s="642"/>
      <c r="F563" s="642"/>
      <c r="G563" s="642"/>
      <c r="H563" s="642"/>
      <c r="I563" s="642"/>
      <c r="J563" s="642"/>
      <c r="K563" s="642"/>
      <c r="L563" s="642"/>
      <c r="M563" s="642"/>
      <c r="N563" s="642"/>
      <c r="O563" s="642"/>
      <c r="P563" s="642"/>
      <c r="Q563" s="642"/>
    </row>
    <row r="564" spans="2:17" ht="15" x14ac:dyDescent="0.2">
      <c r="B564" s="642"/>
      <c r="C564" s="642"/>
      <c r="D564" s="642"/>
      <c r="E564" s="642"/>
      <c r="F564" s="642"/>
      <c r="G564" s="642"/>
      <c r="H564" s="642"/>
      <c r="I564" s="642"/>
      <c r="J564" s="642"/>
      <c r="K564" s="642"/>
      <c r="L564" s="642"/>
      <c r="M564" s="642"/>
      <c r="N564" s="642"/>
      <c r="O564" s="642"/>
      <c r="P564" s="642"/>
      <c r="Q564" s="642"/>
    </row>
    <row r="565" spans="2:17" ht="15" x14ac:dyDescent="0.2">
      <c r="B565" s="642"/>
      <c r="C565" s="642"/>
      <c r="D565" s="642"/>
      <c r="E565" s="642"/>
      <c r="F565" s="642"/>
      <c r="G565" s="642"/>
      <c r="H565" s="642"/>
      <c r="I565" s="642"/>
      <c r="J565" s="642"/>
      <c r="K565" s="642"/>
      <c r="L565" s="642"/>
      <c r="M565" s="642"/>
      <c r="N565" s="642"/>
      <c r="O565" s="642"/>
      <c r="P565" s="642"/>
      <c r="Q565" s="642"/>
    </row>
    <row r="566" spans="2:17" ht="15" x14ac:dyDescent="0.2">
      <c r="B566" s="642"/>
      <c r="C566" s="642"/>
      <c r="D566" s="642"/>
      <c r="E566" s="642"/>
      <c r="F566" s="642"/>
      <c r="G566" s="642"/>
      <c r="H566" s="642"/>
      <c r="I566" s="642"/>
      <c r="J566" s="642"/>
      <c r="K566" s="642"/>
      <c r="L566" s="642"/>
      <c r="M566" s="642"/>
      <c r="N566" s="642"/>
      <c r="O566" s="642"/>
      <c r="P566" s="642"/>
      <c r="Q566" s="642"/>
    </row>
    <row r="567" spans="2:17" ht="15" x14ac:dyDescent="0.2">
      <c r="B567" s="642"/>
      <c r="C567" s="642"/>
      <c r="D567" s="642"/>
      <c r="E567" s="642"/>
      <c r="F567" s="642"/>
      <c r="G567" s="642"/>
      <c r="H567" s="642"/>
      <c r="I567" s="642"/>
      <c r="J567" s="642"/>
      <c r="K567" s="642"/>
      <c r="L567" s="642"/>
      <c r="M567" s="642"/>
      <c r="N567" s="642"/>
      <c r="O567" s="642"/>
      <c r="P567" s="642"/>
      <c r="Q567" s="642"/>
    </row>
    <row r="568" spans="2:17" ht="15" x14ac:dyDescent="0.2">
      <c r="B568" s="642"/>
      <c r="C568" s="642"/>
      <c r="D568" s="642"/>
      <c r="E568" s="642"/>
      <c r="F568" s="642"/>
      <c r="G568" s="642"/>
      <c r="H568" s="642"/>
      <c r="I568" s="642"/>
      <c r="J568" s="642"/>
      <c r="K568" s="642"/>
      <c r="L568" s="642"/>
      <c r="M568" s="642"/>
      <c r="N568" s="642"/>
      <c r="O568" s="642"/>
      <c r="P568" s="642"/>
      <c r="Q568" s="642"/>
    </row>
    <row r="569" spans="2:17" ht="15" x14ac:dyDescent="0.2">
      <c r="B569" s="642"/>
      <c r="C569" s="642"/>
      <c r="D569" s="642"/>
      <c r="E569" s="642"/>
      <c r="F569" s="642"/>
      <c r="G569" s="642"/>
      <c r="H569" s="642"/>
      <c r="I569" s="642"/>
      <c r="J569" s="642"/>
      <c r="K569" s="642"/>
      <c r="L569" s="642"/>
      <c r="M569" s="642"/>
      <c r="N569" s="642"/>
      <c r="O569" s="642"/>
      <c r="P569" s="642"/>
      <c r="Q569" s="642"/>
    </row>
    <row r="570" spans="2:17" ht="15" x14ac:dyDescent="0.2">
      <c r="B570" s="642"/>
      <c r="C570" s="642"/>
      <c r="D570" s="642"/>
      <c r="E570" s="642"/>
      <c r="F570" s="642"/>
      <c r="G570" s="642"/>
      <c r="H570" s="642"/>
      <c r="I570" s="642"/>
      <c r="J570" s="642"/>
      <c r="K570" s="642"/>
      <c r="L570" s="642"/>
      <c r="M570" s="642"/>
      <c r="N570" s="642"/>
      <c r="O570" s="642"/>
      <c r="P570" s="642"/>
      <c r="Q570" s="642"/>
    </row>
    <row r="571" spans="2:17" ht="15" x14ac:dyDescent="0.2">
      <c r="B571" s="642"/>
      <c r="C571" s="642"/>
      <c r="D571" s="642"/>
      <c r="E571" s="642"/>
      <c r="F571" s="642"/>
      <c r="G571" s="642"/>
      <c r="H571" s="642"/>
      <c r="I571" s="642"/>
      <c r="J571" s="642"/>
      <c r="K571" s="642"/>
      <c r="L571" s="642"/>
      <c r="M571" s="642"/>
      <c r="N571" s="642"/>
      <c r="O571" s="642"/>
      <c r="P571" s="642"/>
      <c r="Q571" s="642"/>
    </row>
    <row r="572" spans="2:17" ht="15" x14ac:dyDescent="0.2">
      <c r="B572" s="642"/>
      <c r="C572" s="642"/>
      <c r="D572" s="642"/>
      <c r="E572" s="642"/>
      <c r="F572" s="642"/>
      <c r="G572" s="642"/>
      <c r="H572" s="642"/>
      <c r="I572" s="642"/>
      <c r="J572" s="642"/>
      <c r="K572" s="642"/>
      <c r="L572" s="642"/>
      <c r="M572" s="642"/>
      <c r="N572" s="642"/>
      <c r="O572" s="642"/>
      <c r="P572" s="642"/>
      <c r="Q572" s="642"/>
    </row>
    <row r="573" spans="2:17" ht="15" x14ac:dyDescent="0.2">
      <c r="B573" s="642"/>
      <c r="C573" s="642"/>
      <c r="D573" s="642"/>
      <c r="E573" s="642"/>
      <c r="F573" s="642"/>
      <c r="G573" s="642"/>
      <c r="H573" s="642"/>
      <c r="I573" s="642"/>
      <c r="J573" s="642"/>
      <c r="K573" s="642"/>
      <c r="L573" s="642"/>
      <c r="M573" s="642"/>
      <c r="N573" s="642"/>
      <c r="O573" s="642"/>
      <c r="P573" s="642"/>
      <c r="Q573" s="642"/>
    </row>
    <row r="574" spans="2:17" ht="15" x14ac:dyDescent="0.2">
      <c r="B574" s="642"/>
      <c r="C574" s="642"/>
      <c r="D574" s="642"/>
      <c r="E574" s="642"/>
      <c r="F574" s="642"/>
      <c r="G574" s="642"/>
      <c r="H574" s="642"/>
      <c r="I574" s="642"/>
      <c r="J574" s="642"/>
      <c r="K574" s="642"/>
      <c r="L574" s="642"/>
      <c r="M574" s="642"/>
      <c r="N574" s="642"/>
      <c r="O574" s="642"/>
      <c r="P574" s="642"/>
      <c r="Q574" s="642"/>
    </row>
    <row r="575" spans="2:17" ht="15" x14ac:dyDescent="0.2">
      <c r="B575" s="642"/>
      <c r="C575" s="642"/>
      <c r="D575" s="642"/>
      <c r="E575" s="642"/>
      <c r="F575" s="642"/>
      <c r="G575" s="642"/>
      <c r="H575" s="642"/>
      <c r="I575" s="642"/>
      <c r="J575" s="642"/>
      <c r="K575" s="642"/>
      <c r="L575" s="642"/>
      <c r="M575" s="642"/>
      <c r="N575" s="642"/>
      <c r="O575" s="642"/>
      <c r="P575" s="642"/>
      <c r="Q575" s="642"/>
    </row>
    <row r="576" spans="2:17" ht="15" x14ac:dyDescent="0.2">
      <c r="B576" s="642"/>
      <c r="C576" s="642"/>
      <c r="D576" s="642"/>
      <c r="E576" s="642"/>
      <c r="F576" s="642"/>
      <c r="G576" s="642"/>
      <c r="H576" s="642"/>
      <c r="I576" s="642"/>
      <c r="J576" s="642"/>
      <c r="K576" s="642"/>
      <c r="L576" s="642"/>
      <c r="M576" s="642"/>
      <c r="N576" s="642"/>
      <c r="O576" s="642"/>
      <c r="P576" s="642"/>
      <c r="Q576" s="642"/>
    </row>
    <row r="577" spans="2:17" ht="15" x14ac:dyDescent="0.2">
      <c r="B577" s="642"/>
      <c r="C577" s="642"/>
      <c r="D577" s="642"/>
      <c r="E577" s="642"/>
      <c r="F577" s="642"/>
      <c r="G577" s="642"/>
      <c r="H577" s="642"/>
      <c r="I577" s="642"/>
      <c r="J577" s="642"/>
      <c r="K577" s="642"/>
      <c r="L577" s="642"/>
      <c r="M577" s="642"/>
      <c r="N577" s="642"/>
      <c r="O577" s="642"/>
      <c r="P577" s="642"/>
      <c r="Q577" s="642"/>
    </row>
    <row r="578" spans="2:17" ht="15" x14ac:dyDescent="0.2">
      <c r="B578" s="642"/>
      <c r="C578" s="642"/>
      <c r="D578" s="642"/>
      <c r="E578" s="642"/>
      <c r="F578" s="642"/>
      <c r="G578" s="642"/>
      <c r="H578" s="642"/>
      <c r="I578" s="642"/>
      <c r="J578" s="642"/>
      <c r="K578" s="642"/>
      <c r="L578" s="642"/>
      <c r="M578" s="642"/>
      <c r="N578" s="642"/>
      <c r="O578" s="642"/>
      <c r="P578" s="642"/>
      <c r="Q578" s="642"/>
    </row>
    <row r="579" spans="2:17" ht="15" x14ac:dyDescent="0.2">
      <c r="B579" s="642"/>
      <c r="C579" s="642"/>
      <c r="D579" s="642"/>
      <c r="E579" s="642"/>
      <c r="F579" s="642"/>
      <c r="G579" s="642"/>
      <c r="H579" s="642"/>
      <c r="I579" s="642"/>
      <c r="J579" s="642"/>
      <c r="K579" s="642"/>
      <c r="L579" s="642"/>
      <c r="M579" s="642"/>
      <c r="N579" s="642"/>
      <c r="O579" s="642"/>
      <c r="P579" s="642"/>
      <c r="Q579" s="642"/>
    </row>
    <row r="580" spans="2:17" ht="15" x14ac:dyDescent="0.2">
      <c r="B580" s="642"/>
      <c r="C580" s="642"/>
      <c r="D580" s="642"/>
      <c r="E580" s="642"/>
      <c r="F580" s="642"/>
      <c r="G580" s="642"/>
      <c r="H580" s="642"/>
      <c r="I580" s="642"/>
      <c r="J580" s="642"/>
      <c r="K580" s="642"/>
      <c r="L580" s="642"/>
      <c r="M580" s="642"/>
      <c r="N580" s="642"/>
      <c r="O580" s="642"/>
      <c r="P580" s="642"/>
      <c r="Q580" s="642"/>
    </row>
    <row r="581" spans="2:17" ht="15" x14ac:dyDescent="0.2">
      <c r="B581" s="642"/>
      <c r="C581" s="642"/>
      <c r="D581" s="642"/>
      <c r="E581" s="642"/>
      <c r="F581" s="642"/>
      <c r="G581" s="642"/>
      <c r="H581" s="642"/>
      <c r="I581" s="642"/>
      <c r="J581" s="642"/>
      <c r="K581" s="642"/>
      <c r="L581" s="642"/>
      <c r="M581" s="642"/>
      <c r="N581" s="642"/>
      <c r="O581" s="642"/>
      <c r="P581" s="642"/>
      <c r="Q581" s="642"/>
    </row>
    <row r="582" spans="2:17" ht="15" x14ac:dyDescent="0.2">
      <c r="B582" s="642"/>
      <c r="C582" s="642"/>
      <c r="D582" s="642"/>
      <c r="E582" s="642"/>
      <c r="F582" s="642"/>
      <c r="G582" s="642"/>
      <c r="H582" s="642"/>
      <c r="I582" s="642"/>
      <c r="J582" s="642"/>
      <c r="K582" s="642"/>
      <c r="L582" s="642"/>
      <c r="M582" s="642"/>
      <c r="N582" s="642"/>
      <c r="O582" s="642"/>
      <c r="P582" s="642"/>
      <c r="Q582" s="642"/>
    </row>
    <row r="583" spans="2:17" ht="15" x14ac:dyDescent="0.2">
      <c r="B583" s="642"/>
      <c r="C583" s="642"/>
      <c r="D583" s="642"/>
      <c r="E583" s="642"/>
      <c r="F583" s="642"/>
      <c r="G583" s="642"/>
      <c r="H583" s="642"/>
      <c r="I583" s="642"/>
      <c r="J583" s="642"/>
      <c r="K583" s="642"/>
      <c r="L583" s="642"/>
      <c r="M583" s="642"/>
      <c r="N583" s="642"/>
      <c r="O583" s="642"/>
      <c r="P583" s="642"/>
      <c r="Q583" s="642"/>
    </row>
    <row r="584" spans="2:17" ht="15" x14ac:dyDescent="0.2">
      <c r="B584" s="642"/>
      <c r="C584" s="642"/>
      <c r="D584" s="642"/>
      <c r="E584" s="642"/>
      <c r="F584" s="642"/>
      <c r="G584" s="642"/>
      <c r="H584" s="642"/>
      <c r="I584" s="642"/>
      <c r="J584" s="642"/>
      <c r="K584" s="642"/>
      <c r="L584" s="642"/>
      <c r="M584" s="642"/>
      <c r="N584" s="642"/>
      <c r="O584" s="642"/>
      <c r="P584" s="642"/>
      <c r="Q584" s="642"/>
    </row>
    <row r="585" spans="2:17" ht="15" x14ac:dyDescent="0.2">
      <c r="B585" s="642"/>
      <c r="C585" s="642"/>
      <c r="D585" s="642"/>
      <c r="E585" s="642"/>
      <c r="F585" s="642"/>
      <c r="G585" s="642"/>
      <c r="H585" s="642"/>
      <c r="I585" s="642"/>
      <c r="J585" s="642"/>
      <c r="K585" s="642"/>
      <c r="L585" s="642"/>
      <c r="M585" s="642"/>
      <c r="N585" s="642"/>
      <c r="O585" s="642"/>
      <c r="P585" s="642"/>
      <c r="Q585" s="642"/>
    </row>
    <row r="586" spans="2:17" ht="15" x14ac:dyDescent="0.2">
      <c r="B586" s="642"/>
      <c r="C586" s="642"/>
      <c r="D586" s="642"/>
      <c r="E586" s="642"/>
      <c r="F586" s="642"/>
      <c r="G586" s="642"/>
      <c r="H586" s="642"/>
      <c r="I586" s="642"/>
      <c r="J586" s="642"/>
      <c r="K586" s="642"/>
      <c r="L586" s="642"/>
      <c r="M586" s="642"/>
      <c r="N586" s="642"/>
      <c r="O586" s="642"/>
      <c r="P586" s="642"/>
      <c r="Q586" s="642"/>
    </row>
    <row r="587" spans="2:17" ht="15" x14ac:dyDescent="0.2">
      <c r="B587" s="642"/>
      <c r="C587" s="642"/>
      <c r="D587" s="642"/>
      <c r="E587" s="642"/>
      <c r="F587" s="642"/>
      <c r="G587" s="642"/>
      <c r="H587" s="642"/>
      <c r="I587" s="642"/>
      <c r="J587" s="642"/>
      <c r="K587" s="642"/>
      <c r="L587" s="642"/>
      <c r="M587" s="642"/>
      <c r="N587" s="642"/>
      <c r="O587" s="642"/>
      <c r="P587" s="642"/>
      <c r="Q587" s="642"/>
    </row>
    <row r="588" spans="2:17" ht="15" x14ac:dyDescent="0.2">
      <c r="B588" s="642"/>
      <c r="C588" s="642"/>
      <c r="D588" s="642"/>
      <c r="E588" s="642"/>
      <c r="F588" s="642"/>
      <c r="G588" s="642"/>
      <c r="H588" s="642"/>
      <c r="I588" s="642"/>
      <c r="J588" s="642"/>
      <c r="K588" s="642"/>
      <c r="L588" s="642"/>
      <c r="M588" s="642"/>
      <c r="N588" s="642"/>
      <c r="O588" s="642"/>
      <c r="P588" s="642"/>
      <c r="Q588" s="642"/>
    </row>
    <row r="589" spans="2:17" ht="15" x14ac:dyDescent="0.2">
      <c r="B589" s="642"/>
      <c r="C589" s="642"/>
      <c r="D589" s="642"/>
      <c r="E589" s="642"/>
      <c r="F589" s="642"/>
      <c r="G589" s="642"/>
      <c r="H589" s="642"/>
      <c r="I589" s="642"/>
      <c r="J589" s="642"/>
      <c r="K589" s="642"/>
      <c r="L589" s="642"/>
      <c r="M589" s="642"/>
      <c r="N589" s="642"/>
      <c r="O589" s="642"/>
      <c r="P589" s="642"/>
      <c r="Q589" s="642"/>
    </row>
    <row r="590" spans="2:17" ht="15" x14ac:dyDescent="0.2">
      <c r="B590" s="642"/>
      <c r="C590" s="642"/>
      <c r="D590" s="642"/>
      <c r="E590" s="642"/>
      <c r="F590" s="642"/>
      <c r="G590" s="642"/>
      <c r="H590" s="642"/>
      <c r="I590" s="642"/>
      <c r="J590" s="642"/>
      <c r="K590" s="642"/>
      <c r="L590" s="642"/>
      <c r="M590" s="642"/>
      <c r="N590" s="642"/>
      <c r="O590" s="642"/>
      <c r="P590" s="642"/>
      <c r="Q590" s="642"/>
    </row>
    <row r="591" spans="2:17" ht="15" x14ac:dyDescent="0.2">
      <c r="B591" s="642"/>
      <c r="C591" s="642"/>
      <c r="D591" s="642"/>
      <c r="E591" s="642"/>
      <c r="F591" s="642"/>
      <c r="G591" s="642"/>
      <c r="H591" s="642"/>
      <c r="I591" s="642"/>
      <c r="J591" s="642"/>
      <c r="K591" s="642"/>
      <c r="L591" s="642"/>
      <c r="M591" s="642"/>
      <c r="N591" s="642"/>
      <c r="O591" s="642"/>
      <c r="P591" s="642"/>
      <c r="Q591" s="642"/>
    </row>
    <row r="592" spans="2:17" ht="15" x14ac:dyDescent="0.2">
      <c r="B592" s="642"/>
      <c r="C592" s="642"/>
      <c r="D592" s="642"/>
      <c r="E592" s="642"/>
      <c r="F592" s="642"/>
      <c r="G592" s="642"/>
      <c r="H592" s="642"/>
      <c r="I592" s="642"/>
      <c r="J592" s="642"/>
      <c r="K592" s="642"/>
      <c r="L592" s="642"/>
      <c r="M592" s="642"/>
      <c r="N592" s="642"/>
      <c r="O592" s="642"/>
      <c r="P592" s="642"/>
      <c r="Q592" s="642"/>
    </row>
    <row r="593" spans="2:17" ht="15" x14ac:dyDescent="0.2">
      <c r="B593" s="642"/>
      <c r="C593" s="642"/>
      <c r="D593" s="642"/>
      <c r="E593" s="642"/>
      <c r="F593" s="642"/>
      <c r="G593" s="642"/>
      <c r="H593" s="642"/>
      <c r="I593" s="642"/>
      <c r="J593" s="642"/>
      <c r="K593" s="642"/>
      <c r="L593" s="642"/>
      <c r="M593" s="642"/>
      <c r="N593" s="642"/>
      <c r="O593" s="642"/>
      <c r="P593" s="642"/>
      <c r="Q593" s="642"/>
    </row>
    <row r="594" spans="2:17" ht="15" x14ac:dyDescent="0.2">
      <c r="B594" s="642"/>
      <c r="C594" s="642"/>
      <c r="D594" s="642"/>
      <c r="E594" s="642"/>
      <c r="F594" s="642"/>
      <c r="G594" s="642"/>
      <c r="H594" s="642"/>
      <c r="I594" s="642"/>
      <c r="J594" s="642"/>
      <c r="K594" s="642"/>
      <c r="L594" s="642"/>
      <c r="M594" s="642"/>
      <c r="N594" s="642"/>
      <c r="O594" s="642"/>
      <c r="P594" s="642"/>
      <c r="Q594" s="642"/>
    </row>
    <row r="595" spans="2:17" ht="15" x14ac:dyDescent="0.2">
      <c r="B595" s="642"/>
      <c r="C595" s="642"/>
      <c r="D595" s="642"/>
      <c r="E595" s="642"/>
      <c r="F595" s="642"/>
      <c r="G595" s="642"/>
      <c r="H595" s="642"/>
      <c r="I595" s="642"/>
      <c r="J595" s="642"/>
      <c r="K595" s="642"/>
      <c r="L595" s="642"/>
      <c r="M595" s="642"/>
      <c r="N595" s="642"/>
      <c r="O595" s="642"/>
      <c r="P595" s="642"/>
      <c r="Q595" s="642"/>
    </row>
    <row r="596" spans="2:17" ht="15" x14ac:dyDescent="0.2">
      <c r="B596" s="642"/>
      <c r="C596" s="642"/>
      <c r="D596" s="642"/>
      <c r="E596" s="642"/>
      <c r="F596" s="642"/>
      <c r="G596" s="642"/>
      <c r="H596" s="642"/>
      <c r="I596" s="642"/>
      <c r="J596" s="642"/>
      <c r="K596" s="642"/>
      <c r="L596" s="642"/>
      <c r="M596" s="642"/>
      <c r="N596" s="642"/>
      <c r="O596" s="642"/>
      <c r="P596" s="642"/>
      <c r="Q596" s="642"/>
    </row>
    <row r="597" spans="2:17" ht="15" x14ac:dyDescent="0.2">
      <c r="B597" s="642"/>
      <c r="C597" s="642"/>
      <c r="D597" s="642"/>
      <c r="E597" s="642"/>
      <c r="F597" s="642"/>
      <c r="G597" s="642"/>
      <c r="H597" s="642"/>
      <c r="I597" s="642"/>
      <c r="J597" s="642"/>
      <c r="K597" s="642"/>
      <c r="L597" s="642"/>
      <c r="M597" s="642"/>
      <c r="N597" s="642"/>
      <c r="O597" s="642"/>
      <c r="P597" s="642"/>
      <c r="Q597" s="642"/>
    </row>
    <row r="598" spans="2:17" ht="15" x14ac:dyDescent="0.2">
      <c r="B598" s="642"/>
      <c r="C598" s="642"/>
      <c r="D598" s="642"/>
      <c r="E598" s="642"/>
      <c r="F598" s="642"/>
      <c r="G598" s="642"/>
      <c r="H598" s="642"/>
      <c r="I598" s="642"/>
      <c r="J598" s="642"/>
      <c r="K598" s="642"/>
      <c r="L598" s="642"/>
      <c r="M598" s="642"/>
      <c r="N598" s="642"/>
      <c r="O598" s="642"/>
      <c r="P598" s="642"/>
      <c r="Q598" s="642"/>
    </row>
    <row r="599" spans="2:17" ht="15" x14ac:dyDescent="0.2">
      <c r="B599" s="642"/>
      <c r="C599" s="642"/>
      <c r="D599" s="642"/>
      <c r="E599" s="642"/>
      <c r="F599" s="642"/>
      <c r="G599" s="642"/>
      <c r="H599" s="642"/>
      <c r="I599" s="642"/>
      <c r="J599" s="642"/>
      <c r="K599" s="642"/>
      <c r="L599" s="642"/>
      <c r="M599" s="642"/>
      <c r="N599" s="642"/>
      <c r="O599" s="642"/>
      <c r="P599" s="642"/>
      <c r="Q599" s="642"/>
    </row>
    <row r="600" spans="2:17" ht="15" x14ac:dyDescent="0.2">
      <c r="B600" s="642"/>
      <c r="C600" s="642"/>
      <c r="D600" s="642"/>
      <c r="E600" s="642"/>
      <c r="F600" s="642"/>
      <c r="G600" s="642"/>
      <c r="H600" s="642"/>
      <c r="I600" s="642"/>
      <c r="J600" s="642"/>
      <c r="K600" s="642"/>
      <c r="L600" s="642"/>
      <c r="M600" s="642"/>
      <c r="N600" s="642"/>
      <c r="O600" s="642"/>
      <c r="P600" s="642"/>
      <c r="Q600" s="642"/>
    </row>
    <row r="601" spans="2:17" ht="15" x14ac:dyDescent="0.2">
      <c r="B601" s="642"/>
      <c r="C601" s="642"/>
      <c r="D601" s="642"/>
      <c r="E601" s="642"/>
      <c r="F601" s="642"/>
      <c r="G601" s="642"/>
      <c r="H601" s="642"/>
      <c r="I601" s="642"/>
      <c r="J601" s="642"/>
      <c r="K601" s="642"/>
      <c r="L601" s="642"/>
      <c r="M601" s="642"/>
      <c r="N601" s="642"/>
      <c r="O601" s="642"/>
      <c r="P601" s="642"/>
      <c r="Q601" s="642"/>
    </row>
    <row r="602" spans="2:17" ht="15" x14ac:dyDescent="0.2">
      <c r="B602" s="642"/>
      <c r="C602" s="642"/>
      <c r="D602" s="642"/>
      <c r="E602" s="642"/>
      <c r="F602" s="642"/>
      <c r="G602" s="642"/>
      <c r="H602" s="642"/>
      <c r="I602" s="642"/>
      <c r="J602" s="642"/>
      <c r="K602" s="642"/>
      <c r="L602" s="642"/>
      <c r="M602" s="642"/>
      <c r="N602" s="642"/>
      <c r="O602" s="642"/>
      <c r="P602" s="642"/>
      <c r="Q602" s="642"/>
    </row>
    <row r="603" spans="2:17" ht="15" x14ac:dyDescent="0.2">
      <c r="B603" s="642"/>
      <c r="C603" s="642"/>
      <c r="D603" s="642"/>
      <c r="E603" s="642"/>
      <c r="F603" s="642"/>
      <c r="G603" s="642"/>
      <c r="H603" s="642"/>
      <c r="I603" s="642"/>
      <c r="J603" s="642"/>
      <c r="K603" s="642"/>
      <c r="L603" s="642"/>
      <c r="M603" s="642"/>
      <c r="N603" s="642"/>
      <c r="O603" s="642"/>
      <c r="P603" s="642"/>
      <c r="Q603" s="642"/>
    </row>
    <row r="604" spans="2:17" ht="15" x14ac:dyDescent="0.2">
      <c r="B604" s="642"/>
      <c r="C604" s="642"/>
      <c r="D604" s="642"/>
      <c r="E604" s="642"/>
      <c r="F604" s="642"/>
      <c r="G604" s="642"/>
      <c r="H604" s="642"/>
      <c r="I604" s="642"/>
      <c r="J604" s="642"/>
      <c r="K604" s="642"/>
      <c r="L604" s="642"/>
      <c r="M604" s="642"/>
      <c r="N604" s="642"/>
      <c r="O604" s="642"/>
      <c r="P604" s="642"/>
      <c r="Q604" s="642"/>
    </row>
    <row r="605" spans="2:17" ht="15" x14ac:dyDescent="0.2">
      <c r="B605" s="642"/>
      <c r="C605" s="642"/>
      <c r="D605" s="642"/>
      <c r="E605" s="642"/>
      <c r="F605" s="642"/>
      <c r="G605" s="642"/>
      <c r="H605" s="642"/>
      <c r="I605" s="642"/>
      <c r="J605" s="642"/>
      <c r="K605" s="642"/>
      <c r="L605" s="642"/>
      <c r="M605" s="642"/>
      <c r="N605" s="642"/>
      <c r="O605" s="642"/>
      <c r="P605" s="642"/>
      <c r="Q605" s="642"/>
    </row>
    <row r="606" spans="2:17" ht="15" x14ac:dyDescent="0.2">
      <c r="B606" s="642"/>
      <c r="C606" s="642"/>
      <c r="D606" s="642"/>
      <c r="E606" s="642"/>
      <c r="F606" s="642"/>
      <c r="G606" s="642"/>
      <c r="H606" s="642"/>
      <c r="I606" s="642"/>
      <c r="J606" s="642"/>
      <c r="K606" s="642"/>
      <c r="L606" s="642"/>
      <c r="M606" s="642"/>
      <c r="N606" s="642"/>
      <c r="O606" s="642"/>
      <c r="P606" s="642"/>
      <c r="Q606" s="642"/>
    </row>
    <row r="607" spans="2:17" ht="15" x14ac:dyDescent="0.2">
      <c r="B607" s="642"/>
      <c r="C607" s="642"/>
      <c r="D607" s="642"/>
      <c r="E607" s="642"/>
      <c r="F607" s="642"/>
      <c r="G607" s="642"/>
      <c r="H607" s="642"/>
      <c r="I607" s="642"/>
      <c r="J607" s="642"/>
      <c r="K607" s="642"/>
      <c r="L607" s="642"/>
      <c r="M607" s="642"/>
      <c r="N607" s="642"/>
      <c r="O607" s="642"/>
      <c r="P607" s="642"/>
      <c r="Q607" s="642"/>
    </row>
    <row r="608" spans="2:17" ht="15" x14ac:dyDescent="0.2">
      <c r="B608" s="642"/>
      <c r="C608" s="642"/>
      <c r="D608" s="642"/>
      <c r="E608" s="642"/>
      <c r="F608" s="642"/>
      <c r="G608" s="642"/>
      <c r="H608" s="642"/>
      <c r="I608" s="642"/>
      <c r="J608" s="642"/>
      <c r="K608" s="642"/>
      <c r="L608" s="642"/>
      <c r="M608" s="642"/>
      <c r="N608" s="642"/>
      <c r="O608" s="642"/>
      <c r="P608" s="642"/>
      <c r="Q608" s="642"/>
    </row>
    <row r="609" spans="2:17" ht="15" x14ac:dyDescent="0.2">
      <c r="B609" s="642"/>
      <c r="C609" s="642"/>
      <c r="D609" s="642"/>
      <c r="E609" s="642"/>
      <c r="F609" s="642"/>
      <c r="G609" s="642"/>
      <c r="H609" s="642"/>
      <c r="I609" s="642"/>
      <c r="J609" s="642"/>
      <c r="K609" s="642"/>
      <c r="L609" s="642"/>
      <c r="M609" s="642"/>
      <c r="N609" s="642"/>
      <c r="O609" s="642"/>
      <c r="P609" s="642"/>
      <c r="Q609" s="642"/>
    </row>
    <row r="610" spans="2:17" ht="15" x14ac:dyDescent="0.2">
      <c r="B610" s="642"/>
      <c r="C610" s="642"/>
      <c r="D610" s="642"/>
      <c r="E610" s="642"/>
      <c r="F610" s="642"/>
      <c r="G610" s="642"/>
      <c r="H610" s="642"/>
      <c r="I610" s="642"/>
      <c r="J610" s="642"/>
      <c r="K610" s="642"/>
      <c r="L610" s="642"/>
      <c r="M610" s="642"/>
      <c r="N610" s="642"/>
      <c r="O610" s="642"/>
      <c r="P610" s="642"/>
      <c r="Q610" s="642"/>
    </row>
    <row r="611" spans="2:17" ht="15" x14ac:dyDescent="0.2">
      <c r="B611" s="642"/>
      <c r="C611" s="642"/>
      <c r="D611" s="642"/>
      <c r="E611" s="642"/>
      <c r="F611" s="642"/>
      <c r="G611" s="642"/>
      <c r="H611" s="642"/>
      <c r="I611" s="642"/>
      <c r="J611" s="642"/>
      <c r="K611" s="642"/>
      <c r="L611" s="642"/>
      <c r="M611" s="642"/>
      <c r="N611" s="642"/>
      <c r="O611" s="642"/>
      <c r="P611" s="642"/>
      <c r="Q611" s="642"/>
    </row>
    <row r="612" spans="2:17" ht="15" x14ac:dyDescent="0.2">
      <c r="B612" s="642"/>
      <c r="C612" s="642"/>
      <c r="D612" s="642"/>
      <c r="E612" s="642"/>
      <c r="F612" s="642"/>
      <c r="G612" s="642"/>
      <c r="H612" s="642"/>
      <c r="I612" s="642"/>
      <c r="J612" s="642"/>
      <c r="K612" s="642"/>
      <c r="L612" s="642"/>
      <c r="M612" s="642"/>
      <c r="N612" s="642"/>
      <c r="O612" s="642"/>
      <c r="P612" s="642"/>
      <c r="Q612" s="642"/>
    </row>
    <row r="613" spans="2:17" ht="15" x14ac:dyDescent="0.2">
      <c r="B613" s="642"/>
      <c r="C613" s="642"/>
      <c r="D613" s="642"/>
      <c r="E613" s="642"/>
      <c r="F613" s="642"/>
      <c r="G613" s="642"/>
      <c r="H613" s="642"/>
      <c r="I613" s="642"/>
      <c r="J613" s="642"/>
      <c r="K613" s="642"/>
      <c r="L613" s="642"/>
      <c r="M613" s="642"/>
      <c r="N613" s="642"/>
      <c r="O613" s="642"/>
      <c r="P613" s="642"/>
      <c r="Q613" s="642"/>
    </row>
    <row r="614" spans="2:17" ht="15" x14ac:dyDescent="0.2">
      <c r="B614" s="642"/>
      <c r="C614" s="642"/>
      <c r="D614" s="642"/>
      <c r="E614" s="642"/>
      <c r="F614" s="642"/>
      <c r="G614" s="642"/>
      <c r="H614" s="642"/>
      <c r="I614" s="642"/>
      <c r="J614" s="642"/>
      <c r="K614" s="642"/>
      <c r="L614" s="642"/>
      <c r="M614" s="642"/>
      <c r="N614" s="642"/>
      <c r="O614" s="642"/>
      <c r="P614" s="642"/>
      <c r="Q614" s="642"/>
    </row>
    <row r="615" spans="2:17" ht="15" x14ac:dyDescent="0.2">
      <c r="B615" s="642"/>
      <c r="C615" s="642"/>
      <c r="D615" s="642"/>
      <c r="E615" s="642"/>
      <c r="F615" s="642"/>
      <c r="G615" s="642"/>
      <c r="H615" s="642"/>
      <c r="I615" s="642"/>
      <c r="J615" s="642"/>
      <c r="K615" s="642"/>
      <c r="L615" s="642"/>
      <c r="M615" s="642"/>
      <c r="N615" s="642"/>
      <c r="O615" s="642"/>
      <c r="P615" s="642"/>
      <c r="Q615" s="642"/>
    </row>
    <row r="616" spans="2:17" ht="15" x14ac:dyDescent="0.2">
      <c r="B616" s="642"/>
      <c r="C616" s="642"/>
      <c r="D616" s="642"/>
      <c r="E616" s="642"/>
      <c r="F616" s="642"/>
      <c r="G616" s="642"/>
      <c r="H616" s="642"/>
      <c r="I616" s="642"/>
      <c r="J616" s="642"/>
      <c r="K616" s="642"/>
      <c r="L616" s="642"/>
      <c r="M616" s="642"/>
      <c r="N616" s="642"/>
      <c r="O616" s="642"/>
      <c r="P616" s="642"/>
      <c r="Q616" s="642"/>
    </row>
    <row r="617" spans="2:17" ht="15" x14ac:dyDescent="0.2">
      <c r="B617" s="642"/>
      <c r="C617" s="642"/>
      <c r="D617" s="642"/>
      <c r="E617" s="642"/>
      <c r="F617" s="642"/>
      <c r="G617" s="642"/>
      <c r="H617" s="642"/>
      <c r="I617" s="642"/>
      <c r="J617" s="642"/>
      <c r="K617" s="642"/>
      <c r="L617" s="642"/>
      <c r="M617" s="642"/>
      <c r="N617" s="642"/>
      <c r="O617" s="642"/>
      <c r="P617" s="642"/>
      <c r="Q617" s="642"/>
    </row>
    <row r="618" spans="2:17" ht="15" x14ac:dyDescent="0.2">
      <c r="B618" s="642"/>
      <c r="C618" s="642"/>
      <c r="D618" s="642"/>
      <c r="E618" s="642"/>
      <c r="F618" s="642"/>
      <c r="G618" s="642"/>
      <c r="H618" s="642"/>
      <c r="I618" s="642"/>
      <c r="J618" s="642"/>
      <c r="K618" s="642"/>
      <c r="L618" s="642"/>
      <c r="M618" s="642"/>
      <c r="N618" s="642"/>
      <c r="O618" s="642"/>
      <c r="P618" s="642"/>
      <c r="Q618" s="642"/>
    </row>
    <row r="619" spans="2:17" ht="15" x14ac:dyDescent="0.2">
      <c r="B619" s="642"/>
      <c r="C619" s="642"/>
      <c r="D619" s="642"/>
      <c r="E619" s="642"/>
      <c r="F619" s="642"/>
      <c r="G619" s="642"/>
      <c r="H619" s="642"/>
      <c r="I619" s="642"/>
      <c r="J619" s="642"/>
      <c r="K619" s="642"/>
      <c r="L619" s="642"/>
      <c r="M619" s="642"/>
      <c r="N619" s="642"/>
      <c r="O619" s="642"/>
      <c r="P619" s="642"/>
      <c r="Q619" s="642"/>
    </row>
    <row r="620" spans="2:17" ht="15" x14ac:dyDescent="0.2">
      <c r="B620" s="642"/>
      <c r="C620" s="642"/>
      <c r="D620" s="642"/>
      <c r="E620" s="642"/>
      <c r="F620" s="642"/>
      <c r="G620" s="642"/>
      <c r="H620" s="642"/>
      <c r="I620" s="642"/>
      <c r="J620" s="642"/>
      <c r="K620" s="642"/>
      <c r="L620" s="642"/>
      <c r="M620" s="642"/>
      <c r="N620" s="642"/>
      <c r="O620" s="642"/>
      <c r="P620" s="642"/>
      <c r="Q620" s="642"/>
    </row>
    <row r="621" spans="2:17" ht="15" x14ac:dyDescent="0.2">
      <c r="B621" s="642"/>
      <c r="C621" s="642"/>
      <c r="D621" s="642"/>
      <c r="E621" s="642"/>
      <c r="F621" s="642"/>
      <c r="G621" s="642"/>
      <c r="H621" s="642"/>
      <c r="I621" s="642"/>
      <c r="J621" s="642"/>
      <c r="K621" s="642"/>
      <c r="L621" s="642"/>
      <c r="M621" s="642"/>
      <c r="N621" s="642"/>
      <c r="O621" s="642"/>
      <c r="P621" s="642"/>
      <c r="Q621" s="642"/>
    </row>
    <row r="622" spans="2:17" ht="15" x14ac:dyDescent="0.2">
      <c r="B622" s="642"/>
      <c r="C622" s="642"/>
      <c r="D622" s="642"/>
      <c r="E622" s="642"/>
      <c r="F622" s="642"/>
      <c r="G622" s="642"/>
      <c r="H622" s="642"/>
      <c r="I622" s="642"/>
      <c r="J622" s="642"/>
      <c r="K622" s="642"/>
      <c r="L622" s="642"/>
      <c r="M622" s="642"/>
      <c r="N622" s="642"/>
      <c r="O622" s="642"/>
      <c r="P622" s="642"/>
      <c r="Q622" s="642"/>
    </row>
    <row r="623" spans="2:17" ht="15" x14ac:dyDescent="0.2">
      <c r="B623" s="642"/>
      <c r="C623" s="642"/>
      <c r="D623" s="642"/>
      <c r="E623" s="642"/>
      <c r="F623" s="642"/>
      <c r="G623" s="642"/>
      <c r="H623" s="642"/>
      <c r="I623" s="642"/>
      <c r="J623" s="642"/>
      <c r="K623" s="642"/>
      <c r="L623" s="642"/>
      <c r="M623" s="642"/>
      <c r="N623" s="642"/>
      <c r="O623" s="642"/>
      <c r="P623" s="642"/>
      <c r="Q623" s="642"/>
    </row>
    <row r="624" spans="2:17" ht="15" x14ac:dyDescent="0.2">
      <c r="B624" s="642"/>
      <c r="C624" s="642"/>
      <c r="D624" s="642"/>
      <c r="E624" s="642"/>
      <c r="F624" s="642"/>
      <c r="G624" s="642"/>
      <c r="H624" s="642"/>
      <c r="I624" s="642"/>
      <c r="J624" s="642"/>
      <c r="K624" s="642"/>
      <c r="L624" s="642"/>
      <c r="M624" s="642"/>
      <c r="N624" s="642"/>
      <c r="O624" s="642"/>
      <c r="P624" s="642"/>
      <c r="Q624" s="642"/>
    </row>
    <row r="625" spans="2:17" ht="15" x14ac:dyDescent="0.2">
      <c r="B625" s="642"/>
      <c r="C625" s="642"/>
      <c r="D625" s="642"/>
      <c r="E625" s="642"/>
      <c r="F625" s="642"/>
      <c r="G625" s="642"/>
      <c r="H625" s="642"/>
      <c r="I625" s="642"/>
      <c r="J625" s="642"/>
      <c r="K625" s="642"/>
      <c r="L625" s="642"/>
      <c r="M625" s="642"/>
      <c r="N625" s="642"/>
      <c r="O625" s="642"/>
      <c r="P625" s="642"/>
      <c r="Q625" s="642"/>
    </row>
    <row r="626" spans="2:17" ht="15" x14ac:dyDescent="0.2">
      <c r="B626" s="642"/>
      <c r="C626" s="642"/>
      <c r="D626" s="642"/>
      <c r="E626" s="642"/>
      <c r="F626" s="642"/>
      <c r="G626" s="642"/>
      <c r="H626" s="642"/>
      <c r="I626" s="642"/>
      <c r="J626" s="642"/>
      <c r="K626" s="642"/>
      <c r="L626" s="642"/>
      <c r="M626" s="642"/>
      <c r="N626" s="642"/>
      <c r="O626" s="642"/>
      <c r="P626" s="642"/>
      <c r="Q626" s="642"/>
    </row>
    <row r="627" spans="2:17" ht="15" x14ac:dyDescent="0.2">
      <c r="B627" s="642"/>
      <c r="C627" s="642"/>
      <c r="D627" s="642"/>
      <c r="E627" s="642"/>
      <c r="F627" s="642"/>
      <c r="G627" s="642"/>
      <c r="H627" s="642"/>
      <c r="I627" s="642"/>
      <c r="J627" s="642"/>
      <c r="K627" s="642"/>
      <c r="L627" s="642"/>
      <c r="M627" s="642"/>
      <c r="N627" s="642"/>
      <c r="O627" s="642"/>
      <c r="P627" s="642"/>
      <c r="Q627" s="642"/>
    </row>
    <row r="628" spans="2:17" ht="15" x14ac:dyDescent="0.2">
      <c r="B628" s="642"/>
      <c r="C628" s="642"/>
      <c r="D628" s="642"/>
      <c r="E628" s="642"/>
      <c r="F628" s="642"/>
      <c r="G628" s="642"/>
      <c r="H628" s="642"/>
      <c r="I628" s="642"/>
      <c r="J628" s="642"/>
      <c r="K628" s="642"/>
      <c r="L628" s="642"/>
      <c r="M628" s="642"/>
      <c r="N628" s="642"/>
      <c r="O628" s="642"/>
      <c r="P628" s="642"/>
      <c r="Q628" s="642"/>
    </row>
    <row r="629" spans="2:17" ht="15" x14ac:dyDescent="0.2">
      <c r="B629" s="642"/>
      <c r="C629" s="642"/>
      <c r="D629" s="642"/>
      <c r="E629" s="642"/>
      <c r="F629" s="642"/>
      <c r="G629" s="642"/>
      <c r="H629" s="642"/>
      <c r="I629" s="642"/>
      <c r="J629" s="642"/>
      <c r="K629" s="642"/>
      <c r="L629" s="642"/>
      <c r="M629" s="642"/>
      <c r="N629" s="642"/>
      <c r="O629" s="642"/>
      <c r="P629" s="642"/>
      <c r="Q629" s="642"/>
    </row>
    <row r="630" spans="2:17" ht="15" x14ac:dyDescent="0.2">
      <c r="B630" s="642"/>
      <c r="C630" s="642"/>
      <c r="D630" s="642"/>
      <c r="E630" s="642"/>
      <c r="F630" s="642"/>
      <c r="G630" s="642"/>
      <c r="H630" s="642"/>
      <c r="I630" s="642"/>
      <c r="J630" s="642"/>
      <c r="K630" s="642"/>
      <c r="L630" s="642"/>
      <c r="M630" s="642"/>
      <c r="N630" s="642"/>
      <c r="O630" s="642"/>
      <c r="P630" s="642"/>
      <c r="Q630" s="642"/>
    </row>
    <row r="631" spans="2:17" ht="15" x14ac:dyDescent="0.2">
      <c r="B631" s="642"/>
      <c r="C631" s="642"/>
      <c r="D631" s="642"/>
      <c r="E631" s="642"/>
      <c r="F631" s="642"/>
      <c r="G631" s="642"/>
      <c r="H631" s="642"/>
      <c r="I631" s="642"/>
      <c r="J631" s="642"/>
      <c r="K631" s="642"/>
      <c r="L631" s="642"/>
      <c r="M631" s="642"/>
      <c r="N631" s="642"/>
      <c r="O631" s="642"/>
      <c r="P631" s="642"/>
      <c r="Q631" s="642"/>
    </row>
    <row r="632" spans="2:17" ht="15" x14ac:dyDescent="0.2">
      <c r="B632" s="642"/>
      <c r="C632" s="642"/>
      <c r="D632" s="642"/>
      <c r="E632" s="642"/>
      <c r="F632" s="642"/>
      <c r="G632" s="642"/>
      <c r="H632" s="642"/>
      <c r="I632" s="642"/>
      <c r="J632" s="642"/>
      <c r="K632" s="642"/>
      <c r="L632" s="642"/>
      <c r="M632" s="642"/>
      <c r="N632" s="642"/>
      <c r="O632" s="642"/>
      <c r="P632" s="642"/>
      <c r="Q632" s="642"/>
    </row>
    <row r="633" spans="2:17" ht="15" x14ac:dyDescent="0.2">
      <c r="B633" s="642"/>
      <c r="C633" s="642"/>
      <c r="D633" s="642"/>
      <c r="E633" s="642"/>
      <c r="F633" s="642"/>
      <c r="G633" s="642"/>
      <c r="H633" s="642"/>
      <c r="I633" s="642"/>
      <c r="J633" s="642"/>
      <c r="K633" s="642"/>
      <c r="L633" s="642"/>
      <c r="M633" s="642"/>
      <c r="N633" s="642"/>
      <c r="O633" s="642"/>
      <c r="P633" s="642"/>
      <c r="Q633" s="642"/>
    </row>
    <row r="634" spans="2:17" ht="15" x14ac:dyDescent="0.2">
      <c r="B634" s="642"/>
      <c r="C634" s="642"/>
      <c r="D634" s="642"/>
      <c r="E634" s="642"/>
      <c r="F634" s="642"/>
      <c r="G634" s="642"/>
      <c r="H634" s="642"/>
      <c r="I634" s="642"/>
      <c r="J634" s="642"/>
      <c r="K634" s="642"/>
      <c r="L634" s="642"/>
      <c r="M634" s="642"/>
      <c r="N634" s="642"/>
      <c r="O634" s="642"/>
      <c r="P634" s="642"/>
      <c r="Q634" s="642"/>
    </row>
    <row r="635" spans="2:17" ht="15" x14ac:dyDescent="0.2">
      <c r="B635" s="642"/>
      <c r="C635" s="642"/>
      <c r="D635" s="642"/>
      <c r="E635" s="642"/>
      <c r="F635" s="642"/>
      <c r="G635" s="642"/>
      <c r="H635" s="642"/>
      <c r="I635" s="642"/>
      <c r="J635" s="642"/>
      <c r="K635" s="642"/>
      <c r="L635" s="642"/>
      <c r="M635" s="642"/>
      <c r="N635" s="642"/>
      <c r="O635" s="642"/>
      <c r="P635" s="642"/>
      <c r="Q635" s="642"/>
    </row>
    <row r="636" spans="2:17" ht="15" x14ac:dyDescent="0.2">
      <c r="B636" s="642"/>
      <c r="C636" s="642"/>
      <c r="D636" s="642"/>
      <c r="E636" s="642"/>
      <c r="F636" s="642"/>
      <c r="G636" s="642"/>
      <c r="H636" s="642"/>
      <c r="I636" s="642"/>
      <c r="J636" s="642"/>
      <c r="K636" s="642"/>
      <c r="L636" s="642"/>
      <c r="M636" s="642"/>
      <c r="N636" s="642"/>
      <c r="O636" s="642"/>
      <c r="P636" s="642"/>
      <c r="Q636" s="642"/>
    </row>
    <row r="637" spans="2:17" ht="15" x14ac:dyDescent="0.2">
      <c r="B637" s="642"/>
      <c r="C637" s="642"/>
      <c r="D637" s="642"/>
      <c r="E637" s="642"/>
      <c r="F637" s="642"/>
      <c r="G637" s="642"/>
      <c r="H637" s="642"/>
      <c r="I637" s="642"/>
      <c r="J637" s="642"/>
      <c r="K637" s="642"/>
      <c r="L637" s="642"/>
      <c r="M637" s="642"/>
      <c r="N637" s="642"/>
      <c r="O637" s="642"/>
      <c r="P637" s="642"/>
      <c r="Q637" s="642"/>
    </row>
    <row r="638" spans="2:17" ht="15" x14ac:dyDescent="0.2">
      <c r="B638" s="642"/>
      <c r="C638" s="642"/>
      <c r="D638" s="642"/>
      <c r="E638" s="642"/>
      <c r="F638" s="642"/>
      <c r="G638" s="642"/>
      <c r="H638" s="642"/>
      <c r="I638" s="642"/>
      <c r="J638" s="642"/>
      <c r="K638" s="642"/>
      <c r="L638" s="642"/>
      <c r="M638" s="642"/>
      <c r="N638" s="642"/>
      <c r="O638" s="642"/>
      <c r="P638" s="642"/>
      <c r="Q638" s="642"/>
    </row>
    <row r="639" spans="2:17" ht="15" x14ac:dyDescent="0.2">
      <c r="B639" s="642"/>
      <c r="C639" s="642"/>
      <c r="D639" s="642"/>
      <c r="E639" s="642"/>
      <c r="F639" s="642"/>
      <c r="G639" s="642"/>
      <c r="H639" s="642"/>
      <c r="I639" s="642"/>
      <c r="J639" s="642"/>
      <c r="K639" s="642"/>
      <c r="L639" s="642"/>
      <c r="M639" s="642"/>
      <c r="N639" s="642"/>
      <c r="O639" s="642"/>
      <c r="P639" s="642"/>
      <c r="Q639" s="642"/>
    </row>
    <row r="640" spans="2:17" ht="15" x14ac:dyDescent="0.2">
      <c r="B640" s="642"/>
      <c r="C640" s="642"/>
      <c r="D640" s="642"/>
      <c r="E640" s="642"/>
      <c r="F640" s="642"/>
      <c r="G640" s="642"/>
      <c r="H640" s="642"/>
      <c r="I640" s="642"/>
      <c r="J640" s="642"/>
      <c r="K640" s="642"/>
      <c r="L640" s="642"/>
      <c r="M640" s="642"/>
      <c r="N640" s="642"/>
      <c r="O640" s="642"/>
      <c r="P640" s="642"/>
      <c r="Q640" s="642"/>
    </row>
    <row r="641" spans="2:17" ht="15" x14ac:dyDescent="0.2">
      <c r="B641" s="642"/>
      <c r="C641" s="642"/>
      <c r="D641" s="642"/>
      <c r="E641" s="642"/>
      <c r="F641" s="642"/>
      <c r="G641" s="642"/>
      <c r="H641" s="642"/>
      <c r="I641" s="642"/>
      <c r="J641" s="642"/>
      <c r="K641" s="642"/>
      <c r="L641" s="642"/>
      <c r="M641" s="642"/>
      <c r="N641" s="642"/>
      <c r="O641" s="642"/>
      <c r="P641" s="642"/>
      <c r="Q641" s="642"/>
    </row>
    <row r="642" spans="2:17" ht="15" x14ac:dyDescent="0.2">
      <c r="B642" s="642"/>
      <c r="C642" s="642"/>
      <c r="D642" s="642"/>
      <c r="E642" s="642"/>
      <c r="F642" s="642"/>
      <c r="G642" s="642"/>
      <c r="H642" s="642"/>
      <c r="I642" s="642"/>
      <c r="J642" s="642"/>
      <c r="K642" s="642"/>
      <c r="L642" s="642"/>
      <c r="M642" s="642"/>
      <c r="N642" s="642"/>
      <c r="O642" s="642"/>
      <c r="P642" s="642"/>
      <c r="Q642" s="642"/>
    </row>
    <row r="643" spans="2:17" ht="15" x14ac:dyDescent="0.2">
      <c r="B643" s="642"/>
      <c r="C643" s="642"/>
      <c r="D643" s="642"/>
      <c r="E643" s="642"/>
      <c r="F643" s="642"/>
      <c r="G643" s="642"/>
      <c r="H643" s="642"/>
      <c r="I643" s="642"/>
      <c r="J643" s="642"/>
      <c r="K643" s="642"/>
      <c r="L643" s="642"/>
      <c r="M643" s="642"/>
      <c r="N643" s="642"/>
      <c r="O643" s="642"/>
      <c r="P643" s="642"/>
      <c r="Q643" s="642"/>
    </row>
    <row r="644" spans="2:17" ht="15" x14ac:dyDescent="0.2">
      <c r="B644" s="642"/>
      <c r="C644" s="642"/>
      <c r="D644" s="642"/>
      <c r="E644" s="642"/>
      <c r="F644" s="642"/>
      <c r="G644" s="642"/>
      <c r="H644" s="642"/>
      <c r="I644" s="642"/>
      <c r="J644" s="642"/>
      <c r="K644" s="642"/>
      <c r="L644" s="642"/>
      <c r="M644" s="642"/>
      <c r="N644" s="642"/>
      <c r="O644" s="642"/>
      <c r="P644" s="642"/>
      <c r="Q644" s="642"/>
    </row>
    <row r="645" spans="2:17" ht="15" x14ac:dyDescent="0.2">
      <c r="B645" s="642"/>
      <c r="C645" s="642"/>
      <c r="D645" s="642"/>
      <c r="E645" s="642"/>
      <c r="F645" s="642"/>
      <c r="G645" s="642"/>
      <c r="H645" s="642"/>
      <c r="I645" s="642"/>
      <c r="J645" s="642"/>
      <c r="K645" s="642"/>
      <c r="L645" s="642"/>
      <c r="M645" s="642"/>
      <c r="N645" s="642"/>
      <c r="O645" s="642"/>
      <c r="P645" s="642"/>
      <c r="Q645" s="642"/>
    </row>
    <row r="646" spans="2:17" ht="15" x14ac:dyDescent="0.2">
      <c r="B646" s="642"/>
      <c r="C646" s="642"/>
      <c r="D646" s="642"/>
      <c r="E646" s="642"/>
      <c r="F646" s="642"/>
      <c r="G646" s="642"/>
      <c r="H646" s="642"/>
      <c r="I646" s="642"/>
      <c r="J646" s="642"/>
      <c r="K646" s="642"/>
      <c r="L646" s="642"/>
      <c r="M646" s="642"/>
      <c r="N646" s="642"/>
      <c r="O646" s="642"/>
      <c r="P646" s="642"/>
      <c r="Q646" s="642"/>
    </row>
    <row r="647" spans="2:17" ht="15" x14ac:dyDescent="0.2">
      <c r="B647" s="642"/>
      <c r="C647" s="642"/>
      <c r="D647" s="642"/>
      <c r="E647" s="642"/>
      <c r="F647" s="642"/>
      <c r="G647" s="642"/>
      <c r="H647" s="642"/>
      <c r="I647" s="642"/>
      <c r="J647" s="642"/>
      <c r="K647" s="642"/>
      <c r="L647" s="642"/>
      <c r="M647" s="642"/>
      <c r="N647" s="642"/>
      <c r="O647" s="642"/>
      <c r="P647" s="642"/>
      <c r="Q647" s="642"/>
    </row>
    <row r="648" spans="2:17" ht="15" x14ac:dyDescent="0.2">
      <c r="B648" s="642"/>
      <c r="C648" s="642"/>
      <c r="D648" s="642"/>
      <c r="E648" s="642"/>
      <c r="F648" s="642"/>
      <c r="G648" s="642"/>
      <c r="H648" s="642"/>
      <c r="I648" s="642"/>
      <c r="J648" s="642"/>
      <c r="K648" s="642"/>
      <c r="L648" s="642"/>
      <c r="M648" s="642"/>
      <c r="N648" s="642"/>
      <c r="O648" s="642"/>
      <c r="P648" s="642"/>
      <c r="Q648" s="642"/>
    </row>
    <row r="649" spans="2:17" ht="15" x14ac:dyDescent="0.2">
      <c r="B649" s="642"/>
      <c r="C649" s="642"/>
      <c r="D649" s="642"/>
      <c r="E649" s="642"/>
      <c r="F649" s="642"/>
      <c r="G649" s="642"/>
      <c r="H649" s="642"/>
      <c r="I649" s="642"/>
      <c r="J649" s="642"/>
      <c r="K649" s="642"/>
      <c r="L649" s="642"/>
      <c r="M649" s="642"/>
      <c r="N649" s="642"/>
      <c r="O649" s="642"/>
      <c r="P649" s="642"/>
      <c r="Q649" s="642"/>
    </row>
    <row r="650" spans="2:17" ht="15" x14ac:dyDescent="0.2">
      <c r="B650" s="642"/>
      <c r="C650" s="642"/>
      <c r="D650" s="642"/>
      <c r="E650" s="642"/>
      <c r="F650" s="642"/>
      <c r="G650" s="642"/>
      <c r="H650" s="642"/>
      <c r="I650" s="642"/>
      <c r="J650" s="642"/>
      <c r="K650" s="642"/>
      <c r="L650" s="642"/>
      <c r="M650" s="642"/>
      <c r="N650" s="642"/>
      <c r="O650" s="642"/>
      <c r="P650" s="642"/>
      <c r="Q650" s="642"/>
    </row>
    <row r="651" spans="2:17" ht="15" x14ac:dyDescent="0.2">
      <c r="B651" s="642"/>
      <c r="C651" s="642"/>
      <c r="D651" s="642"/>
      <c r="E651" s="642"/>
      <c r="F651" s="642"/>
      <c r="G651" s="642"/>
      <c r="H651" s="642"/>
      <c r="I651" s="642"/>
      <c r="J651" s="642"/>
      <c r="K651" s="642"/>
      <c r="L651" s="642"/>
      <c r="M651" s="642"/>
      <c r="N651" s="642"/>
      <c r="O651" s="642"/>
      <c r="P651" s="642"/>
      <c r="Q651" s="642"/>
    </row>
    <row r="652" spans="2:17" ht="15" x14ac:dyDescent="0.2">
      <c r="B652" s="642"/>
      <c r="C652" s="642"/>
      <c r="D652" s="642"/>
      <c r="E652" s="642"/>
      <c r="F652" s="642"/>
      <c r="G652" s="642"/>
      <c r="H652" s="642"/>
      <c r="I652" s="642"/>
      <c r="J652" s="642"/>
      <c r="K652" s="642"/>
      <c r="L652" s="642"/>
      <c r="M652" s="642"/>
      <c r="N652" s="642"/>
      <c r="O652" s="642"/>
      <c r="P652" s="642"/>
      <c r="Q652" s="642"/>
    </row>
    <row r="653" spans="2:17" ht="15" x14ac:dyDescent="0.2">
      <c r="B653" s="642"/>
      <c r="C653" s="642"/>
      <c r="D653" s="642"/>
      <c r="E653" s="642"/>
      <c r="F653" s="642"/>
      <c r="G653" s="642"/>
      <c r="H653" s="642"/>
      <c r="I653" s="642"/>
      <c r="J653" s="642"/>
      <c r="K653" s="642"/>
      <c r="L653" s="642"/>
      <c r="M653" s="642"/>
      <c r="N653" s="642"/>
      <c r="O653" s="642"/>
      <c r="P653" s="642"/>
      <c r="Q653" s="642"/>
    </row>
    <row r="654" spans="2:17" ht="15" x14ac:dyDescent="0.2">
      <c r="B654" s="642"/>
      <c r="C654" s="642"/>
      <c r="D654" s="642"/>
      <c r="E654" s="642"/>
      <c r="F654" s="642"/>
      <c r="G654" s="642"/>
      <c r="H654" s="642"/>
      <c r="I654" s="642"/>
      <c r="J654" s="642"/>
      <c r="K654" s="642"/>
      <c r="L654" s="642"/>
      <c r="M654" s="642"/>
      <c r="N654" s="642"/>
      <c r="O654" s="642"/>
      <c r="P654" s="642"/>
      <c r="Q654" s="642"/>
    </row>
    <row r="655" spans="2:17" ht="15" x14ac:dyDescent="0.2">
      <c r="B655" s="642"/>
      <c r="C655" s="642"/>
      <c r="D655" s="642"/>
      <c r="E655" s="642"/>
      <c r="F655" s="642"/>
      <c r="G655" s="642"/>
      <c r="H655" s="642"/>
      <c r="I655" s="642"/>
      <c r="J655" s="642"/>
      <c r="K655" s="642"/>
      <c r="L655" s="642"/>
      <c r="M655" s="642"/>
      <c r="N655" s="642"/>
      <c r="O655" s="642"/>
      <c r="P655" s="642"/>
      <c r="Q655" s="642"/>
    </row>
    <row r="656" spans="2:17" ht="15" x14ac:dyDescent="0.2">
      <c r="B656" s="642"/>
      <c r="C656" s="642"/>
      <c r="D656" s="642"/>
      <c r="E656" s="642"/>
      <c r="F656" s="642"/>
      <c r="G656" s="642"/>
      <c r="H656" s="642"/>
      <c r="I656" s="642"/>
      <c r="J656" s="642"/>
      <c r="K656" s="642"/>
      <c r="L656" s="642"/>
      <c r="M656" s="642"/>
      <c r="N656" s="642"/>
      <c r="O656" s="642"/>
      <c r="P656" s="642"/>
      <c r="Q656" s="642"/>
    </row>
    <row r="657" spans="2:17" ht="15" x14ac:dyDescent="0.2">
      <c r="B657" s="642"/>
      <c r="C657" s="642"/>
      <c r="D657" s="642"/>
      <c r="E657" s="642"/>
      <c r="F657" s="642"/>
      <c r="G657" s="642"/>
      <c r="H657" s="642"/>
      <c r="I657" s="642"/>
      <c r="J657" s="642"/>
      <c r="K657" s="642"/>
      <c r="L657" s="642"/>
      <c r="M657" s="642"/>
      <c r="N657" s="642"/>
      <c r="O657" s="642"/>
      <c r="P657" s="642"/>
      <c r="Q657" s="642"/>
    </row>
    <row r="658" spans="2:17" ht="15" x14ac:dyDescent="0.2">
      <c r="B658" s="642"/>
      <c r="C658" s="642"/>
      <c r="D658" s="642"/>
      <c r="E658" s="642"/>
      <c r="F658" s="642"/>
      <c r="G658" s="642"/>
      <c r="H658" s="642"/>
      <c r="I658" s="642"/>
      <c r="J658" s="642"/>
      <c r="K658" s="642"/>
      <c r="L658" s="642"/>
      <c r="M658" s="642"/>
      <c r="N658" s="642"/>
      <c r="O658" s="642"/>
      <c r="P658" s="642"/>
      <c r="Q658" s="642"/>
    </row>
    <row r="659" spans="2:17" ht="15" x14ac:dyDescent="0.2">
      <c r="B659" s="642"/>
      <c r="C659" s="642"/>
      <c r="D659" s="642"/>
      <c r="E659" s="642"/>
      <c r="F659" s="642"/>
      <c r="G659" s="642"/>
      <c r="H659" s="642"/>
      <c r="I659" s="642"/>
      <c r="J659" s="642"/>
      <c r="K659" s="642"/>
      <c r="L659" s="642"/>
      <c r="M659" s="642"/>
      <c r="N659" s="642"/>
      <c r="O659" s="642"/>
      <c r="P659" s="642"/>
      <c r="Q659" s="642"/>
    </row>
    <row r="660" spans="2:17" ht="15" x14ac:dyDescent="0.2">
      <c r="B660" s="642"/>
      <c r="C660" s="642"/>
      <c r="D660" s="642"/>
      <c r="E660" s="642"/>
      <c r="F660" s="642"/>
      <c r="G660" s="642"/>
      <c r="H660" s="642"/>
      <c r="I660" s="642"/>
      <c r="J660" s="642"/>
      <c r="K660" s="642"/>
      <c r="L660" s="642"/>
      <c r="M660" s="642"/>
      <c r="N660" s="642"/>
      <c r="O660" s="642"/>
      <c r="P660" s="642"/>
      <c r="Q660" s="642"/>
    </row>
    <row r="661" spans="2:17" ht="15" x14ac:dyDescent="0.2">
      <c r="B661" s="642"/>
      <c r="C661" s="642"/>
      <c r="D661" s="642"/>
      <c r="E661" s="642"/>
      <c r="F661" s="642"/>
      <c r="G661" s="642"/>
      <c r="H661" s="642"/>
      <c r="I661" s="642"/>
      <c r="J661" s="642"/>
      <c r="K661" s="642"/>
      <c r="L661" s="642"/>
      <c r="M661" s="642"/>
      <c r="N661" s="642"/>
      <c r="O661" s="642"/>
      <c r="P661" s="642"/>
      <c r="Q661" s="642"/>
    </row>
    <row r="662" spans="2:17" ht="15" x14ac:dyDescent="0.2">
      <c r="B662" s="642"/>
      <c r="C662" s="642"/>
      <c r="D662" s="642"/>
      <c r="E662" s="642"/>
      <c r="F662" s="642"/>
      <c r="G662" s="642"/>
      <c r="H662" s="642"/>
      <c r="I662" s="642"/>
      <c r="J662" s="642"/>
      <c r="K662" s="642"/>
      <c r="L662" s="642"/>
      <c r="M662" s="642"/>
      <c r="N662" s="642"/>
      <c r="O662" s="642"/>
      <c r="P662" s="642"/>
      <c r="Q662" s="642"/>
    </row>
    <row r="663" spans="2:17" ht="15" x14ac:dyDescent="0.2">
      <c r="B663" s="642"/>
      <c r="C663" s="642"/>
      <c r="D663" s="642"/>
      <c r="E663" s="642"/>
      <c r="F663" s="642"/>
      <c r="G663" s="642"/>
      <c r="H663" s="642"/>
      <c r="I663" s="642"/>
      <c r="J663" s="642"/>
      <c r="K663" s="642"/>
      <c r="L663" s="642"/>
      <c r="M663" s="642"/>
      <c r="N663" s="642"/>
      <c r="O663" s="642"/>
      <c r="P663" s="642"/>
      <c r="Q663" s="642"/>
    </row>
    <row r="664" spans="2:17" ht="15" x14ac:dyDescent="0.2">
      <c r="B664" s="642"/>
      <c r="C664" s="642"/>
      <c r="D664" s="642"/>
      <c r="E664" s="642"/>
      <c r="F664" s="642"/>
      <c r="G664" s="642"/>
      <c r="H664" s="642"/>
      <c r="I664" s="642"/>
      <c r="J664" s="642"/>
      <c r="K664" s="642"/>
      <c r="L664" s="642"/>
      <c r="M664" s="642"/>
      <c r="N664" s="642"/>
      <c r="O664" s="642"/>
      <c r="P664" s="642"/>
      <c r="Q664" s="642"/>
    </row>
    <row r="665" spans="2:17" ht="15" x14ac:dyDescent="0.2">
      <c r="B665" s="642"/>
      <c r="C665" s="642"/>
      <c r="D665" s="642"/>
      <c r="E665" s="642"/>
      <c r="F665" s="642"/>
      <c r="G665" s="642"/>
      <c r="H665" s="642"/>
      <c r="I665" s="642"/>
      <c r="J665" s="642"/>
      <c r="K665" s="642"/>
      <c r="L665" s="642"/>
      <c r="M665" s="642"/>
      <c r="N665" s="642"/>
      <c r="O665" s="642"/>
      <c r="P665" s="642"/>
      <c r="Q665" s="642"/>
    </row>
    <row r="666" spans="2:17" ht="15" x14ac:dyDescent="0.2">
      <c r="B666" s="642"/>
      <c r="C666" s="642"/>
      <c r="D666" s="642"/>
      <c r="E666" s="642"/>
      <c r="F666" s="642"/>
      <c r="G666" s="642"/>
      <c r="H666" s="642"/>
      <c r="I666" s="642"/>
      <c r="J666" s="642"/>
      <c r="K666" s="642"/>
      <c r="L666" s="642"/>
      <c r="M666" s="642"/>
      <c r="N666" s="642"/>
      <c r="O666" s="642"/>
      <c r="P666" s="642"/>
      <c r="Q666" s="642"/>
    </row>
    <row r="667" spans="2:17" ht="15" x14ac:dyDescent="0.2">
      <c r="B667" s="642"/>
      <c r="C667" s="642"/>
      <c r="D667" s="642"/>
      <c r="E667" s="642"/>
      <c r="F667" s="642"/>
      <c r="G667" s="642"/>
      <c r="H667" s="642"/>
      <c r="I667" s="642"/>
      <c r="J667" s="642"/>
      <c r="K667" s="642"/>
      <c r="L667" s="642"/>
      <c r="M667" s="642"/>
      <c r="N667" s="642"/>
      <c r="O667" s="642"/>
      <c r="P667" s="642"/>
      <c r="Q667" s="642"/>
    </row>
    <row r="668" spans="2:17" ht="15" x14ac:dyDescent="0.2">
      <c r="B668" s="642"/>
      <c r="C668" s="642"/>
      <c r="D668" s="642"/>
      <c r="E668" s="642"/>
      <c r="F668" s="642"/>
      <c r="G668" s="642"/>
      <c r="H668" s="642"/>
      <c r="I668" s="642"/>
      <c r="J668" s="642"/>
      <c r="K668" s="642"/>
      <c r="L668" s="642"/>
      <c r="M668" s="642"/>
      <c r="N668" s="642"/>
      <c r="O668" s="642"/>
      <c r="P668" s="642"/>
      <c r="Q668" s="642"/>
    </row>
    <row r="669" spans="2:17" ht="15" x14ac:dyDescent="0.2">
      <c r="B669" s="642"/>
      <c r="C669" s="642"/>
      <c r="D669" s="642"/>
      <c r="E669" s="642"/>
      <c r="F669" s="642"/>
      <c r="G669" s="642"/>
      <c r="H669" s="642"/>
      <c r="I669" s="642"/>
      <c r="J669" s="642"/>
      <c r="K669" s="642"/>
      <c r="L669" s="642"/>
      <c r="M669" s="642"/>
      <c r="N669" s="642"/>
      <c r="O669" s="642"/>
      <c r="P669" s="642"/>
      <c r="Q669" s="642"/>
    </row>
    <row r="670" spans="2:17" ht="15" x14ac:dyDescent="0.2">
      <c r="B670" s="642"/>
      <c r="C670" s="642"/>
      <c r="D670" s="642"/>
      <c r="E670" s="642"/>
      <c r="F670" s="642"/>
      <c r="G670" s="642"/>
      <c r="H670" s="642"/>
      <c r="I670" s="642"/>
      <c r="J670" s="642"/>
      <c r="K670" s="642"/>
      <c r="L670" s="642"/>
      <c r="M670" s="642"/>
      <c r="N670" s="642"/>
      <c r="O670" s="642"/>
      <c r="P670" s="642"/>
      <c r="Q670" s="642"/>
    </row>
    <row r="671" spans="2:17" ht="15" x14ac:dyDescent="0.2">
      <c r="B671" s="642"/>
      <c r="C671" s="642"/>
      <c r="D671" s="642"/>
      <c r="E671" s="642"/>
      <c r="F671" s="642"/>
      <c r="G671" s="642"/>
      <c r="H671" s="642"/>
      <c r="I671" s="642"/>
      <c r="J671" s="642"/>
      <c r="K671" s="642"/>
      <c r="L671" s="642"/>
      <c r="M671" s="642"/>
      <c r="N671" s="642"/>
      <c r="O671" s="642"/>
      <c r="P671" s="642"/>
      <c r="Q671" s="642"/>
    </row>
    <row r="672" spans="2:17" ht="15" x14ac:dyDescent="0.2">
      <c r="B672" s="642"/>
      <c r="C672" s="642"/>
      <c r="D672" s="642"/>
      <c r="E672" s="642"/>
      <c r="F672" s="642"/>
      <c r="G672" s="642"/>
      <c r="H672" s="642"/>
      <c r="I672" s="642"/>
      <c r="J672" s="642"/>
      <c r="K672" s="642"/>
      <c r="L672" s="642"/>
      <c r="M672" s="642"/>
      <c r="N672" s="642"/>
      <c r="O672" s="642"/>
      <c r="P672" s="642"/>
      <c r="Q672" s="642"/>
    </row>
    <row r="673" spans="2:17" ht="15" x14ac:dyDescent="0.2">
      <c r="B673" s="642"/>
      <c r="C673" s="642"/>
      <c r="D673" s="642"/>
      <c r="E673" s="642"/>
      <c r="F673" s="642"/>
      <c r="G673" s="642"/>
      <c r="H673" s="642"/>
      <c r="I673" s="642"/>
      <c r="J673" s="642"/>
      <c r="K673" s="642"/>
      <c r="L673" s="642"/>
      <c r="M673" s="642"/>
      <c r="N673" s="642"/>
      <c r="O673" s="642"/>
      <c r="P673" s="642"/>
      <c r="Q673" s="642"/>
    </row>
    <row r="674" spans="2:17" ht="15" x14ac:dyDescent="0.2">
      <c r="B674" s="642"/>
      <c r="C674" s="642"/>
      <c r="D674" s="642"/>
      <c r="E674" s="642"/>
      <c r="F674" s="642"/>
      <c r="G674" s="642"/>
      <c r="H674" s="642"/>
      <c r="I674" s="642"/>
      <c r="J674" s="642"/>
      <c r="K674" s="642"/>
      <c r="L674" s="642"/>
      <c r="M674" s="642"/>
      <c r="N674" s="642"/>
      <c r="O674" s="642"/>
      <c r="P674" s="642"/>
      <c r="Q674" s="642"/>
    </row>
    <row r="675" spans="2:17" ht="15" x14ac:dyDescent="0.2">
      <c r="B675" s="642"/>
      <c r="C675" s="642"/>
      <c r="D675" s="642"/>
      <c r="E675" s="642"/>
      <c r="F675" s="642"/>
      <c r="G675" s="642"/>
      <c r="H675" s="642"/>
      <c r="I675" s="642"/>
      <c r="J675" s="642"/>
      <c r="K675" s="642"/>
      <c r="L675" s="642"/>
      <c r="M675" s="642"/>
      <c r="N675" s="642"/>
      <c r="O675" s="642"/>
      <c r="P675" s="642"/>
      <c r="Q675" s="642"/>
    </row>
    <row r="676" spans="2:17" ht="15" x14ac:dyDescent="0.2">
      <c r="B676" s="642"/>
      <c r="C676" s="642"/>
      <c r="D676" s="642"/>
      <c r="E676" s="642"/>
      <c r="F676" s="642"/>
      <c r="G676" s="642"/>
      <c r="H676" s="642"/>
      <c r="I676" s="642"/>
      <c r="J676" s="642"/>
      <c r="K676" s="642"/>
      <c r="L676" s="642"/>
      <c r="M676" s="642"/>
      <c r="N676" s="642"/>
      <c r="O676" s="642"/>
      <c r="P676" s="642"/>
      <c r="Q676" s="642"/>
    </row>
    <row r="677" spans="2:17" ht="15" x14ac:dyDescent="0.2">
      <c r="B677" s="642"/>
      <c r="C677" s="642"/>
      <c r="D677" s="642"/>
      <c r="E677" s="642"/>
      <c r="F677" s="642"/>
      <c r="G677" s="642"/>
      <c r="H677" s="642"/>
      <c r="I677" s="642"/>
      <c r="J677" s="642"/>
      <c r="K677" s="642"/>
      <c r="L677" s="642"/>
      <c r="M677" s="642"/>
      <c r="N677" s="642"/>
      <c r="O677" s="642"/>
      <c r="P677" s="642"/>
      <c r="Q677" s="642"/>
    </row>
    <row r="678" spans="2:17" ht="15" x14ac:dyDescent="0.2">
      <c r="B678" s="642"/>
      <c r="C678" s="642"/>
      <c r="D678" s="642"/>
      <c r="E678" s="642"/>
      <c r="F678" s="642"/>
      <c r="G678" s="642"/>
      <c r="H678" s="642"/>
      <c r="I678" s="642"/>
      <c r="J678" s="642"/>
      <c r="K678" s="642"/>
      <c r="L678" s="642"/>
      <c r="M678" s="642"/>
      <c r="N678" s="642"/>
      <c r="O678" s="642"/>
      <c r="P678" s="642"/>
      <c r="Q678" s="642"/>
    </row>
    <row r="679" spans="2:17" ht="15" x14ac:dyDescent="0.2">
      <c r="B679" s="642"/>
      <c r="C679" s="642"/>
      <c r="D679" s="642"/>
      <c r="E679" s="642"/>
      <c r="F679" s="642"/>
      <c r="G679" s="642"/>
      <c r="H679" s="642"/>
      <c r="I679" s="642"/>
      <c r="J679" s="642"/>
      <c r="K679" s="642"/>
      <c r="L679" s="642"/>
      <c r="M679" s="642"/>
      <c r="N679" s="642"/>
      <c r="O679" s="642"/>
      <c r="P679" s="642"/>
      <c r="Q679" s="642"/>
    </row>
    <row r="680" spans="2:17" ht="15" x14ac:dyDescent="0.2">
      <c r="B680" s="642"/>
      <c r="C680" s="642"/>
      <c r="D680" s="642"/>
      <c r="E680" s="642"/>
      <c r="F680" s="642"/>
      <c r="G680" s="642"/>
      <c r="H680" s="642"/>
      <c r="I680" s="642"/>
      <c r="J680" s="642"/>
      <c r="K680" s="642"/>
      <c r="L680" s="642"/>
      <c r="M680" s="642"/>
      <c r="N680" s="642"/>
      <c r="O680" s="642"/>
      <c r="P680" s="642"/>
      <c r="Q680" s="642"/>
    </row>
    <row r="681" spans="2:17" ht="15" x14ac:dyDescent="0.2">
      <c r="B681" s="642"/>
      <c r="C681" s="642"/>
      <c r="D681" s="642"/>
      <c r="E681" s="642"/>
      <c r="F681" s="642"/>
      <c r="G681" s="642"/>
      <c r="H681" s="642"/>
      <c r="I681" s="642"/>
      <c r="J681" s="642"/>
      <c r="K681" s="642"/>
      <c r="L681" s="642"/>
      <c r="M681" s="642"/>
      <c r="N681" s="642"/>
      <c r="O681" s="642"/>
      <c r="P681" s="642"/>
      <c r="Q681" s="642"/>
    </row>
    <row r="682" spans="2:17" ht="15" x14ac:dyDescent="0.2">
      <c r="B682" s="642"/>
      <c r="C682" s="642"/>
      <c r="D682" s="642"/>
      <c r="E682" s="642"/>
      <c r="F682" s="642"/>
      <c r="G682" s="642"/>
      <c r="H682" s="642"/>
      <c r="I682" s="642"/>
      <c r="J682" s="642"/>
      <c r="K682" s="642"/>
      <c r="L682" s="642"/>
      <c r="M682" s="642"/>
      <c r="N682" s="642"/>
      <c r="O682" s="642"/>
      <c r="P682" s="642"/>
      <c r="Q682" s="642"/>
    </row>
    <row r="683" spans="2:17" ht="15" x14ac:dyDescent="0.2">
      <c r="B683" s="642"/>
      <c r="C683" s="642"/>
      <c r="D683" s="642"/>
      <c r="E683" s="642"/>
      <c r="F683" s="642"/>
      <c r="G683" s="642"/>
      <c r="H683" s="642"/>
      <c r="I683" s="642"/>
      <c r="J683" s="642"/>
      <c r="K683" s="642"/>
      <c r="L683" s="642"/>
      <c r="M683" s="642"/>
      <c r="N683" s="642"/>
      <c r="O683" s="642"/>
      <c r="P683" s="642"/>
      <c r="Q683" s="642"/>
    </row>
    <row r="684" spans="2:17" ht="15" x14ac:dyDescent="0.2">
      <c r="B684" s="642"/>
      <c r="C684" s="642"/>
      <c r="D684" s="642"/>
      <c r="E684" s="642"/>
      <c r="F684" s="642"/>
      <c r="G684" s="642"/>
      <c r="H684" s="642"/>
      <c r="I684" s="642"/>
      <c r="J684" s="642"/>
      <c r="K684" s="642"/>
      <c r="L684" s="642"/>
      <c r="M684" s="642"/>
      <c r="N684" s="642"/>
      <c r="O684" s="642"/>
      <c r="P684" s="642"/>
      <c r="Q684" s="642"/>
    </row>
    <row r="685" spans="2:17" ht="15" x14ac:dyDescent="0.2">
      <c r="B685" s="642"/>
      <c r="C685" s="642"/>
      <c r="D685" s="642"/>
      <c r="E685" s="642"/>
      <c r="F685" s="642"/>
      <c r="G685" s="642"/>
      <c r="H685" s="642"/>
      <c r="I685" s="642"/>
      <c r="J685" s="642"/>
      <c r="K685" s="642"/>
      <c r="L685" s="642"/>
      <c r="M685" s="642"/>
      <c r="N685" s="642"/>
      <c r="O685" s="642"/>
      <c r="P685" s="642"/>
      <c r="Q685" s="642"/>
    </row>
    <row r="686" spans="2:17" ht="15" x14ac:dyDescent="0.2">
      <c r="B686" s="642"/>
      <c r="C686" s="642"/>
      <c r="D686" s="642"/>
      <c r="E686" s="642"/>
      <c r="F686" s="642"/>
      <c r="G686" s="642"/>
      <c r="H686" s="642"/>
      <c r="I686" s="642"/>
      <c r="J686" s="642"/>
      <c r="K686" s="642"/>
      <c r="L686" s="642"/>
      <c r="M686" s="642"/>
      <c r="N686" s="642"/>
      <c r="O686" s="642"/>
      <c r="P686" s="642"/>
      <c r="Q686" s="642"/>
    </row>
    <row r="687" spans="2:17" ht="15" x14ac:dyDescent="0.2">
      <c r="B687" s="642"/>
      <c r="C687" s="642"/>
      <c r="D687" s="642"/>
      <c r="E687" s="642"/>
      <c r="F687" s="642"/>
      <c r="G687" s="642"/>
      <c r="H687" s="642"/>
      <c r="I687" s="642"/>
      <c r="J687" s="642"/>
      <c r="K687" s="642"/>
      <c r="L687" s="642"/>
      <c r="M687" s="642"/>
      <c r="N687" s="642"/>
      <c r="O687" s="642"/>
      <c r="P687" s="642"/>
      <c r="Q687" s="642"/>
    </row>
    <row r="688" spans="2:17" ht="15" x14ac:dyDescent="0.2">
      <c r="B688" s="642"/>
      <c r="C688" s="642"/>
      <c r="D688" s="642"/>
      <c r="E688" s="642"/>
      <c r="F688" s="642"/>
      <c r="G688" s="642"/>
      <c r="H688" s="642"/>
      <c r="I688" s="642"/>
      <c r="J688" s="642"/>
      <c r="K688" s="642"/>
      <c r="L688" s="642"/>
      <c r="M688" s="642"/>
      <c r="N688" s="642"/>
      <c r="O688" s="642"/>
      <c r="P688" s="642"/>
      <c r="Q688" s="642"/>
    </row>
    <row r="689" spans="2:17" ht="15" x14ac:dyDescent="0.2">
      <c r="B689" s="642"/>
      <c r="C689" s="642"/>
      <c r="D689" s="642"/>
      <c r="E689" s="642"/>
      <c r="F689" s="642"/>
      <c r="G689" s="642"/>
      <c r="H689" s="642"/>
      <c r="I689" s="642"/>
      <c r="J689" s="642"/>
      <c r="K689" s="642"/>
      <c r="L689" s="642"/>
      <c r="M689" s="642"/>
      <c r="N689" s="642"/>
      <c r="O689" s="642"/>
      <c r="P689" s="642"/>
      <c r="Q689" s="642"/>
    </row>
    <row r="690" spans="2:17" ht="15" x14ac:dyDescent="0.2">
      <c r="B690" s="642"/>
      <c r="C690" s="642"/>
      <c r="D690" s="642"/>
      <c r="E690" s="642"/>
      <c r="F690" s="642"/>
      <c r="G690" s="642"/>
      <c r="H690" s="642"/>
      <c r="I690" s="642"/>
      <c r="J690" s="642"/>
      <c r="K690" s="642"/>
      <c r="L690" s="642"/>
      <c r="M690" s="642"/>
      <c r="N690" s="642"/>
      <c r="O690" s="642"/>
      <c r="P690" s="642"/>
      <c r="Q690" s="642"/>
    </row>
    <row r="691" spans="2:17" ht="15" x14ac:dyDescent="0.2">
      <c r="B691" s="642"/>
      <c r="C691" s="642"/>
      <c r="D691" s="642"/>
      <c r="E691" s="642"/>
      <c r="F691" s="642"/>
      <c r="G691" s="642"/>
      <c r="H691" s="642"/>
      <c r="I691" s="642"/>
      <c r="J691" s="642"/>
      <c r="K691" s="642"/>
      <c r="L691" s="642"/>
      <c r="M691" s="642"/>
      <c r="N691" s="642"/>
      <c r="O691" s="642"/>
      <c r="P691" s="642"/>
      <c r="Q691" s="642"/>
    </row>
    <row r="692" spans="2:17" ht="15" x14ac:dyDescent="0.2">
      <c r="B692" s="642"/>
      <c r="C692" s="642"/>
      <c r="D692" s="642"/>
      <c r="E692" s="642"/>
      <c r="F692" s="642"/>
      <c r="G692" s="642"/>
      <c r="H692" s="642"/>
      <c r="I692" s="642"/>
      <c r="J692" s="642"/>
      <c r="K692" s="642"/>
      <c r="L692" s="642"/>
      <c r="M692" s="642"/>
      <c r="N692" s="642"/>
      <c r="O692" s="642"/>
      <c r="P692" s="642"/>
      <c r="Q692" s="642"/>
    </row>
    <row r="693" spans="2:17" ht="15" x14ac:dyDescent="0.2">
      <c r="B693" s="642"/>
      <c r="C693" s="642"/>
      <c r="D693" s="642"/>
      <c r="E693" s="642"/>
      <c r="F693" s="642"/>
      <c r="G693" s="642"/>
      <c r="H693" s="642"/>
      <c r="I693" s="642"/>
      <c r="J693" s="642"/>
      <c r="K693" s="642"/>
      <c r="L693" s="642"/>
      <c r="M693" s="642"/>
      <c r="N693" s="642"/>
      <c r="O693" s="642"/>
      <c r="P693" s="642"/>
      <c r="Q693" s="642"/>
    </row>
    <row r="694" spans="2:17" ht="15" x14ac:dyDescent="0.2">
      <c r="B694" s="642"/>
      <c r="C694" s="642"/>
      <c r="D694" s="642"/>
      <c r="E694" s="642"/>
      <c r="F694" s="642"/>
      <c r="G694" s="642"/>
      <c r="H694" s="642"/>
      <c r="I694" s="642"/>
      <c r="J694" s="642"/>
      <c r="K694" s="642"/>
      <c r="L694" s="642"/>
      <c r="M694" s="642"/>
      <c r="N694" s="642"/>
      <c r="O694" s="642"/>
      <c r="P694" s="642"/>
      <c r="Q694" s="642"/>
    </row>
    <row r="695" spans="2:17" ht="15" x14ac:dyDescent="0.2">
      <c r="B695" s="642"/>
      <c r="C695" s="642"/>
      <c r="D695" s="642"/>
      <c r="E695" s="642"/>
      <c r="F695" s="642"/>
      <c r="G695" s="642"/>
      <c r="H695" s="642"/>
      <c r="I695" s="642"/>
      <c r="J695" s="642"/>
      <c r="K695" s="642"/>
      <c r="L695" s="642"/>
      <c r="M695" s="642"/>
      <c r="N695" s="642"/>
      <c r="O695" s="642"/>
      <c r="P695" s="642"/>
      <c r="Q695" s="642"/>
    </row>
    <row r="696" spans="2:17" ht="15" x14ac:dyDescent="0.2">
      <c r="B696" s="642"/>
      <c r="C696" s="642"/>
      <c r="D696" s="642"/>
      <c r="E696" s="642"/>
      <c r="F696" s="642"/>
      <c r="G696" s="642"/>
      <c r="H696" s="642"/>
      <c r="I696" s="642"/>
      <c r="J696" s="642"/>
      <c r="K696" s="642"/>
      <c r="L696" s="642"/>
      <c r="M696" s="642"/>
      <c r="N696" s="642"/>
      <c r="O696" s="642"/>
      <c r="P696" s="642"/>
      <c r="Q696" s="642"/>
    </row>
    <row r="697" spans="2:17" ht="15" x14ac:dyDescent="0.2">
      <c r="B697" s="642"/>
      <c r="C697" s="642"/>
      <c r="D697" s="642"/>
      <c r="E697" s="642"/>
      <c r="F697" s="642"/>
      <c r="G697" s="642"/>
      <c r="H697" s="642"/>
      <c r="I697" s="642"/>
      <c r="J697" s="642"/>
      <c r="K697" s="642"/>
      <c r="L697" s="642"/>
      <c r="M697" s="642"/>
      <c r="N697" s="642"/>
      <c r="O697" s="642"/>
      <c r="P697" s="642"/>
      <c r="Q697" s="642"/>
    </row>
    <row r="698" spans="2:17" ht="15" x14ac:dyDescent="0.2">
      <c r="B698" s="642"/>
      <c r="C698" s="642"/>
      <c r="D698" s="642"/>
      <c r="E698" s="642"/>
      <c r="F698" s="642"/>
      <c r="G698" s="642"/>
      <c r="H698" s="642"/>
      <c r="I698" s="642"/>
      <c r="J698" s="642"/>
      <c r="K698" s="642"/>
      <c r="L698" s="642"/>
      <c r="M698" s="642"/>
      <c r="N698" s="642"/>
      <c r="O698" s="642"/>
      <c r="P698" s="642"/>
      <c r="Q698" s="642"/>
    </row>
    <row r="699" spans="2:17" ht="15" x14ac:dyDescent="0.2">
      <c r="B699" s="642"/>
      <c r="C699" s="642"/>
      <c r="D699" s="642"/>
      <c r="E699" s="642"/>
      <c r="F699" s="642"/>
      <c r="G699" s="642"/>
      <c r="H699" s="642"/>
      <c r="I699" s="642"/>
      <c r="J699" s="642"/>
      <c r="K699" s="642"/>
      <c r="L699" s="642"/>
      <c r="M699" s="642"/>
      <c r="N699" s="642"/>
      <c r="O699" s="642"/>
      <c r="P699" s="642"/>
      <c r="Q699" s="642"/>
    </row>
    <row r="700" spans="2:17" ht="15" x14ac:dyDescent="0.2">
      <c r="B700" s="642"/>
      <c r="C700" s="642"/>
      <c r="D700" s="642"/>
      <c r="E700" s="642"/>
      <c r="F700" s="642"/>
      <c r="G700" s="642"/>
      <c r="H700" s="642"/>
      <c r="I700" s="642"/>
      <c r="J700" s="642"/>
      <c r="K700" s="642"/>
      <c r="L700" s="642"/>
      <c r="M700" s="642"/>
      <c r="N700" s="642"/>
      <c r="O700" s="642"/>
      <c r="P700" s="642"/>
      <c r="Q700" s="642"/>
    </row>
    <row r="701" spans="2:17" ht="15" x14ac:dyDescent="0.2">
      <c r="B701" s="642"/>
      <c r="C701" s="642"/>
      <c r="D701" s="642"/>
      <c r="E701" s="642"/>
      <c r="F701" s="642"/>
      <c r="G701" s="642"/>
      <c r="H701" s="642"/>
      <c r="I701" s="642"/>
      <c r="J701" s="642"/>
      <c r="K701" s="642"/>
      <c r="L701" s="642"/>
      <c r="M701" s="642"/>
      <c r="N701" s="642"/>
      <c r="O701" s="642"/>
      <c r="P701" s="642"/>
      <c r="Q701" s="642"/>
    </row>
    <row r="702" spans="2:17" ht="15" x14ac:dyDescent="0.2">
      <c r="B702" s="642"/>
      <c r="C702" s="642"/>
      <c r="D702" s="642"/>
      <c r="E702" s="642"/>
      <c r="F702" s="642"/>
      <c r="G702" s="642"/>
      <c r="H702" s="642"/>
      <c r="I702" s="642"/>
      <c r="J702" s="642"/>
      <c r="K702" s="642"/>
      <c r="L702" s="642"/>
      <c r="M702" s="642"/>
      <c r="N702" s="642"/>
      <c r="O702" s="642"/>
      <c r="P702" s="642"/>
      <c r="Q702" s="642"/>
    </row>
    <row r="703" spans="2:17" ht="15" x14ac:dyDescent="0.2">
      <c r="B703" s="642"/>
      <c r="C703" s="642"/>
      <c r="D703" s="642"/>
      <c r="E703" s="642"/>
      <c r="F703" s="642"/>
      <c r="G703" s="642"/>
      <c r="H703" s="642"/>
      <c r="I703" s="642"/>
      <c r="J703" s="642"/>
      <c r="K703" s="642"/>
      <c r="L703" s="642"/>
      <c r="M703" s="642"/>
      <c r="N703" s="642"/>
      <c r="O703" s="642"/>
      <c r="P703" s="642"/>
      <c r="Q703" s="642"/>
    </row>
    <row r="704" spans="2:17" ht="15" x14ac:dyDescent="0.2">
      <c r="B704" s="642"/>
      <c r="C704" s="642"/>
      <c r="D704" s="642"/>
      <c r="E704" s="642"/>
      <c r="F704" s="642"/>
      <c r="G704" s="642"/>
      <c r="H704" s="642"/>
      <c r="I704" s="642"/>
      <c r="J704" s="642"/>
      <c r="K704" s="642"/>
      <c r="L704" s="642"/>
      <c r="M704" s="642"/>
      <c r="N704" s="642"/>
      <c r="O704" s="642"/>
      <c r="P704" s="642"/>
      <c r="Q704" s="642"/>
    </row>
    <row r="705" spans="2:17" ht="15" x14ac:dyDescent="0.2">
      <c r="B705" s="642"/>
      <c r="C705" s="642"/>
      <c r="D705" s="642"/>
      <c r="E705" s="642"/>
      <c r="F705" s="642"/>
      <c r="G705" s="642"/>
      <c r="H705" s="642"/>
      <c r="I705" s="642"/>
      <c r="J705" s="642"/>
      <c r="K705" s="642"/>
      <c r="L705" s="642"/>
      <c r="M705" s="642"/>
      <c r="N705" s="642"/>
      <c r="O705" s="642"/>
      <c r="P705" s="642"/>
      <c r="Q705" s="642"/>
    </row>
    <row r="706" spans="2:17" ht="15" x14ac:dyDescent="0.2">
      <c r="B706" s="642"/>
      <c r="C706" s="642"/>
      <c r="D706" s="642"/>
      <c r="E706" s="642"/>
      <c r="F706" s="642"/>
      <c r="G706" s="642"/>
      <c r="H706" s="642"/>
      <c r="I706" s="642"/>
      <c r="J706" s="642"/>
      <c r="K706" s="642"/>
      <c r="L706" s="642"/>
      <c r="M706" s="642"/>
      <c r="N706" s="642"/>
      <c r="O706" s="642"/>
      <c r="P706" s="642"/>
      <c r="Q706" s="642"/>
    </row>
    <row r="707" spans="2:17" ht="15" x14ac:dyDescent="0.2">
      <c r="B707" s="642"/>
      <c r="C707" s="642"/>
      <c r="D707" s="642"/>
      <c r="E707" s="642"/>
      <c r="F707" s="642"/>
      <c r="G707" s="642"/>
      <c r="H707" s="642"/>
      <c r="I707" s="642"/>
      <c r="J707" s="642"/>
      <c r="K707" s="642"/>
      <c r="L707" s="642"/>
      <c r="M707" s="642"/>
      <c r="N707" s="642"/>
      <c r="O707" s="642"/>
      <c r="P707" s="642"/>
      <c r="Q707" s="642"/>
    </row>
    <row r="708" spans="2:17" ht="15" x14ac:dyDescent="0.2">
      <c r="B708" s="642"/>
      <c r="C708" s="642"/>
      <c r="D708" s="642"/>
      <c r="E708" s="642"/>
      <c r="F708" s="642"/>
      <c r="G708" s="642"/>
      <c r="H708" s="642"/>
      <c r="I708" s="642"/>
      <c r="J708" s="642"/>
      <c r="K708" s="642"/>
      <c r="L708" s="642"/>
      <c r="M708" s="642"/>
      <c r="N708" s="642"/>
      <c r="O708" s="642"/>
      <c r="P708" s="642"/>
      <c r="Q708" s="642"/>
    </row>
    <row r="709" spans="2:17" ht="15" x14ac:dyDescent="0.2">
      <c r="B709" s="642"/>
      <c r="C709" s="642"/>
      <c r="D709" s="642"/>
      <c r="E709" s="642"/>
      <c r="F709" s="642"/>
      <c r="G709" s="642"/>
      <c r="H709" s="642"/>
      <c r="I709" s="642"/>
      <c r="J709" s="642"/>
      <c r="K709" s="642"/>
      <c r="L709" s="642"/>
      <c r="M709" s="642"/>
      <c r="N709" s="642"/>
      <c r="O709" s="642"/>
      <c r="P709" s="642"/>
      <c r="Q709" s="642"/>
    </row>
    <row r="710" spans="2:17" ht="15" x14ac:dyDescent="0.2">
      <c r="B710" s="642"/>
      <c r="C710" s="642"/>
      <c r="D710" s="642"/>
      <c r="E710" s="642"/>
      <c r="F710" s="642"/>
      <c r="G710" s="642"/>
      <c r="H710" s="642"/>
      <c r="I710" s="642"/>
      <c r="J710" s="642"/>
      <c r="K710" s="642"/>
      <c r="L710" s="642"/>
      <c r="M710" s="642"/>
      <c r="N710" s="642"/>
      <c r="O710" s="642"/>
      <c r="P710" s="642"/>
      <c r="Q710" s="642"/>
    </row>
    <row r="711" spans="2:17" ht="15" x14ac:dyDescent="0.2">
      <c r="B711" s="642"/>
      <c r="C711" s="642"/>
      <c r="D711" s="642"/>
      <c r="E711" s="642"/>
      <c r="F711" s="642"/>
      <c r="G711" s="642"/>
      <c r="H711" s="642"/>
      <c r="I711" s="642"/>
      <c r="J711" s="642"/>
      <c r="K711" s="642"/>
      <c r="L711" s="642"/>
      <c r="M711" s="642"/>
      <c r="N711" s="642"/>
      <c r="O711" s="642"/>
      <c r="P711" s="642"/>
      <c r="Q711" s="642"/>
    </row>
    <row r="712" spans="2:17" ht="15" x14ac:dyDescent="0.2">
      <c r="B712" s="642"/>
      <c r="C712" s="642"/>
      <c r="D712" s="642"/>
      <c r="E712" s="642"/>
      <c r="F712" s="642"/>
      <c r="G712" s="642"/>
      <c r="H712" s="642"/>
      <c r="I712" s="642"/>
      <c r="J712" s="642"/>
      <c r="K712" s="642"/>
      <c r="L712" s="642"/>
      <c r="M712" s="642"/>
      <c r="N712" s="642"/>
      <c r="O712" s="642"/>
      <c r="P712" s="642"/>
      <c r="Q712" s="642"/>
    </row>
    <row r="713" spans="2:17" ht="15" x14ac:dyDescent="0.2">
      <c r="B713" s="642"/>
      <c r="C713" s="642"/>
      <c r="D713" s="642"/>
      <c r="E713" s="642"/>
      <c r="F713" s="642"/>
      <c r="G713" s="642"/>
      <c r="H713" s="642"/>
      <c r="I713" s="642"/>
      <c r="J713" s="642"/>
      <c r="K713" s="642"/>
      <c r="L713" s="642"/>
      <c r="M713" s="642"/>
      <c r="N713" s="642"/>
      <c r="O713" s="642"/>
      <c r="P713" s="642"/>
      <c r="Q713" s="642"/>
    </row>
    <row r="714" spans="2:17" ht="15" x14ac:dyDescent="0.2">
      <c r="B714" s="642"/>
      <c r="C714" s="642"/>
      <c r="D714" s="642"/>
      <c r="E714" s="642"/>
      <c r="F714" s="642"/>
      <c r="G714" s="642"/>
      <c r="H714" s="642"/>
      <c r="I714" s="642"/>
      <c r="J714" s="642"/>
      <c r="K714" s="642"/>
      <c r="L714" s="642"/>
      <c r="M714" s="642"/>
      <c r="N714" s="642"/>
      <c r="O714" s="642"/>
      <c r="P714" s="642"/>
      <c r="Q714" s="642"/>
    </row>
    <row r="715" spans="2:17" ht="15" x14ac:dyDescent="0.2">
      <c r="B715" s="642"/>
      <c r="C715" s="642"/>
      <c r="D715" s="642"/>
      <c r="E715" s="642"/>
      <c r="F715" s="642"/>
      <c r="G715" s="642"/>
      <c r="H715" s="642"/>
      <c r="I715" s="642"/>
      <c r="J715" s="642"/>
      <c r="K715" s="642"/>
      <c r="L715" s="642"/>
      <c r="M715" s="642"/>
      <c r="N715" s="642"/>
      <c r="O715" s="642"/>
      <c r="P715" s="642"/>
      <c r="Q715" s="642"/>
    </row>
    <row r="716" spans="2:17" ht="15" x14ac:dyDescent="0.2">
      <c r="B716" s="642"/>
      <c r="C716" s="642"/>
      <c r="D716" s="642"/>
      <c r="E716" s="642"/>
      <c r="F716" s="642"/>
      <c r="G716" s="642"/>
      <c r="H716" s="642"/>
      <c r="I716" s="642"/>
      <c r="J716" s="642"/>
      <c r="K716" s="642"/>
      <c r="L716" s="642"/>
      <c r="M716" s="642"/>
      <c r="N716" s="642"/>
      <c r="O716" s="642"/>
      <c r="P716" s="642"/>
      <c r="Q716" s="642"/>
    </row>
    <row r="717" spans="2:17" ht="15" x14ac:dyDescent="0.2">
      <c r="B717" s="642"/>
      <c r="C717" s="642"/>
      <c r="D717" s="642"/>
      <c r="E717" s="642"/>
      <c r="F717" s="642"/>
      <c r="G717" s="642"/>
      <c r="H717" s="642"/>
      <c r="I717" s="642"/>
      <c r="J717" s="642"/>
      <c r="K717" s="642"/>
      <c r="L717" s="642"/>
      <c r="M717" s="642"/>
      <c r="N717" s="642"/>
      <c r="O717" s="642"/>
      <c r="P717" s="642"/>
      <c r="Q717" s="642"/>
    </row>
    <row r="718" spans="2:17" ht="15" x14ac:dyDescent="0.2">
      <c r="B718" s="642"/>
      <c r="C718" s="642"/>
      <c r="D718" s="642"/>
      <c r="E718" s="642"/>
      <c r="F718" s="642"/>
      <c r="G718" s="642"/>
      <c r="H718" s="642"/>
      <c r="I718" s="642"/>
      <c r="J718" s="642"/>
      <c r="K718" s="642"/>
      <c r="L718" s="642"/>
      <c r="M718" s="642"/>
      <c r="N718" s="642"/>
      <c r="O718" s="642"/>
      <c r="P718" s="642"/>
      <c r="Q718" s="642"/>
    </row>
    <row r="719" spans="2:17" ht="15" x14ac:dyDescent="0.2">
      <c r="B719" s="642"/>
      <c r="C719" s="642"/>
      <c r="D719" s="642"/>
      <c r="E719" s="642"/>
      <c r="F719" s="642"/>
      <c r="G719" s="642"/>
      <c r="H719" s="642"/>
      <c r="I719" s="642"/>
      <c r="J719" s="642"/>
      <c r="K719" s="642"/>
      <c r="L719" s="642"/>
      <c r="M719" s="642"/>
      <c r="N719" s="642"/>
      <c r="O719" s="642"/>
      <c r="P719" s="642"/>
      <c r="Q719" s="642"/>
    </row>
    <row r="720" spans="2:17" ht="15" x14ac:dyDescent="0.2">
      <c r="B720" s="642"/>
      <c r="C720" s="642"/>
      <c r="D720" s="642"/>
      <c r="E720" s="642"/>
      <c r="F720" s="642"/>
      <c r="G720" s="642"/>
      <c r="H720" s="642"/>
      <c r="I720" s="642"/>
      <c r="J720" s="642"/>
      <c r="K720" s="642"/>
      <c r="L720" s="642"/>
      <c r="M720" s="642"/>
      <c r="N720" s="642"/>
      <c r="O720" s="642"/>
      <c r="P720" s="642"/>
      <c r="Q720" s="642"/>
    </row>
    <row r="721" spans="2:17" ht="15" x14ac:dyDescent="0.2">
      <c r="B721" s="642"/>
      <c r="C721" s="642"/>
      <c r="D721" s="642"/>
      <c r="E721" s="642"/>
      <c r="F721" s="642"/>
      <c r="G721" s="642"/>
      <c r="H721" s="642"/>
      <c r="I721" s="642"/>
      <c r="J721" s="642"/>
      <c r="K721" s="642"/>
      <c r="L721" s="642"/>
      <c r="M721" s="642"/>
      <c r="N721" s="642"/>
      <c r="O721" s="642"/>
      <c r="P721" s="642"/>
      <c r="Q721" s="642"/>
    </row>
    <row r="722" spans="2:17" ht="15" x14ac:dyDescent="0.2">
      <c r="B722" s="642"/>
      <c r="C722" s="642"/>
      <c r="D722" s="642"/>
      <c r="E722" s="642"/>
      <c r="F722" s="642"/>
      <c r="G722" s="642"/>
      <c r="H722" s="642"/>
      <c r="I722" s="642"/>
      <c r="J722" s="642"/>
      <c r="K722" s="642"/>
      <c r="L722" s="642"/>
      <c r="M722" s="642"/>
      <c r="N722" s="642"/>
      <c r="O722" s="642"/>
      <c r="P722" s="642"/>
      <c r="Q722" s="642"/>
    </row>
    <row r="723" spans="2:17" ht="15" x14ac:dyDescent="0.2">
      <c r="B723" s="642"/>
      <c r="C723" s="642"/>
      <c r="D723" s="642"/>
      <c r="E723" s="642"/>
      <c r="F723" s="642"/>
      <c r="G723" s="642"/>
      <c r="H723" s="642"/>
      <c r="I723" s="642"/>
      <c r="J723" s="642"/>
      <c r="K723" s="642"/>
      <c r="L723" s="642"/>
      <c r="M723" s="642"/>
      <c r="N723" s="642"/>
      <c r="O723" s="642"/>
      <c r="P723" s="642"/>
      <c r="Q723" s="642"/>
    </row>
    <row r="724" spans="2:17" ht="15" x14ac:dyDescent="0.2">
      <c r="B724" s="642"/>
      <c r="C724" s="642"/>
      <c r="D724" s="642"/>
      <c r="E724" s="642"/>
      <c r="F724" s="642"/>
      <c r="G724" s="642"/>
      <c r="H724" s="642"/>
      <c r="I724" s="642"/>
      <c r="J724" s="642"/>
      <c r="K724" s="642"/>
      <c r="L724" s="642"/>
      <c r="M724" s="642"/>
      <c r="N724" s="642"/>
      <c r="O724" s="642"/>
      <c r="P724" s="642"/>
      <c r="Q724" s="642"/>
    </row>
    <row r="725" spans="2:17" ht="15" x14ac:dyDescent="0.2">
      <c r="B725" s="642"/>
      <c r="C725" s="642"/>
      <c r="D725" s="642"/>
      <c r="E725" s="642"/>
      <c r="F725" s="642"/>
      <c r="G725" s="642"/>
      <c r="H725" s="642"/>
      <c r="I725" s="642"/>
      <c r="J725" s="642"/>
      <c r="K725" s="642"/>
      <c r="L725" s="642"/>
      <c r="M725" s="642"/>
      <c r="N725" s="642"/>
      <c r="O725" s="642"/>
      <c r="P725" s="642"/>
      <c r="Q725" s="642"/>
    </row>
    <row r="726" spans="2:17" ht="15" x14ac:dyDescent="0.2">
      <c r="B726" s="642"/>
      <c r="C726" s="642"/>
      <c r="D726" s="642"/>
      <c r="E726" s="642"/>
      <c r="F726" s="642"/>
      <c r="G726" s="642"/>
      <c r="H726" s="642"/>
      <c r="I726" s="642"/>
      <c r="J726" s="642"/>
      <c r="K726" s="642"/>
      <c r="L726" s="642"/>
      <c r="M726" s="642"/>
      <c r="N726" s="642"/>
      <c r="O726" s="642"/>
      <c r="P726" s="642"/>
      <c r="Q726" s="642"/>
    </row>
    <row r="727" spans="2:17" ht="15" x14ac:dyDescent="0.2">
      <c r="B727" s="642"/>
      <c r="C727" s="642"/>
      <c r="D727" s="642"/>
      <c r="E727" s="642"/>
      <c r="F727" s="642"/>
      <c r="G727" s="642"/>
      <c r="H727" s="642"/>
      <c r="I727" s="642"/>
      <c r="J727" s="642"/>
      <c r="K727" s="642"/>
      <c r="L727" s="642"/>
      <c r="M727" s="642"/>
      <c r="N727" s="642"/>
      <c r="O727" s="642"/>
      <c r="P727" s="642"/>
      <c r="Q727" s="642"/>
    </row>
    <row r="728" spans="2:17" ht="15" x14ac:dyDescent="0.2">
      <c r="B728" s="642"/>
      <c r="C728" s="642"/>
      <c r="D728" s="642"/>
      <c r="E728" s="642"/>
      <c r="F728" s="642"/>
      <c r="G728" s="642"/>
      <c r="H728" s="642"/>
      <c r="I728" s="642"/>
      <c r="J728" s="642"/>
      <c r="K728" s="642"/>
      <c r="L728" s="642"/>
      <c r="M728" s="642"/>
      <c r="N728" s="642"/>
      <c r="O728" s="642"/>
      <c r="P728" s="642"/>
      <c r="Q728" s="642"/>
    </row>
    <row r="729" spans="2:17" ht="15" x14ac:dyDescent="0.2">
      <c r="B729" s="642"/>
      <c r="C729" s="642"/>
      <c r="D729" s="642"/>
      <c r="E729" s="642"/>
      <c r="F729" s="642"/>
      <c r="G729" s="642"/>
      <c r="H729" s="642"/>
      <c r="I729" s="642"/>
      <c r="J729" s="642"/>
      <c r="K729" s="642"/>
      <c r="L729" s="642"/>
      <c r="M729" s="642"/>
      <c r="N729" s="642"/>
      <c r="O729" s="642"/>
      <c r="P729" s="642"/>
      <c r="Q729" s="642"/>
    </row>
    <row r="730" spans="2:17" ht="15" x14ac:dyDescent="0.2">
      <c r="B730" s="642"/>
      <c r="C730" s="642"/>
      <c r="D730" s="642"/>
      <c r="E730" s="642"/>
      <c r="F730" s="642"/>
      <c r="G730" s="642"/>
      <c r="H730" s="642"/>
      <c r="I730" s="642"/>
      <c r="J730" s="642"/>
      <c r="K730" s="642"/>
      <c r="L730" s="642"/>
      <c r="M730" s="642"/>
      <c r="N730" s="642"/>
      <c r="O730" s="642"/>
      <c r="P730" s="642"/>
      <c r="Q730" s="642"/>
    </row>
    <row r="731" spans="2:17" ht="15" x14ac:dyDescent="0.2">
      <c r="B731" s="642"/>
      <c r="C731" s="642"/>
      <c r="D731" s="642"/>
      <c r="E731" s="642"/>
      <c r="F731" s="642"/>
      <c r="G731" s="642"/>
      <c r="H731" s="642"/>
      <c r="I731" s="642"/>
      <c r="J731" s="642"/>
      <c r="K731" s="642"/>
      <c r="L731" s="642"/>
      <c r="M731" s="642"/>
      <c r="N731" s="642"/>
      <c r="O731" s="642"/>
      <c r="P731" s="642"/>
      <c r="Q731" s="642"/>
    </row>
    <row r="732" spans="2:17" ht="15" x14ac:dyDescent="0.2">
      <c r="B732" s="642"/>
      <c r="C732" s="642"/>
      <c r="D732" s="642"/>
      <c r="E732" s="642"/>
      <c r="F732" s="642"/>
      <c r="G732" s="642"/>
      <c r="H732" s="642"/>
      <c r="I732" s="642"/>
      <c r="J732" s="642"/>
      <c r="K732" s="642"/>
      <c r="L732" s="642"/>
      <c r="M732" s="642"/>
      <c r="N732" s="642"/>
      <c r="O732" s="642"/>
      <c r="P732" s="642"/>
      <c r="Q732" s="642"/>
    </row>
    <row r="733" spans="2:17" ht="15" x14ac:dyDescent="0.2">
      <c r="B733" s="642"/>
      <c r="C733" s="642"/>
      <c r="D733" s="642"/>
      <c r="E733" s="642"/>
      <c r="F733" s="642"/>
      <c r="G733" s="642"/>
      <c r="H733" s="642"/>
      <c r="I733" s="642"/>
      <c r="J733" s="642"/>
      <c r="K733" s="642"/>
      <c r="L733" s="642"/>
      <c r="M733" s="642"/>
      <c r="N733" s="642"/>
      <c r="O733" s="642"/>
      <c r="P733" s="642"/>
      <c r="Q733" s="642"/>
    </row>
    <row r="734" spans="2:17" ht="15" x14ac:dyDescent="0.2">
      <c r="B734" s="642"/>
      <c r="C734" s="642"/>
      <c r="D734" s="642"/>
      <c r="E734" s="642"/>
      <c r="F734" s="642"/>
      <c r="G734" s="642"/>
      <c r="H734" s="642"/>
      <c r="I734" s="642"/>
      <c r="J734" s="642"/>
      <c r="K734" s="642"/>
      <c r="L734" s="642"/>
      <c r="M734" s="642"/>
      <c r="N734" s="642"/>
      <c r="O734" s="642"/>
      <c r="P734" s="642"/>
      <c r="Q734" s="642"/>
    </row>
    <row r="735" spans="2:17" ht="15" x14ac:dyDescent="0.2">
      <c r="B735" s="642"/>
      <c r="C735" s="642"/>
      <c r="D735" s="642"/>
      <c r="E735" s="642"/>
      <c r="F735" s="642"/>
      <c r="G735" s="642"/>
      <c r="H735" s="642"/>
      <c r="I735" s="642"/>
      <c r="J735" s="642"/>
      <c r="K735" s="642"/>
      <c r="L735" s="642"/>
      <c r="M735" s="642"/>
      <c r="N735" s="642"/>
      <c r="O735" s="642"/>
      <c r="P735" s="642"/>
      <c r="Q735" s="642"/>
    </row>
    <row r="736" spans="2:17" ht="15" x14ac:dyDescent="0.2">
      <c r="B736" s="642"/>
      <c r="C736" s="642"/>
      <c r="D736" s="642"/>
      <c r="E736" s="642"/>
      <c r="F736" s="642"/>
      <c r="G736" s="642"/>
      <c r="H736" s="642"/>
      <c r="I736" s="642"/>
      <c r="J736" s="642"/>
      <c r="K736" s="642"/>
      <c r="L736" s="642"/>
      <c r="M736" s="642"/>
      <c r="N736" s="642"/>
      <c r="O736" s="642"/>
      <c r="P736" s="642"/>
      <c r="Q736" s="642"/>
    </row>
    <row r="737" spans="2:17" ht="15" x14ac:dyDescent="0.2">
      <c r="B737" s="642"/>
      <c r="C737" s="642"/>
      <c r="D737" s="642"/>
      <c r="E737" s="642"/>
      <c r="F737" s="642"/>
      <c r="G737" s="642"/>
      <c r="H737" s="642"/>
      <c r="I737" s="642"/>
      <c r="J737" s="642"/>
      <c r="K737" s="642"/>
      <c r="L737" s="642"/>
      <c r="M737" s="642"/>
      <c r="N737" s="642"/>
      <c r="O737" s="642"/>
      <c r="P737" s="642"/>
      <c r="Q737" s="642"/>
    </row>
    <row r="738" spans="2:17" ht="15" x14ac:dyDescent="0.2">
      <c r="B738" s="642"/>
      <c r="C738" s="642"/>
      <c r="D738" s="642"/>
      <c r="E738" s="642"/>
      <c r="F738" s="642"/>
      <c r="G738" s="642"/>
      <c r="H738" s="642"/>
      <c r="I738" s="642"/>
      <c r="J738" s="642"/>
      <c r="K738" s="642"/>
      <c r="L738" s="642"/>
      <c r="M738" s="642"/>
      <c r="N738" s="642"/>
      <c r="O738" s="642"/>
      <c r="P738" s="642"/>
      <c r="Q738" s="642"/>
    </row>
    <row r="739" spans="2:17" ht="15" x14ac:dyDescent="0.2">
      <c r="B739" s="642"/>
      <c r="C739" s="642"/>
      <c r="D739" s="642"/>
      <c r="E739" s="642"/>
      <c r="F739" s="642"/>
      <c r="G739" s="642"/>
      <c r="H739" s="642"/>
      <c r="I739" s="642"/>
      <c r="J739" s="642"/>
      <c r="K739" s="642"/>
      <c r="L739" s="642"/>
      <c r="M739" s="642"/>
      <c r="N739" s="642"/>
      <c r="O739" s="642"/>
      <c r="P739" s="642"/>
      <c r="Q739" s="642"/>
    </row>
    <row r="740" spans="2:17" ht="15" x14ac:dyDescent="0.2">
      <c r="B740" s="642"/>
      <c r="C740" s="642"/>
      <c r="D740" s="642"/>
      <c r="E740" s="642"/>
      <c r="F740" s="642"/>
      <c r="G740" s="642"/>
      <c r="H740" s="642"/>
      <c r="I740" s="642"/>
      <c r="J740" s="642"/>
      <c r="K740" s="642"/>
      <c r="L740" s="642"/>
      <c r="M740" s="642"/>
      <c r="N740" s="642"/>
      <c r="O740" s="642"/>
      <c r="P740" s="642"/>
      <c r="Q740" s="642"/>
    </row>
    <row r="741" spans="2:17" ht="15" x14ac:dyDescent="0.2">
      <c r="B741" s="642"/>
      <c r="C741" s="642"/>
      <c r="D741" s="642"/>
      <c r="E741" s="642"/>
      <c r="F741" s="642"/>
      <c r="G741" s="642"/>
      <c r="H741" s="642"/>
      <c r="I741" s="642"/>
      <c r="J741" s="642"/>
      <c r="K741" s="642"/>
      <c r="L741" s="642"/>
      <c r="M741" s="642"/>
      <c r="N741" s="642"/>
      <c r="O741" s="642"/>
      <c r="P741" s="642"/>
      <c r="Q741" s="642"/>
    </row>
    <row r="742" spans="2:17" ht="15" x14ac:dyDescent="0.2">
      <c r="B742" s="642"/>
      <c r="C742" s="642"/>
      <c r="D742" s="642"/>
      <c r="E742" s="642"/>
      <c r="F742" s="642"/>
      <c r="G742" s="642"/>
      <c r="H742" s="642"/>
      <c r="I742" s="642"/>
      <c r="J742" s="642"/>
      <c r="K742" s="642"/>
      <c r="L742" s="642"/>
      <c r="M742" s="642"/>
      <c r="N742" s="642"/>
      <c r="O742" s="642"/>
      <c r="P742" s="642"/>
      <c r="Q742" s="642"/>
    </row>
    <row r="743" spans="2:17" ht="15" x14ac:dyDescent="0.2">
      <c r="B743" s="642"/>
      <c r="C743" s="642"/>
      <c r="D743" s="642"/>
      <c r="E743" s="642"/>
      <c r="F743" s="642"/>
      <c r="G743" s="642"/>
      <c r="H743" s="642"/>
      <c r="I743" s="642"/>
      <c r="J743" s="642"/>
      <c r="K743" s="642"/>
      <c r="L743" s="642"/>
      <c r="M743" s="642"/>
      <c r="N743" s="642"/>
      <c r="O743" s="642"/>
      <c r="P743" s="642"/>
      <c r="Q743" s="642"/>
    </row>
    <row r="744" spans="2:17" ht="15" x14ac:dyDescent="0.2">
      <c r="B744" s="642"/>
      <c r="C744" s="642"/>
      <c r="D744" s="642"/>
      <c r="E744" s="642"/>
      <c r="F744" s="642"/>
      <c r="G744" s="642"/>
      <c r="H744" s="642"/>
      <c r="I744" s="642"/>
      <c r="J744" s="642"/>
      <c r="K744" s="642"/>
      <c r="L744" s="642"/>
      <c r="M744" s="642"/>
      <c r="N744" s="642"/>
      <c r="O744" s="642"/>
      <c r="P744" s="642"/>
      <c r="Q744" s="642"/>
    </row>
    <row r="745" spans="2:17" ht="15" x14ac:dyDescent="0.2">
      <c r="B745" s="642"/>
      <c r="C745" s="642"/>
      <c r="D745" s="642"/>
      <c r="E745" s="642"/>
      <c r="F745" s="642"/>
      <c r="G745" s="642"/>
      <c r="H745" s="642"/>
      <c r="I745" s="642"/>
      <c r="J745" s="642"/>
      <c r="K745" s="642"/>
      <c r="L745" s="642"/>
      <c r="M745" s="642"/>
      <c r="N745" s="642"/>
      <c r="O745" s="642"/>
      <c r="P745" s="642"/>
      <c r="Q745" s="642"/>
    </row>
    <row r="746" spans="2:17" ht="15" x14ac:dyDescent="0.2">
      <c r="B746" s="642"/>
      <c r="C746" s="642"/>
      <c r="D746" s="642"/>
      <c r="E746" s="642"/>
      <c r="F746" s="642"/>
      <c r="G746" s="642"/>
      <c r="H746" s="642"/>
      <c r="I746" s="642"/>
      <c r="J746" s="642"/>
      <c r="K746" s="642"/>
      <c r="L746" s="642"/>
      <c r="M746" s="642"/>
      <c r="N746" s="642"/>
      <c r="O746" s="642"/>
      <c r="P746" s="642"/>
      <c r="Q746" s="642"/>
    </row>
    <row r="747" spans="2:17" ht="15" x14ac:dyDescent="0.2">
      <c r="B747" s="642"/>
      <c r="C747" s="642"/>
      <c r="D747" s="642"/>
      <c r="E747" s="642"/>
      <c r="F747" s="642"/>
      <c r="G747" s="642"/>
      <c r="H747" s="642"/>
      <c r="I747" s="642"/>
      <c r="J747" s="642"/>
      <c r="K747" s="642"/>
      <c r="L747" s="642"/>
      <c r="M747" s="642"/>
      <c r="N747" s="642"/>
      <c r="O747" s="642"/>
      <c r="P747" s="642"/>
      <c r="Q747" s="642"/>
    </row>
    <row r="748" spans="2:17" ht="15" x14ac:dyDescent="0.2">
      <c r="B748" s="642"/>
      <c r="C748" s="642"/>
      <c r="D748" s="642"/>
      <c r="E748" s="642"/>
      <c r="F748" s="642"/>
      <c r="G748" s="642"/>
      <c r="H748" s="642"/>
      <c r="I748" s="642"/>
      <c r="J748" s="642"/>
      <c r="K748" s="642"/>
      <c r="L748" s="642"/>
      <c r="M748" s="642"/>
      <c r="N748" s="642"/>
      <c r="O748" s="642"/>
      <c r="P748" s="642"/>
      <c r="Q748" s="642"/>
    </row>
    <row r="749" spans="2:17" ht="15" x14ac:dyDescent="0.2">
      <c r="B749" s="642"/>
      <c r="C749" s="642"/>
      <c r="D749" s="642"/>
      <c r="E749" s="642"/>
      <c r="F749" s="642"/>
      <c r="G749" s="642"/>
      <c r="H749" s="642"/>
      <c r="I749" s="642"/>
      <c r="J749" s="642"/>
      <c r="K749" s="642"/>
      <c r="L749" s="642"/>
      <c r="M749" s="642"/>
      <c r="N749" s="642"/>
      <c r="O749" s="642"/>
      <c r="P749" s="642"/>
      <c r="Q749" s="642"/>
    </row>
    <row r="750" spans="2:17" ht="15" x14ac:dyDescent="0.2">
      <c r="B750" s="642"/>
      <c r="C750" s="642"/>
      <c r="D750" s="642"/>
      <c r="E750" s="642"/>
      <c r="F750" s="642"/>
      <c r="G750" s="642"/>
      <c r="H750" s="642"/>
      <c r="I750" s="642"/>
      <c r="J750" s="642"/>
      <c r="K750" s="642"/>
      <c r="L750" s="642"/>
      <c r="M750" s="642"/>
      <c r="N750" s="642"/>
      <c r="O750" s="642"/>
      <c r="P750" s="642"/>
      <c r="Q750" s="642"/>
    </row>
    <row r="751" spans="2:17" ht="15" x14ac:dyDescent="0.2">
      <c r="B751" s="642"/>
      <c r="C751" s="642"/>
      <c r="D751" s="642"/>
      <c r="E751" s="642"/>
      <c r="F751" s="642"/>
      <c r="G751" s="642"/>
      <c r="H751" s="642"/>
      <c r="I751" s="642"/>
      <c r="J751" s="642"/>
      <c r="K751" s="642"/>
      <c r="L751" s="642"/>
      <c r="M751" s="642"/>
      <c r="N751" s="642"/>
      <c r="O751" s="642"/>
      <c r="P751" s="642"/>
      <c r="Q751" s="642"/>
    </row>
    <row r="752" spans="2:17" ht="15" x14ac:dyDescent="0.2">
      <c r="B752" s="642"/>
      <c r="C752" s="642"/>
      <c r="D752" s="642"/>
      <c r="E752" s="642"/>
      <c r="F752" s="642"/>
      <c r="G752" s="642"/>
      <c r="H752" s="642"/>
      <c r="I752" s="642"/>
      <c r="J752" s="642"/>
      <c r="K752" s="642"/>
      <c r="L752" s="642"/>
      <c r="M752" s="642"/>
      <c r="N752" s="642"/>
      <c r="O752" s="642"/>
      <c r="P752" s="642"/>
      <c r="Q752" s="642"/>
    </row>
    <row r="753" spans="2:17" ht="15" x14ac:dyDescent="0.2">
      <c r="B753" s="642"/>
      <c r="C753" s="642"/>
      <c r="D753" s="642"/>
      <c r="E753" s="642"/>
      <c r="F753" s="642"/>
      <c r="G753" s="642"/>
      <c r="H753" s="642"/>
      <c r="I753" s="642"/>
      <c r="J753" s="642"/>
      <c r="K753" s="642"/>
      <c r="L753" s="642"/>
      <c r="M753" s="642"/>
      <c r="N753" s="642"/>
      <c r="O753" s="642"/>
      <c r="P753" s="642"/>
      <c r="Q753" s="642"/>
    </row>
    <row r="754" spans="2:17" ht="15" x14ac:dyDescent="0.2">
      <c r="B754" s="642"/>
      <c r="C754" s="642"/>
      <c r="D754" s="642"/>
      <c r="E754" s="642"/>
      <c r="F754" s="642"/>
      <c r="G754" s="642"/>
      <c r="H754" s="642"/>
      <c r="I754" s="642"/>
      <c r="J754" s="642"/>
      <c r="K754" s="642"/>
      <c r="L754" s="642"/>
      <c r="M754" s="642"/>
      <c r="N754" s="642"/>
      <c r="O754" s="642"/>
      <c r="P754" s="642"/>
      <c r="Q754" s="642"/>
    </row>
    <row r="755" spans="2:17" ht="15" x14ac:dyDescent="0.2">
      <c r="B755" s="642"/>
      <c r="C755" s="642"/>
      <c r="D755" s="642"/>
      <c r="E755" s="642"/>
      <c r="F755" s="642"/>
      <c r="G755" s="642"/>
      <c r="H755" s="642"/>
      <c r="I755" s="642"/>
      <c r="J755" s="642"/>
      <c r="K755" s="642"/>
      <c r="L755" s="642"/>
      <c r="M755" s="642"/>
      <c r="N755" s="642"/>
      <c r="O755" s="642"/>
      <c r="P755" s="642"/>
      <c r="Q755" s="642"/>
    </row>
    <row r="756" spans="2:17" ht="15" x14ac:dyDescent="0.2">
      <c r="B756" s="642"/>
      <c r="C756" s="642"/>
      <c r="D756" s="642"/>
      <c r="E756" s="642"/>
      <c r="F756" s="642"/>
      <c r="G756" s="642"/>
      <c r="H756" s="642"/>
      <c r="I756" s="642"/>
      <c r="J756" s="642"/>
      <c r="K756" s="642"/>
      <c r="L756" s="642"/>
      <c r="M756" s="642"/>
      <c r="N756" s="642"/>
      <c r="O756" s="642"/>
      <c r="P756" s="642"/>
      <c r="Q756" s="642"/>
    </row>
  </sheetData>
  <mergeCells count="97">
    <mergeCell ref="B7:Q7"/>
    <mergeCell ref="B12:Q12"/>
    <mergeCell ref="B10:Q11"/>
    <mergeCell ref="B21:Q21"/>
    <mergeCell ref="B45:F45"/>
    <mergeCell ref="B18:Q18"/>
    <mergeCell ref="B19:Q19"/>
    <mergeCell ref="G45:K45"/>
    <mergeCell ref="L45:P45"/>
    <mergeCell ref="B4:Q4"/>
    <mergeCell ref="B1:Q1"/>
    <mergeCell ref="B3:F3"/>
    <mergeCell ref="G3:K3"/>
    <mergeCell ref="L3:P3"/>
    <mergeCell ref="B82:Q82"/>
    <mergeCell ref="B84:Q85"/>
    <mergeCell ref="B95:Q95"/>
    <mergeCell ref="B91:Q91"/>
    <mergeCell ref="B15:Q15"/>
    <mergeCell ref="B72:Q72"/>
    <mergeCell ref="B71:Q71"/>
    <mergeCell ref="B57:F57"/>
    <mergeCell ref="B60:Q60"/>
    <mergeCell ref="B53:Q53"/>
    <mergeCell ref="B47:Q47"/>
    <mergeCell ref="B36:Q36"/>
    <mergeCell ref="B63:Q63"/>
    <mergeCell ref="B73:Q73"/>
    <mergeCell ref="B74:Q74"/>
    <mergeCell ref="B62:Q62"/>
    <mergeCell ref="B6:Q6"/>
    <mergeCell ref="B100:Q100"/>
    <mergeCell ref="B110:Q111"/>
    <mergeCell ref="B116:Q117"/>
    <mergeCell ref="B101:Q101"/>
    <mergeCell ref="B98:Q98"/>
    <mergeCell ref="B78:Q78"/>
    <mergeCell ref="B80:Q80"/>
    <mergeCell ref="B79:Q79"/>
    <mergeCell ref="B92:Q92"/>
    <mergeCell ref="B86:Q87"/>
    <mergeCell ref="B94:Q94"/>
    <mergeCell ref="B88:Q89"/>
    <mergeCell ref="B93:Q93"/>
    <mergeCell ref="B83:Q83"/>
    <mergeCell ref="B81:Q81"/>
    <mergeCell ref="B77:Q77"/>
    <mergeCell ref="B76:Q76"/>
    <mergeCell ref="B75:Q75"/>
    <mergeCell ref="B8:Q8"/>
    <mergeCell ref="B34:Q34"/>
    <mergeCell ref="B13:Q13"/>
    <mergeCell ref="B14:Q14"/>
    <mergeCell ref="B61:Q61"/>
    <mergeCell ref="I57:J57"/>
    <mergeCell ref="B59:Q59"/>
    <mergeCell ref="B64:Q64"/>
    <mergeCell ref="B66:Q67"/>
    <mergeCell ref="B69:Q69"/>
    <mergeCell ref="B70:Q70"/>
    <mergeCell ref="B119:Q119"/>
    <mergeCell ref="B135:Q135"/>
    <mergeCell ref="B120:Q120"/>
    <mergeCell ref="B123:Q123"/>
    <mergeCell ref="B127:Q128"/>
    <mergeCell ref="B129:Q129"/>
    <mergeCell ref="B122:Q122"/>
    <mergeCell ref="B134:Q134"/>
    <mergeCell ref="B150:Q150"/>
    <mergeCell ref="B139:Q139"/>
    <mergeCell ref="B163:Q163"/>
    <mergeCell ref="B136:Q136"/>
    <mergeCell ref="B133:Q133"/>
    <mergeCell ref="B138:Q138"/>
    <mergeCell ref="B137:Q137"/>
    <mergeCell ref="B156:Q156"/>
    <mergeCell ref="B210:Q210"/>
    <mergeCell ref="B211:Q211"/>
    <mergeCell ref="B208:Q208"/>
    <mergeCell ref="B213:Q213"/>
    <mergeCell ref="B160:Q160"/>
    <mergeCell ref="B102:Q102"/>
    <mergeCell ref="B103:Q103"/>
    <mergeCell ref="B226:Q226"/>
    <mergeCell ref="B221:Q221"/>
    <mergeCell ref="B219:Q219"/>
    <mergeCell ref="B214:Q214"/>
    <mergeCell ref="B212:Q212"/>
    <mergeCell ref="B165:Q165"/>
    <mergeCell ref="B204:Q204"/>
    <mergeCell ref="B193:Q193"/>
    <mergeCell ref="B195:Q195"/>
    <mergeCell ref="B175:Q175"/>
    <mergeCell ref="B166:Q166"/>
    <mergeCell ref="B167:Q167"/>
    <mergeCell ref="B185:Q185"/>
    <mergeCell ref="B176:Q176"/>
  </mergeCells>
  <phoneticPr fontId="40"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K42"/>
  <sheetViews>
    <sheetView workbookViewId="0"/>
  </sheetViews>
  <sheetFormatPr defaultRowHeight="12.75" x14ac:dyDescent="0.2"/>
  <cols>
    <col min="2" max="2" width="14.7109375" bestFit="1" customWidth="1"/>
    <col min="3" max="4" width="24.140625" bestFit="1" customWidth="1"/>
    <col min="5" max="5" width="21.140625" bestFit="1" customWidth="1"/>
  </cols>
  <sheetData>
    <row r="2" spans="1:11" s="35" customFormat="1" ht="15" x14ac:dyDescent="0.2">
      <c r="A2" s="42"/>
      <c r="B2" s="206" t="s">
        <v>255</v>
      </c>
      <c r="C2" s="204" t="s">
        <v>253</v>
      </c>
      <c r="D2" s="204" t="s">
        <v>257</v>
      </c>
      <c r="E2" s="204" t="s">
        <v>254</v>
      </c>
      <c r="F2" s="93"/>
    </row>
    <row r="3" spans="1:11" s="35" customFormat="1" ht="15" x14ac:dyDescent="0.2">
      <c r="A3" s="42"/>
      <c r="B3" s="91" t="s">
        <v>81</v>
      </c>
      <c r="F3" s="93"/>
    </row>
    <row r="4" spans="1:11" s="35" customFormat="1" ht="15" x14ac:dyDescent="0.2">
      <c r="A4" s="42"/>
      <c r="B4" s="215" t="s">
        <v>12</v>
      </c>
      <c r="F4" s="93"/>
    </row>
    <row r="5" spans="1:11" s="66" customFormat="1" ht="15" x14ac:dyDescent="0.25">
      <c r="A5" s="67"/>
      <c r="B5" s="53"/>
      <c r="C5" s="35"/>
      <c r="D5" s="35"/>
      <c r="E5" s="35"/>
      <c r="F5" s="42"/>
      <c r="H5" s="35"/>
      <c r="K5" s="35"/>
    </row>
    <row r="6" spans="1:11" s="66" customFormat="1" ht="15" x14ac:dyDescent="0.25">
      <c r="A6" s="67"/>
      <c r="B6" s="206" t="s">
        <v>256</v>
      </c>
      <c r="C6" s="204" t="s">
        <v>253</v>
      </c>
      <c r="D6" s="204" t="s">
        <v>257</v>
      </c>
      <c r="E6" s="204" t="s">
        <v>254</v>
      </c>
      <c r="F6" s="42"/>
    </row>
    <row r="7" spans="1:11" s="66" customFormat="1" ht="15" x14ac:dyDescent="0.25">
      <c r="A7" s="67"/>
      <c r="B7" s="91" t="s">
        <v>81</v>
      </c>
      <c r="C7" s="245" t="s">
        <v>25</v>
      </c>
      <c r="D7" s="245" t="s">
        <v>25</v>
      </c>
      <c r="E7" s="245" t="s">
        <v>25</v>
      </c>
      <c r="F7" s="42"/>
    </row>
    <row r="8" spans="1:11" s="35" customFormat="1" ht="15" x14ac:dyDescent="0.2">
      <c r="A8" s="42"/>
      <c r="B8" s="215" t="s">
        <v>12</v>
      </c>
      <c r="C8" s="245" t="s">
        <v>268</v>
      </c>
      <c r="D8" s="245" t="s">
        <v>268</v>
      </c>
      <c r="E8" s="245" t="s">
        <v>268</v>
      </c>
      <c r="F8" s="93"/>
    </row>
    <row r="10" spans="1:11" ht="15" x14ac:dyDescent="0.2">
      <c r="B10" s="378" t="s">
        <v>287</v>
      </c>
      <c r="C10" s="379" t="s">
        <v>285</v>
      </c>
    </row>
    <row r="15" spans="1:11" x14ac:dyDescent="0.2">
      <c r="B15" t="s">
        <v>632</v>
      </c>
    </row>
    <row r="16" spans="1:11" ht="15" x14ac:dyDescent="0.2">
      <c r="B16" s="573" t="s">
        <v>605</v>
      </c>
      <c r="F16" s="3">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14</v>
      </c>
    </row>
    <row r="17" spans="1:6" ht="15" x14ac:dyDescent="0.2">
      <c r="B17" s="573" t="s">
        <v>605</v>
      </c>
      <c r="F17" s="5">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15</v>
      </c>
    </row>
    <row r="18" spans="1:6" ht="15" x14ac:dyDescent="0.2">
      <c r="B18" s="573" t="s">
        <v>604</v>
      </c>
      <c r="F18" s="5" t="e">
        <f>IF(AND(HAOption="Yes",SiteResilienceEnabled="Yes",numDBCopiesSDC&gt;=1,OR(calcNumDBCopyInPDC&lt;3,numActMBXSvrsPerDC&lt;4),ValidationCheck=FALSE,calcNumActiveDBsSF&lt;&gt;"--"),ROUNDUP(ABS((RecNumDBs-(calcNumActiveDBsSF*(numActMBXSvrsPerDC-2)))/calcNumPMBXServersDC2),0),"--")</f>
        <v>#DIV/0!</v>
      </c>
    </row>
    <row r="19" spans="1:6" ht="15" x14ac:dyDescent="0.2">
      <c r="B19" s="573" t="s">
        <v>610</v>
      </c>
      <c r="C19" s="582" t="str">
        <f>IF(AND(HAOption="Yes",SiteResilienceEnabled="Yes",numDBCopiesSDC&gt;=1,calcNumDBCopyInPDC&lt;3,ValidationCheck=FALSE,calcNumActiveDBsFF&lt;&gt;"--"),IF(calcNumDBCopyInPDC=1,(RecNumDBs-calcNumActiveDBsFF)/calcNumPMBXServersDC2,"--"),"--")</f>
        <v>--</v>
      </c>
    </row>
    <row r="22" spans="1:6" x14ac:dyDescent="0.2">
      <c r="A22" t="s">
        <v>734</v>
      </c>
    </row>
    <row r="23" spans="1:6" ht="15" x14ac:dyDescent="0.2">
      <c r="A23" t="s">
        <v>729</v>
      </c>
      <c r="B23" s="656" t="e">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#REF!</v>
      </c>
    </row>
    <row r="24" spans="1:6" ht="15" x14ac:dyDescent="0.2">
      <c r="B24" s="657"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#REF!</v>
      </c>
    </row>
    <row r="25" spans="1:6" x14ac:dyDescent="0.2">
      <c r="A25" t="s">
        <v>730</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2">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2">
      <c r="A27" t="s">
        <v>731</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2">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2">
      <c r="A29" t="s">
        <v>732</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2">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2">
      <c r="A42" t="s">
        <v>733</v>
      </c>
    </row>
  </sheetData>
  <dataConsolidate/>
  <conditionalFormatting sqref="E7">
    <cfRule type="expression" dxfId="29" priority="13">
      <formula>IF(AND(RestoreVol="Yes",ResDiskSizePDC="--",ResDiskSizeSDC="--",ResDiskSize3="--"),TRUE,FALSE)</formula>
    </cfRule>
  </conditionalFormatting>
  <conditionalFormatting sqref="D7">
    <cfRule type="expression" dxfId="28" priority="12">
      <formula>IF(AND(LogDiskSizePDC="--",LogDiskSizeSDC="--",LogDiskSize3="--"),TRUE,FALSE)</formula>
    </cfRule>
  </conditionalFormatting>
  <conditionalFormatting sqref="C7">
    <cfRule type="expression" dxfId="27" priority="11">
      <formula>IF(AND(DBDiskSizePDC="--",DBDiskSizeSDC="--",DBDiskSize3="--"),TRUE,FALSE)</formula>
    </cfRule>
  </conditionalFormatting>
  <conditionalFormatting sqref="C8:E8">
    <cfRule type="expression" dxfId="26" priority="10">
      <formula>IF(DBDiskSizeSDC="--",TRUE,FALSE)</formula>
    </cfRule>
  </conditionalFormatting>
  <conditionalFormatting sqref="D7:E8 C8">
    <cfRule type="expression" dxfId="25" priority="9">
      <formula>IF(DBDiskSize3="--",TRUE,FALSE)</formula>
    </cfRule>
  </conditionalFormatting>
  <conditionalFormatting sqref="D7:D8">
    <cfRule type="expression" dxfId="24" priority="8">
      <formula>IF(VolArchitecture="1 LUN / DB",TRUE,FALSE)</formula>
    </cfRule>
  </conditionalFormatting>
  <conditionalFormatting sqref="C7">
    <cfRule type="expression" dxfId="23" priority="7">
      <formula>IF(RecJBODDiskTypePDC="Insufficient Disk Capacity",TRUE,FALSE)</formula>
    </cfRule>
  </conditionalFormatting>
  <conditionalFormatting sqref="E7">
    <cfRule type="expression" dxfId="22" priority="6">
      <formula>IF(RecJBODRLDiskTypePDC="Insufficient Disk Capacity",TRUE,FALSE)</formula>
    </cfRule>
  </conditionalFormatting>
  <conditionalFormatting sqref="D7:E7">
    <cfRule type="expression" dxfId="21" priority="3">
      <formula>IF(AND(DBDiskSizePDC="--",DBDiskSizeSDC="--",DBDiskSize3="--"),TRUE,FALSE)</formula>
    </cfRule>
  </conditionalFormatting>
  <conditionalFormatting sqref="D7:E7">
    <cfRule type="expression" dxfId="20" priority="2">
      <formula>IF(RecJBODDiskTypePDC="Insufficient Disk Capacity",TRUE,FALSE)</formula>
    </cfRule>
  </conditionalFormatting>
  <conditionalFormatting sqref="B10:C10">
    <cfRule type="expression" dxfId="19" priority="1" stopIfTrue="1">
      <formula>IF(HAOption="No",TRUE,FALSE)</formula>
    </cfRule>
  </conditionalFormatting>
  <dataValidations count="3">
    <dataValidation type="list" allowBlank="1" showInputMessage="1" showErrorMessage="1" sqref="C8:E8 C5">
      <formula1>varDiskType</formula1>
    </dataValidation>
    <dataValidation type="list" allowBlank="1" showInputMessage="1" showErrorMessage="1" sqref="C7:E7">
      <formula1>varDiskSize</formula1>
    </dataValidation>
    <dataValidation type="list" allowBlank="1" showInputMessage="1" showErrorMessage="1" sqref="C1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348"/>
  <sheetViews>
    <sheetView workbookViewId="0"/>
  </sheetViews>
  <sheetFormatPr defaultRowHeight="12.75" x14ac:dyDescent="0.2"/>
  <cols>
    <col min="1" max="1" width="15.140625" style="709" bestFit="1" customWidth="1"/>
    <col min="2" max="5" width="45.7109375" style="723" customWidth="1"/>
    <col min="6" max="6" width="25.7109375" style="723" customWidth="1"/>
  </cols>
  <sheetData>
    <row r="1" spans="1:10" s="709" customFormat="1" x14ac:dyDescent="0.2">
      <c r="A1" s="711" t="s">
        <v>761</v>
      </c>
      <c r="B1" s="724" t="s">
        <v>1265</v>
      </c>
      <c r="C1" s="723"/>
      <c r="D1" s="724"/>
      <c r="E1" s="723"/>
      <c r="F1" s="723"/>
    </row>
    <row r="2" spans="1:10" x14ac:dyDescent="0.2">
      <c r="A2" s="711" t="s">
        <v>751</v>
      </c>
      <c r="B2" s="735" t="s">
        <v>754</v>
      </c>
      <c r="C2" s="723" t="s">
        <v>756</v>
      </c>
      <c r="D2" s="723" t="s">
        <v>760</v>
      </c>
      <c r="E2" s="724" t="s">
        <v>874</v>
      </c>
      <c r="J2" s="711"/>
    </row>
    <row r="3" spans="1:10" s="714" customFormat="1" x14ac:dyDescent="0.2">
      <c r="A3" s="715" t="s">
        <v>752</v>
      </c>
      <c r="B3" s="816">
        <v>220</v>
      </c>
      <c r="C3" s="714">
        <v>183</v>
      </c>
      <c r="D3" s="714">
        <v>343</v>
      </c>
      <c r="E3" s="714">
        <v>301</v>
      </c>
      <c r="J3" s="711"/>
    </row>
    <row r="4" spans="1:10" s="722" customFormat="1" x14ac:dyDescent="0.2">
      <c r="A4" s="721" t="s">
        <v>144</v>
      </c>
      <c r="B4" s="816">
        <v>2.1</v>
      </c>
      <c r="C4" s="735" t="s">
        <v>1452</v>
      </c>
      <c r="D4" s="735" t="s">
        <v>1838</v>
      </c>
      <c r="E4" s="735" t="s">
        <v>1599</v>
      </c>
      <c r="F4" s="736"/>
      <c r="J4" s="711"/>
    </row>
    <row r="5" spans="1:10" s="712" customFormat="1" x14ac:dyDescent="0.2">
      <c r="A5" s="713" t="s">
        <v>755</v>
      </c>
      <c r="B5" s="712">
        <v>41425</v>
      </c>
      <c r="C5" s="712">
        <v>41442</v>
      </c>
      <c r="D5" s="712">
        <v>41871</v>
      </c>
      <c r="E5" s="712">
        <v>41464</v>
      </c>
      <c r="J5" s="711"/>
    </row>
    <row r="6" spans="1:10" x14ac:dyDescent="0.2">
      <c r="A6" s="711" t="s">
        <v>753</v>
      </c>
      <c r="B6" s="723" t="s">
        <v>875</v>
      </c>
      <c r="C6" s="723" t="s">
        <v>875</v>
      </c>
      <c r="D6" s="712" t="s">
        <v>875</v>
      </c>
      <c r="E6" s="723" t="s">
        <v>875</v>
      </c>
      <c r="J6" s="711"/>
    </row>
    <row r="7" spans="1:10" x14ac:dyDescent="0.2">
      <c r="B7" s="723" t="s">
        <v>876</v>
      </c>
      <c r="C7" s="723" t="s">
        <v>876</v>
      </c>
      <c r="D7" s="723" t="s">
        <v>876</v>
      </c>
      <c r="E7" s="723" t="s">
        <v>876</v>
      </c>
      <c r="J7" s="711"/>
    </row>
    <row r="8" spans="1:10" x14ac:dyDescent="0.2">
      <c r="B8" s="724" t="s">
        <v>1456</v>
      </c>
      <c r="C8" s="724" t="s">
        <v>923</v>
      </c>
      <c r="D8" s="723" t="s">
        <v>1020</v>
      </c>
      <c r="E8" s="723" t="s">
        <v>1181</v>
      </c>
      <c r="J8" s="711"/>
    </row>
    <row r="9" spans="1:10" s="719" customFormat="1" x14ac:dyDescent="0.2">
      <c r="B9" s="723"/>
      <c r="C9" s="723"/>
      <c r="D9" s="724" t="s">
        <v>1021</v>
      </c>
      <c r="E9" s="723" t="s">
        <v>1182</v>
      </c>
      <c r="F9" s="723"/>
      <c r="J9" s="711"/>
    </row>
    <row r="10" spans="1:10" x14ac:dyDescent="0.2">
      <c r="B10" s="723" t="s">
        <v>877</v>
      </c>
      <c r="C10" s="723" t="s">
        <v>877</v>
      </c>
      <c r="D10" s="724" t="s">
        <v>1022</v>
      </c>
      <c r="J10" s="711"/>
    </row>
    <row r="11" spans="1:10" x14ac:dyDescent="0.2">
      <c r="B11" s="723" t="s">
        <v>1457</v>
      </c>
      <c r="C11" s="723" t="s">
        <v>895</v>
      </c>
      <c r="D11" s="723" t="s">
        <v>1023</v>
      </c>
      <c r="E11" s="723" t="s">
        <v>877</v>
      </c>
      <c r="J11" s="711"/>
    </row>
    <row r="12" spans="1:10" x14ac:dyDescent="0.2">
      <c r="B12" s="723" t="s">
        <v>1458</v>
      </c>
      <c r="C12" s="723" t="s">
        <v>896</v>
      </c>
      <c r="E12" s="723" t="s">
        <v>1183</v>
      </c>
      <c r="J12" s="711"/>
    </row>
    <row r="13" spans="1:10" x14ac:dyDescent="0.2">
      <c r="B13" s="723" t="s">
        <v>1459</v>
      </c>
      <c r="C13" s="723" t="s">
        <v>924</v>
      </c>
      <c r="E13" s="723" t="s">
        <v>1184</v>
      </c>
      <c r="J13" s="711"/>
    </row>
    <row r="14" spans="1:10" x14ac:dyDescent="0.2">
      <c r="B14" s="723" t="s">
        <v>1460</v>
      </c>
      <c r="C14" s="723" t="s">
        <v>925</v>
      </c>
      <c r="D14" s="723" t="s">
        <v>877</v>
      </c>
      <c r="E14" s="723" t="s">
        <v>1185</v>
      </c>
      <c r="J14" s="711"/>
    </row>
    <row r="15" spans="1:10" x14ac:dyDescent="0.2">
      <c r="B15" s="723" t="s">
        <v>1461</v>
      </c>
      <c r="C15" s="723" t="s">
        <v>878</v>
      </c>
      <c r="D15" s="723" t="s">
        <v>1024</v>
      </c>
      <c r="J15" s="711"/>
    </row>
    <row r="16" spans="1:10" x14ac:dyDescent="0.2">
      <c r="B16" s="723" t="s">
        <v>1462</v>
      </c>
      <c r="C16" s="723" t="s">
        <v>926</v>
      </c>
      <c r="D16" s="723" t="s">
        <v>1744</v>
      </c>
      <c r="E16" s="723" t="s">
        <v>1186</v>
      </c>
    </row>
    <row r="17" spans="2:5" x14ac:dyDescent="0.2">
      <c r="B17" s="723" t="s">
        <v>1463</v>
      </c>
      <c r="C17" s="723" t="s">
        <v>878</v>
      </c>
      <c r="D17" s="723" t="s">
        <v>878</v>
      </c>
    </row>
    <row r="18" spans="2:5" x14ac:dyDescent="0.2">
      <c r="B18" s="723" t="s">
        <v>1464</v>
      </c>
      <c r="C18" s="723" t="s">
        <v>927</v>
      </c>
      <c r="D18" s="723" t="s">
        <v>897</v>
      </c>
      <c r="E18" s="723" t="s">
        <v>880</v>
      </c>
    </row>
    <row r="19" spans="2:5" x14ac:dyDescent="0.2">
      <c r="B19" s="723" t="s">
        <v>1465</v>
      </c>
      <c r="C19" s="723" t="s">
        <v>928</v>
      </c>
      <c r="D19" s="723" t="s">
        <v>878</v>
      </c>
      <c r="E19" s="723" t="s">
        <v>1187</v>
      </c>
    </row>
    <row r="20" spans="2:5" x14ac:dyDescent="0.2">
      <c r="B20" s="723" t="s">
        <v>1466</v>
      </c>
      <c r="C20" s="723" t="s">
        <v>929</v>
      </c>
      <c r="D20" s="723" t="s">
        <v>1025</v>
      </c>
      <c r="E20" s="723" t="s">
        <v>1188</v>
      </c>
    </row>
    <row r="21" spans="2:5" x14ac:dyDescent="0.2">
      <c r="B21" s="723" t="s">
        <v>1467</v>
      </c>
      <c r="C21" s="723" t="s">
        <v>930</v>
      </c>
      <c r="D21" s="723" t="s">
        <v>1026</v>
      </c>
      <c r="E21" s="723" t="s">
        <v>1189</v>
      </c>
    </row>
    <row r="22" spans="2:5" x14ac:dyDescent="0.2">
      <c r="B22" s="723" t="s">
        <v>1468</v>
      </c>
      <c r="E22" s="723" t="s">
        <v>1190</v>
      </c>
    </row>
    <row r="23" spans="2:5" x14ac:dyDescent="0.2">
      <c r="B23" s="723" t="s">
        <v>1469</v>
      </c>
      <c r="C23" s="723" t="s">
        <v>880</v>
      </c>
      <c r="D23" s="723" t="s">
        <v>880</v>
      </c>
      <c r="E23" s="723" t="s">
        <v>1191</v>
      </c>
    </row>
    <row r="24" spans="2:5" x14ac:dyDescent="0.2">
      <c r="B24" s="723" t="s">
        <v>1470</v>
      </c>
      <c r="C24" s="723" t="s">
        <v>931</v>
      </c>
      <c r="D24" s="723" t="s">
        <v>1027</v>
      </c>
      <c r="E24" s="723" t="s">
        <v>1192</v>
      </c>
    </row>
    <row r="25" spans="2:5" x14ac:dyDescent="0.2">
      <c r="B25" s="723" t="s">
        <v>880</v>
      </c>
      <c r="C25" s="723" t="s">
        <v>932</v>
      </c>
      <c r="D25" s="723" t="s">
        <v>878</v>
      </c>
      <c r="E25" s="723" t="s">
        <v>1193</v>
      </c>
    </row>
    <row r="26" spans="2:5" x14ac:dyDescent="0.2">
      <c r="B26" s="723" t="s">
        <v>1471</v>
      </c>
      <c r="C26" s="723" t="s">
        <v>898</v>
      </c>
      <c r="D26" s="723" t="s">
        <v>1745</v>
      </c>
      <c r="E26" s="723" t="s">
        <v>1194</v>
      </c>
    </row>
    <row r="27" spans="2:5" x14ac:dyDescent="0.2">
      <c r="B27" s="723" t="s">
        <v>1472</v>
      </c>
      <c r="C27" s="723" t="s">
        <v>933</v>
      </c>
      <c r="D27" s="723" t="s">
        <v>1746</v>
      </c>
    </row>
    <row r="28" spans="2:5" x14ac:dyDescent="0.2">
      <c r="C28" s="723" t="s">
        <v>899</v>
      </c>
      <c r="D28" s="723" t="s">
        <v>1028</v>
      </c>
      <c r="E28" s="723" t="s">
        <v>1195</v>
      </c>
    </row>
    <row r="29" spans="2:5" x14ac:dyDescent="0.2">
      <c r="B29" s="723" t="s">
        <v>1473</v>
      </c>
      <c r="C29" s="723" t="s">
        <v>934</v>
      </c>
      <c r="D29" s="723" t="s">
        <v>1029</v>
      </c>
    </row>
    <row r="30" spans="2:5" x14ac:dyDescent="0.2">
      <c r="B30" s="723" t="s">
        <v>1474</v>
      </c>
      <c r="C30" s="723" t="s">
        <v>935</v>
      </c>
      <c r="D30" s="723" t="s">
        <v>1030</v>
      </c>
      <c r="E30" s="723" t="s">
        <v>1196</v>
      </c>
    </row>
    <row r="31" spans="2:5" x14ac:dyDescent="0.2">
      <c r="B31" s="723" t="s">
        <v>1475</v>
      </c>
      <c r="C31" s="723" t="s">
        <v>900</v>
      </c>
    </row>
    <row r="32" spans="2:5" x14ac:dyDescent="0.2">
      <c r="C32" s="723" t="s">
        <v>936</v>
      </c>
      <c r="D32" s="723" t="s">
        <v>1747</v>
      </c>
      <c r="E32" s="723" t="s">
        <v>1197</v>
      </c>
    </row>
    <row r="33" spans="2:5" x14ac:dyDescent="0.2">
      <c r="B33" s="723" t="s">
        <v>1476</v>
      </c>
      <c r="C33" s="723" t="s">
        <v>937</v>
      </c>
      <c r="D33" s="723" t="s">
        <v>1031</v>
      </c>
    </row>
    <row r="34" spans="2:5" x14ac:dyDescent="0.2">
      <c r="B34" s="723" t="s">
        <v>1477</v>
      </c>
      <c r="C34" s="723" t="s">
        <v>938</v>
      </c>
      <c r="D34" s="723" t="s">
        <v>1032</v>
      </c>
      <c r="E34" s="723" t="s">
        <v>1198</v>
      </c>
    </row>
    <row r="35" spans="2:5" x14ac:dyDescent="0.2">
      <c r="B35" s="723" t="s">
        <v>1478</v>
      </c>
      <c r="C35" s="723" t="s">
        <v>901</v>
      </c>
      <c r="D35" s="723" t="s">
        <v>1033</v>
      </c>
      <c r="E35" s="723" t="s">
        <v>1199</v>
      </c>
    </row>
    <row r="36" spans="2:5" x14ac:dyDescent="0.2">
      <c r="B36" s="723" t="s">
        <v>1479</v>
      </c>
      <c r="C36" s="723" t="s">
        <v>939</v>
      </c>
      <c r="D36" s="723" t="s">
        <v>1034</v>
      </c>
      <c r="E36" s="723" t="s">
        <v>1200</v>
      </c>
    </row>
    <row r="37" spans="2:5" x14ac:dyDescent="0.2">
      <c r="B37" s="723" t="s">
        <v>1461</v>
      </c>
      <c r="C37" s="723" t="s">
        <v>902</v>
      </c>
      <c r="D37" s="723" t="s">
        <v>1035</v>
      </c>
    </row>
    <row r="38" spans="2:5" x14ac:dyDescent="0.2">
      <c r="B38" s="723" t="s">
        <v>1480</v>
      </c>
      <c r="C38" s="723" t="s">
        <v>940</v>
      </c>
      <c r="D38" s="723" t="s">
        <v>1036</v>
      </c>
      <c r="E38" s="723" t="s">
        <v>1201</v>
      </c>
    </row>
    <row r="39" spans="2:5" x14ac:dyDescent="0.2">
      <c r="B39" s="723" t="s">
        <v>1481</v>
      </c>
      <c r="C39" s="723" t="s">
        <v>941</v>
      </c>
      <c r="D39" s="723" t="s">
        <v>1037</v>
      </c>
      <c r="E39" s="723" t="s">
        <v>1202</v>
      </c>
    </row>
    <row r="40" spans="2:5" x14ac:dyDescent="0.2">
      <c r="B40" s="723" t="s">
        <v>1461</v>
      </c>
      <c r="C40" s="723" t="s">
        <v>903</v>
      </c>
      <c r="D40" s="723" t="s">
        <v>1038</v>
      </c>
    </row>
    <row r="41" spans="2:5" x14ac:dyDescent="0.2">
      <c r="B41" s="723" t="s">
        <v>1482</v>
      </c>
      <c r="C41" s="723" t="s">
        <v>942</v>
      </c>
      <c r="D41" s="724"/>
      <c r="E41" s="723" t="s">
        <v>1203</v>
      </c>
    </row>
    <row r="42" spans="2:5" x14ac:dyDescent="0.2">
      <c r="B42" s="723" t="s">
        <v>1483</v>
      </c>
      <c r="C42" s="723" t="s">
        <v>943</v>
      </c>
      <c r="D42" s="723" t="s">
        <v>1748</v>
      </c>
      <c r="E42" s="723" t="s">
        <v>1204</v>
      </c>
    </row>
    <row r="43" spans="2:5" x14ac:dyDescent="0.2">
      <c r="B43" s="723" t="s">
        <v>1484</v>
      </c>
      <c r="C43" s="723" t="s">
        <v>944</v>
      </c>
      <c r="D43" s="723" t="s">
        <v>1039</v>
      </c>
      <c r="E43" s="723" t="s">
        <v>1205</v>
      </c>
    </row>
    <row r="44" spans="2:5" x14ac:dyDescent="0.2">
      <c r="B44" s="723" t="s">
        <v>1485</v>
      </c>
      <c r="C44" s="723" t="s">
        <v>945</v>
      </c>
      <c r="D44" s="723" t="s">
        <v>1040</v>
      </c>
      <c r="E44" s="723" t="s">
        <v>1206</v>
      </c>
    </row>
    <row r="45" spans="2:5" x14ac:dyDescent="0.2">
      <c r="B45" s="723" t="s">
        <v>1486</v>
      </c>
      <c r="C45" s="723" t="s">
        <v>946</v>
      </c>
      <c r="D45" s="723" t="s">
        <v>1041</v>
      </c>
    </row>
    <row r="46" spans="2:5" x14ac:dyDescent="0.2">
      <c r="B46" s="723" t="s">
        <v>1487</v>
      </c>
      <c r="C46" s="723" t="s">
        <v>947</v>
      </c>
      <c r="D46" s="723" t="s">
        <v>1042</v>
      </c>
      <c r="E46" s="723" t="s">
        <v>1207</v>
      </c>
    </row>
    <row r="47" spans="2:5" x14ac:dyDescent="0.2">
      <c r="B47" s="723" t="s">
        <v>1470</v>
      </c>
      <c r="C47" s="723" t="s">
        <v>879</v>
      </c>
      <c r="D47" s="723" t="s">
        <v>1043</v>
      </c>
    </row>
    <row r="48" spans="2:5" x14ac:dyDescent="0.2">
      <c r="B48" s="723" t="s">
        <v>881</v>
      </c>
      <c r="C48" s="723" t="s">
        <v>881</v>
      </c>
      <c r="D48" s="724" t="s">
        <v>878</v>
      </c>
      <c r="E48" s="723" t="s">
        <v>1208</v>
      </c>
    </row>
    <row r="49" spans="2:5" x14ac:dyDescent="0.2">
      <c r="B49" s="723" t="s">
        <v>1488</v>
      </c>
      <c r="C49" s="723" t="s">
        <v>948</v>
      </c>
      <c r="D49" s="724" t="s">
        <v>1749</v>
      </c>
      <c r="E49" s="723" t="s">
        <v>1209</v>
      </c>
    </row>
    <row r="50" spans="2:5" x14ac:dyDescent="0.2">
      <c r="B50" s="723" t="s">
        <v>1489</v>
      </c>
      <c r="C50" s="723" t="s">
        <v>949</v>
      </c>
      <c r="D50" s="724" t="s">
        <v>1750</v>
      </c>
      <c r="E50" s="723" t="s">
        <v>1210</v>
      </c>
    </row>
    <row r="51" spans="2:5" x14ac:dyDescent="0.2">
      <c r="B51" s="723" t="s">
        <v>1461</v>
      </c>
      <c r="C51" s="723" t="s">
        <v>879</v>
      </c>
      <c r="D51" s="724" t="s">
        <v>1751</v>
      </c>
      <c r="E51" s="723" t="s">
        <v>1211</v>
      </c>
    </row>
    <row r="52" spans="2:5" x14ac:dyDescent="0.2">
      <c r="B52" s="723" t="s">
        <v>1490</v>
      </c>
      <c r="C52" s="723" t="s">
        <v>950</v>
      </c>
      <c r="D52" s="723" t="s">
        <v>1044</v>
      </c>
      <c r="E52" s="723" t="s">
        <v>1212</v>
      </c>
    </row>
    <row r="53" spans="2:5" x14ac:dyDescent="0.2">
      <c r="B53" s="723" t="s">
        <v>1491</v>
      </c>
      <c r="C53" s="723" t="s">
        <v>951</v>
      </c>
    </row>
    <row r="54" spans="2:5" x14ac:dyDescent="0.2">
      <c r="B54" s="723" t="s">
        <v>1492</v>
      </c>
      <c r="C54" s="723" t="s">
        <v>952</v>
      </c>
      <c r="D54" s="723" t="s">
        <v>1752</v>
      </c>
      <c r="E54" s="723" t="s">
        <v>1213</v>
      </c>
    </row>
    <row r="55" spans="2:5" x14ac:dyDescent="0.2">
      <c r="B55" s="723" t="s">
        <v>1470</v>
      </c>
      <c r="C55" s="723" t="s">
        <v>882</v>
      </c>
      <c r="D55" s="723" t="s">
        <v>1753</v>
      </c>
      <c r="E55" s="723" t="s">
        <v>1214</v>
      </c>
    </row>
    <row r="56" spans="2:5" x14ac:dyDescent="0.2">
      <c r="B56" s="723" t="s">
        <v>1493</v>
      </c>
      <c r="C56" s="723" t="s">
        <v>953</v>
      </c>
      <c r="D56" s="723" t="s">
        <v>1754</v>
      </c>
    </row>
    <row r="57" spans="2:5" x14ac:dyDescent="0.2">
      <c r="B57" s="723" t="s">
        <v>1494</v>
      </c>
      <c r="C57" s="723" t="s">
        <v>954</v>
      </c>
      <c r="D57" s="723" t="s">
        <v>1045</v>
      </c>
      <c r="E57" s="723" t="s">
        <v>1215</v>
      </c>
    </row>
    <row r="58" spans="2:5" x14ac:dyDescent="0.2">
      <c r="B58" s="723" t="s">
        <v>1470</v>
      </c>
      <c r="C58" s="723" t="s">
        <v>955</v>
      </c>
      <c r="D58" s="723" t="s">
        <v>878</v>
      </c>
      <c r="E58" s="723" t="s">
        <v>1216</v>
      </c>
    </row>
    <row r="59" spans="2:5" x14ac:dyDescent="0.2">
      <c r="B59" s="723" t="s">
        <v>1495</v>
      </c>
      <c r="C59" s="723" t="s">
        <v>956</v>
      </c>
      <c r="D59" s="723" t="s">
        <v>1046</v>
      </c>
      <c r="E59" s="723" t="s">
        <v>1212</v>
      </c>
    </row>
    <row r="60" spans="2:5" x14ac:dyDescent="0.2">
      <c r="B60" s="723" t="s">
        <v>1496</v>
      </c>
      <c r="C60" s="723" t="s">
        <v>957</v>
      </c>
      <c r="D60" s="723" t="s">
        <v>1755</v>
      </c>
    </row>
    <row r="61" spans="2:5" x14ac:dyDescent="0.2">
      <c r="B61" s="723" t="s">
        <v>1461</v>
      </c>
      <c r="C61" s="723" t="s">
        <v>958</v>
      </c>
      <c r="D61" s="723" t="s">
        <v>1047</v>
      </c>
      <c r="E61" s="723" t="s">
        <v>1217</v>
      </c>
    </row>
    <row r="62" spans="2:5" x14ac:dyDescent="0.2">
      <c r="B62" s="723" t="s">
        <v>1497</v>
      </c>
      <c r="C62" s="724" t="s">
        <v>959</v>
      </c>
      <c r="D62" s="723" t="s">
        <v>1048</v>
      </c>
      <c r="E62" s="723" t="s">
        <v>1218</v>
      </c>
    </row>
    <row r="63" spans="2:5" x14ac:dyDescent="0.2">
      <c r="B63" s="723" t="s">
        <v>1461</v>
      </c>
      <c r="C63" s="723" t="s">
        <v>960</v>
      </c>
      <c r="E63" s="723" t="s">
        <v>1219</v>
      </c>
    </row>
    <row r="64" spans="2:5" x14ac:dyDescent="0.2">
      <c r="B64" s="723" t="s">
        <v>883</v>
      </c>
      <c r="C64" s="723" t="s">
        <v>882</v>
      </c>
      <c r="D64" s="723" t="s">
        <v>1049</v>
      </c>
      <c r="E64" s="723" t="s">
        <v>1220</v>
      </c>
    </row>
    <row r="65" spans="2:5" x14ac:dyDescent="0.2">
      <c r="B65" s="723" t="s">
        <v>1498</v>
      </c>
      <c r="C65" s="723" t="s">
        <v>961</v>
      </c>
      <c r="E65" s="723" t="s">
        <v>1221</v>
      </c>
    </row>
    <row r="66" spans="2:5" x14ac:dyDescent="0.2">
      <c r="C66" s="723" t="s">
        <v>962</v>
      </c>
      <c r="D66" s="723" t="s">
        <v>1050</v>
      </c>
      <c r="E66" s="723" t="s">
        <v>1222</v>
      </c>
    </row>
    <row r="67" spans="2:5" x14ac:dyDescent="0.2">
      <c r="B67" s="723" t="s">
        <v>904</v>
      </c>
      <c r="C67" s="723" t="s">
        <v>963</v>
      </c>
      <c r="D67" s="723" t="s">
        <v>1051</v>
      </c>
    </row>
    <row r="68" spans="2:5" x14ac:dyDescent="0.2">
      <c r="B68" s="723" t="s">
        <v>1499</v>
      </c>
      <c r="C68" s="723" t="s">
        <v>964</v>
      </c>
      <c r="D68" s="723" t="s">
        <v>882</v>
      </c>
      <c r="E68" s="723" t="s">
        <v>1223</v>
      </c>
    </row>
    <row r="69" spans="2:5" x14ac:dyDescent="0.2">
      <c r="B69" s="723" t="s">
        <v>1500</v>
      </c>
      <c r="C69" s="723" t="s">
        <v>965</v>
      </c>
      <c r="D69" s="723" t="s">
        <v>1052</v>
      </c>
      <c r="E69" s="723" t="s">
        <v>1224</v>
      </c>
    </row>
    <row r="70" spans="2:5" x14ac:dyDescent="0.2">
      <c r="B70" s="723" t="s">
        <v>1501</v>
      </c>
      <c r="C70" s="723" t="s">
        <v>966</v>
      </c>
      <c r="D70" s="723" t="s">
        <v>1053</v>
      </c>
      <c r="E70" s="723" t="s">
        <v>1225</v>
      </c>
    </row>
    <row r="71" spans="2:5" x14ac:dyDescent="0.2">
      <c r="C71" s="723" t="s">
        <v>967</v>
      </c>
      <c r="D71" s="723" t="s">
        <v>1054</v>
      </c>
      <c r="E71" s="723" t="s">
        <v>1226</v>
      </c>
    </row>
    <row r="72" spans="2:5" x14ac:dyDescent="0.2">
      <c r="B72" s="723" t="s">
        <v>1502</v>
      </c>
      <c r="C72" s="723" t="s">
        <v>968</v>
      </c>
      <c r="D72" s="723" t="s">
        <v>1055</v>
      </c>
    </row>
    <row r="73" spans="2:5" x14ac:dyDescent="0.2">
      <c r="B73" s="723" t="s">
        <v>1503</v>
      </c>
      <c r="C73" s="723" t="s">
        <v>969</v>
      </c>
      <c r="D73" s="723" t="s">
        <v>1056</v>
      </c>
      <c r="E73" s="723" t="s">
        <v>1227</v>
      </c>
    </row>
    <row r="74" spans="2:5" x14ac:dyDescent="0.2">
      <c r="C74" s="723" t="s">
        <v>882</v>
      </c>
      <c r="D74" s="723" t="s">
        <v>879</v>
      </c>
      <c r="E74" s="723" t="s">
        <v>1228</v>
      </c>
    </row>
    <row r="75" spans="2:5" x14ac:dyDescent="0.2">
      <c r="B75" s="723" t="s">
        <v>885</v>
      </c>
      <c r="C75" s="723" t="s">
        <v>970</v>
      </c>
      <c r="D75" s="723" t="s">
        <v>1071</v>
      </c>
      <c r="E75" s="723" t="s">
        <v>1229</v>
      </c>
    </row>
    <row r="76" spans="2:5" x14ac:dyDescent="0.2">
      <c r="B76" s="723" t="s">
        <v>1504</v>
      </c>
      <c r="C76" s="723" t="s">
        <v>971</v>
      </c>
      <c r="D76" s="723" t="s">
        <v>1057</v>
      </c>
    </row>
    <row r="77" spans="2:5" x14ac:dyDescent="0.2">
      <c r="B77" s="723" t="s">
        <v>1505</v>
      </c>
      <c r="C77" s="723" t="s">
        <v>972</v>
      </c>
      <c r="D77" s="723" t="s">
        <v>1058</v>
      </c>
      <c r="E77" s="723" t="s">
        <v>1230</v>
      </c>
    </row>
    <row r="78" spans="2:5" x14ac:dyDescent="0.2">
      <c r="B78" s="723" t="s">
        <v>1506</v>
      </c>
      <c r="D78" s="724" t="s">
        <v>879</v>
      </c>
      <c r="E78" s="723" t="s">
        <v>1231</v>
      </c>
    </row>
    <row r="79" spans="2:5" x14ac:dyDescent="0.2">
      <c r="B79" s="723" t="s">
        <v>886</v>
      </c>
      <c r="C79" s="723" t="s">
        <v>973</v>
      </c>
      <c r="D79" s="723" t="s">
        <v>1059</v>
      </c>
    </row>
    <row r="80" spans="2:5" x14ac:dyDescent="0.2">
      <c r="C80" s="723" t="s">
        <v>974</v>
      </c>
      <c r="D80" s="723" t="s">
        <v>1060</v>
      </c>
      <c r="E80" s="723" t="s">
        <v>1232</v>
      </c>
    </row>
    <row r="81" spans="2:5" x14ac:dyDescent="0.2">
      <c r="B81" s="723" t="s">
        <v>907</v>
      </c>
      <c r="C81" s="723" t="s">
        <v>975</v>
      </c>
      <c r="D81" s="723" t="s">
        <v>1061</v>
      </c>
      <c r="E81" s="723" t="s">
        <v>1233</v>
      </c>
    </row>
    <row r="82" spans="2:5" x14ac:dyDescent="0.2">
      <c r="B82" s="723" t="s">
        <v>1507</v>
      </c>
      <c r="C82" s="723" t="s">
        <v>976</v>
      </c>
      <c r="D82" s="723" t="s">
        <v>1062</v>
      </c>
      <c r="E82" s="723" t="s">
        <v>1234</v>
      </c>
    </row>
    <row r="83" spans="2:5" x14ac:dyDescent="0.2">
      <c r="B83" s="723" t="s">
        <v>887</v>
      </c>
      <c r="C83" s="723" t="s">
        <v>977</v>
      </c>
      <c r="D83" s="723" t="s">
        <v>1063</v>
      </c>
      <c r="E83" s="723" t="s">
        <v>1235</v>
      </c>
    </row>
    <row r="84" spans="2:5" x14ac:dyDescent="0.2">
      <c r="B84" s="723" t="s">
        <v>908</v>
      </c>
      <c r="C84" s="723" t="s">
        <v>978</v>
      </c>
      <c r="D84" s="723" t="s">
        <v>1064</v>
      </c>
      <c r="E84" s="723" t="s">
        <v>1236</v>
      </c>
    </row>
    <row r="85" spans="2:5" x14ac:dyDescent="0.2">
      <c r="B85" s="723" t="s">
        <v>909</v>
      </c>
      <c r="C85" s="723" t="s">
        <v>979</v>
      </c>
      <c r="D85" s="724" t="s">
        <v>1065</v>
      </c>
    </row>
    <row r="86" spans="2:5" x14ac:dyDescent="0.2">
      <c r="B86" s="723" t="s">
        <v>1453</v>
      </c>
      <c r="C86" s="723" t="s">
        <v>980</v>
      </c>
      <c r="D86" s="723" t="s">
        <v>1066</v>
      </c>
      <c r="E86" s="723" t="s">
        <v>1237</v>
      </c>
    </row>
    <row r="87" spans="2:5" x14ac:dyDescent="0.2">
      <c r="B87" s="723" t="s">
        <v>1454</v>
      </c>
      <c r="C87" s="723" t="s">
        <v>981</v>
      </c>
      <c r="D87" s="723" t="s">
        <v>1067</v>
      </c>
      <c r="E87" s="723" t="s">
        <v>1238</v>
      </c>
    </row>
    <row r="88" spans="2:5" x14ac:dyDescent="0.2">
      <c r="B88" s="723" t="s">
        <v>1273</v>
      </c>
      <c r="C88" s="723" t="s">
        <v>982</v>
      </c>
      <c r="E88" s="723" t="s">
        <v>1239</v>
      </c>
    </row>
    <row r="89" spans="2:5" x14ac:dyDescent="0.2">
      <c r="B89" s="723" t="s">
        <v>875</v>
      </c>
      <c r="C89" s="723" t="s">
        <v>882</v>
      </c>
      <c r="D89" s="723" t="s">
        <v>1068</v>
      </c>
      <c r="E89" s="723" t="s">
        <v>1240</v>
      </c>
    </row>
    <row r="90" spans="2:5" x14ac:dyDescent="0.2">
      <c r="B90" s="723" t="s">
        <v>888</v>
      </c>
      <c r="C90" s="723" t="s">
        <v>983</v>
      </c>
      <c r="D90" s="723" t="s">
        <v>1069</v>
      </c>
      <c r="E90" s="723" t="s">
        <v>1241</v>
      </c>
    </row>
    <row r="91" spans="2:5" x14ac:dyDescent="0.2">
      <c r="B91" s="723" t="s">
        <v>910</v>
      </c>
      <c r="C91" s="723" t="s">
        <v>971</v>
      </c>
      <c r="D91" s="723" t="s">
        <v>1070</v>
      </c>
      <c r="E91" s="723" t="s">
        <v>1242</v>
      </c>
    </row>
    <row r="92" spans="2:5" x14ac:dyDescent="0.2">
      <c r="B92" s="723" t="s">
        <v>911</v>
      </c>
      <c r="C92" s="723" t="s">
        <v>984</v>
      </c>
      <c r="E92" s="723" t="s">
        <v>1243</v>
      </c>
    </row>
    <row r="93" spans="2:5" x14ac:dyDescent="0.2">
      <c r="C93" s="723" t="s">
        <v>1266</v>
      </c>
      <c r="D93" s="723" t="s">
        <v>1071</v>
      </c>
      <c r="E93" s="723" t="s">
        <v>1244</v>
      </c>
    </row>
    <row r="94" spans="2:5" x14ac:dyDescent="0.2">
      <c r="B94" s="723" t="s">
        <v>912</v>
      </c>
      <c r="D94" s="723" t="s">
        <v>1072</v>
      </c>
      <c r="E94" s="723" t="s">
        <v>333</v>
      </c>
    </row>
    <row r="95" spans="2:5" x14ac:dyDescent="0.2">
      <c r="B95" s="723" t="s">
        <v>913</v>
      </c>
      <c r="C95" s="723" t="s">
        <v>985</v>
      </c>
      <c r="D95" s="724" t="s">
        <v>1073</v>
      </c>
      <c r="E95" s="723" t="s">
        <v>1245</v>
      </c>
    </row>
    <row r="96" spans="2:5" x14ac:dyDescent="0.2">
      <c r="B96" s="723" t="s">
        <v>914</v>
      </c>
      <c r="C96" s="723" t="s">
        <v>905</v>
      </c>
      <c r="D96" s="723" t="s">
        <v>1074</v>
      </c>
      <c r="E96" s="723" t="s">
        <v>1246</v>
      </c>
    </row>
    <row r="97" spans="2:5" x14ac:dyDescent="0.2">
      <c r="B97" s="723" t="s">
        <v>915</v>
      </c>
      <c r="C97" s="723" t="s">
        <v>986</v>
      </c>
      <c r="D97" s="723" t="s">
        <v>1075</v>
      </c>
      <c r="E97" s="723" t="s">
        <v>1247</v>
      </c>
    </row>
    <row r="98" spans="2:5" x14ac:dyDescent="0.2">
      <c r="C98" s="723" t="s">
        <v>884</v>
      </c>
      <c r="E98" s="723" t="s">
        <v>1248</v>
      </c>
    </row>
    <row r="99" spans="2:5" x14ac:dyDescent="0.2">
      <c r="B99" s="723" t="s">
        <v>888</v>
      </c>
      <c r="D99" s="723" t="s">
        <v>1076</v>
      </c>
    </row>
    <row r="100" spans="2:5" x14ac:dyDescent="0.2">
      <c r="B100" s="723" t="s">
        <v>886</v>
      </c>
      <c r="C100" s="723" t="s">
        <v>987</v>
      </c>
      <c r="D100" s="723" t="s">
        <v>1756</v>
      </c>
      <c r="E100" s="723" t="s">
        <v>1249</v>
      </c>
    </row>
    <row r="101" spans="2:5" x14ac:dyDescent="0.2">
      <c r="C101" s="723" t="s">
        <v>906</v>
      </c>
      <c r="D101" s="723" t="s">
        <v>878</v>
      </c>
      <c r="E101" s="723" t="s">
        <v>1250</v>
      </c>
    </row>
    <row r="102" spans="2:5" x14ac:dyDescent="0.2">
      <c r="B102" s="723" t="s">
        <v>776</v>
      </c>
      <c r="D102" s="723" t="s">
        <v>1077</v>
      </c>
      <c r="E102" s="723" t="s">
        <v>1251</v>
      </c>
    </row>
    <row r="103" spans="2:5" x14ac:dyDescent="0.2">
      <c r="C103" s="723" t="s">
        <v>885</v>
      </c>
      <c r="D103" s="723" t="s">
        <v>1078</v>
      </c>
    </row>
    <row r="104" spans="2:5" x14ac:dyDescent="0.2">
      <c r="B104" s="723" t="s">
        <v>777</v>
      </c>
      <c r="C104" s="723" t="s">
        <v>988</v>
      </c>
      <c r="D104" s="723" t="s">
        <v>1079</v>
      </c>
      <c r="E104" s="723" t="s">
        <v>1252</v>
      </c>
    </row>
    <row r="105" spans="2:5" x14ac:dyDescent="0.2">
      <c r="B105" s="723" t="s">
        <v>778</v>
      </c>
      <c r="C105" s="723" t="s">
        <v>989</v>
      </c>
      <c r="D105" s="723" t="s">
        <v>1080</v>
      </c>
    </row>
    <row r="106" spans="2:5" x14ac:dyDescent="0.2">
      <c r="B106" s="723" t="s">
        <v>993</v>
      </c>
      <c r="C106" s="723" t="s">
        <v>990</v>
      </c>
      <c r="D106" s="723" t="s">
        <v>1081</v>
      </c>
      <c r="E106" s="723" t="s">
        <v>1253</v>
      </c>
    </row>
    <row r="107" spans="2:5" x14ac:dyDescent="0.2">
      <c r="C107" s="723" t="s">
        <v>886</v>
      </c>
      <c r="D107" s="723" t="s">
        <v>1082</v>
      </c>
      <c r="E107" s="723" t="s">
        <v>1254</v>
      </c>
    </row>
    <row r="108" spans="2:5" x14ac:dyDescent="0.2">
      <c r="B108" s="723" t="s">
        <v>786</v>
      </c>
      <c r="D108" s="723" t="s">
        <v>879</v>
      </c>
      <c r="E108" s="723" t="s">
        <v>1255</v>
      </c>
    </row>
    <row r="109" spans="2:5" x14ac:dyDescent="0.2">
      <c r="B109" s="723" t="s">
        <v>994</v>
      </c>
      <c r="C109" s="723" t="s">
        <v>907</v>
      </c>
      <c r="D109" s="723" t="s">
        <v>1083</v>
      </c>
    </row>
    <row r="110" spans="2:5" x14ac:dyDescent="0.2">
      <c r="B110" s="723" t="s">
        <v>1508</v>
      </c>
      <c r="C110" s="723" t="s">
        <v>991</v>
      </c>
      <c r="D110" s="723" t="s">
        <v>1084</v>
      </c>
      <c r="E110" s="723" t="s">
        <v>1256</v>
      </c>
    </row>
    <row r="111" spans="2:5" x14ac:dyDescent="0.2">
      <c r="B111" s="723" t="s">
        <v>787</v>
      </c>
      <c r="C111" s="723" t="s">
        <v>887</v>
      </c>
      <c r="D111" s="723" t="s">
        <v>1085</v>
      </c>
      <c r="E111" s="723" t="s">
        <v>1257</v>
      </c>
    </row>
    <row r="112" spans="2:5" x14ac:dyDescent="0.2">
      <c r="B112" s="723" t="s">
        <v>996</v>
      </c>
      <c r="C112" s="723" t="s">
        <v>908</v>
      </c>
      <c r="D112" s="723" t="s">
        <v>1086</v>
      </c>
      <c r="E112" s="723" t="s">
        <v>1258</v>
      </c>
    </row>
    <row r="113" spans="2:5" x14ac:dyDescent="0.2">
      <c r="B113" s="723" t="s">
        <v>997</v>
      </c>
      <c r="C113" s="723" t="s">
        <v>909</v>
      </c>
      <c r="D113" s="723" t="s">
        <v>1087</v>
      </c>
      <c r="E113" s="723" t="s">
        <v>1259</v>
      </c>
    </row>
    <row r="114" spans="2:5" x14ac:dyDescent="0.2">
      <c r="B114" s="723" t="s">
        <v>749</v>
      </c>
      <c r="C114" s="723" t="s">
        <v>1453</v>
      </c>
      <c r="D114" s="723" t="s">
        <v>1757</v>
      </c>
    </row>
    <row r="115" spans="2:5" x14ac:dyDescent="0.2">
      <c r="B115" s="723" t="s">
        <v>750</v>
      </c>
      <c r="C115" s="723" t="s">
        <v>1454</v>
      </c>
      <c r="E115" s="723" t="s">
        <v>1098</v>
      </c>
    </row>
    <row r="116" spans="2:5" x14ac:dyDescent="0.2">
      <c r="D116" s="723" t="s">
        <v>1088</v>
      </c>
      <c r="E116" s="723" t="s">
        <v>905</v>
      </c>
    </row>
    <row r="117" spans="2:5" x14ac:dyDescent="0.2">
      <c r="B117" s="723" t="s">
        <v>779</v>
      </c>
      <c r="C117" s="723" t="s">
        <v>757</v>
      </c>
      <c r="D117" s="723" t="s">
        <v>1084</v>
      </c>
      <c r="E117" s="723" t="s">
        <v>1601</v>
      </c>
    </row>
    <row r="118" spans="2:5" x14ac:dyDescent="0.2">
      <c r="B118" s="723" t="s">
        <v>1509</v>
      </c>
      <c r="C118" s="723" t="s">
        <v>770</v>
      </c>
      <c r="D118" s="723" t="s">
        <v>1089</v>
      </c>
    </row>
    <row r="119" spans="2:5" x14ac:dyDescent="0.2">
      <c r="B119" s="723" t="s">
        <v>1510</v>
      </c>
      <c r="C119" s="723" t="s">
        <v>1592</v>
      </c>
      <c r="D119" s="723" t="s">
        <v>1086</v>
      </c>
      <c r="E119" s="723" t="s">
        <v>1100</v>
      </c>
    </row>
    <row r="120" spans="2:5" x14ac:dyDescent="0.2">
      <c r="B120" s="723" t="s">
        <v>1511</v>
      </c>
      <c r="C120" s="723" t="s">
        <v>758</v>
      </c>
      <c r="D120" s="723" t="s">
        <v>1090</v>
      </c>
      <c r="E120" s="723" t="s">
        <v>906</v>
      </c>
    </row>
    <row r="121" spans="2:5" x14ac:dyDescent="0.2">
      <c r="B121" s="723" t="s">
        <v>1512</v>
      </c>
      <c r="C121" s="723" t="s">
        <v>767</v>
      </c>
      <c r="D121" s="723" t="s">
        <v>1091</v>
      </c>
    </row>
    <row r="122" spans="2:5" x14ac:dyDescent="0.2">
      <c r="B122" s="723" t="s">
        <v>1461</v>
      </c>
      <c r="C122" s="723" t="s">
        <v>768</v>
      </c>
      <c r="E122" s="723" t="s">
        <v>1260</v>
      </c>
    </row>
    <row r="123" spans="2:5" x14ac:dyDescent="0.2">
      <c r="B123" s="723" t="s">
        <v>1513</v>
      </c>
      <c r="C123" s="723" t="s">
        <v>769</v>
      </c>
      <c r="D123" s="723" t="s">
        <v>1092</v>
      </c>
      <c r="E123" s="723" t="s">
        <v>1602</v>
      </c>
    </row>
    <row r="124" spans="2:5" x14ac:dyDescent="0.2">
      <c r="B124" s="723" t="s">
        <v>1514</v>
      </c>
      <c r="C124" s="723" t="s">
        <v>992</v>
      </c>
      <c r="D124" s="723" t="s">
        <v>1093</v>
      </c>
      <c r="E124" s="723" t="s">
        <v>1603</v>
      </c>
    </row>
    <row r="125" spans="2:5" x14ac:dyDescent="0.2">
      <c r="B125" s="723" t="s">
        <v>771</v>
      </c>
      <c r="C125" s="723" t="s">
        <v>758</v>
      </c>
      <c r="D125" s="723" t="s">
        <v>1094</v>
      </c>
    </row>
    <row r="126" spans="2:5" x14ac:dyDescent="0.2">
      <c r="B126" s="723" t="s">
        <v>1515</v>
      </c>
      <c r="C126" s="723" t="s">
        <v>757</v>
      </c>
      <c r="D126" s="723" t="s">
        <v>1095</v>
      </c>
      <c r="E126" s="723" t="s">
        <v>885</v>
      </c>
    </row>
    <row r="127" spans="2:5" x14ac:dyDescent="0.2">
      <c r="B127" s="723" t="s">
        <v>749</v>
      </c>
      <c r="D127" s="723" t="s">
        <v>1096</v>
      </c>
      <c r="E127" s="723" t="s">
        <v>1604</v>
      </c>
    </row>
    <row r="128" spans="2:5" x14ac:dyDescent="0.2">
      <c r="B128" s="723" t="s">
        <v>1516</v>
      </c>
      <c r="C128" s="723" t="s">
        <v>784</v>
      </c>
      <c r="D128" s="723" t="s">
        <v>1097</v>
      </c>
      <c r="E128" s="723" t="s">
        <v>1605</v>
      </c>
    </row>
    <row r="129" spans="2:5" x14ac:dyDescent="0.2">
      <c r="B129" s="723" t="s">
        <v>771</v>
      </c>
      <c r="C129" s="723" t="s">
        <v>778</v>
      </c>
      <c r="E129" s="723" t="s">
        <v>1606</v>
      </c>
    </row>
    <row r="130" spans="2:5" x14ac:dyDescent="0.2">
      <c r="B130" s="723" t="s">
        <v>1517</v>
      </c>
      <c r="C130" s="723" t="s">
        <v>993</v>
      </c>
      <c r="D130" s="723" t="s">
        <v>1098</v>
      </c>
      <c r="E130" s="723" t="s">
        <v>886</v>
      </c>
    </row>
    <row r="131" spans="2:5" x14ac:dyDescent="0.2">
      <c r="B131" s="723" t="s">
        <v>1518</v>
      </c>
      <c r="C131" s="723" t="s">
        <v>786</v>
      </c>
      <c r="D131" s="723" t="s">
        <v>905</v>
      </c>
    </row>
    <row r="132" spans="2:5" x14ac:dyDescent="0.2">
      <c r="B132" s="723" t="s">
        <v>1470</v>
      </c>
      <c r="C132" s="723" t="s">
        <v>994</v>
      </c>
      <c r="D132" s="723" t="s">
        <v>1099</v>
      </c>
      <c r="E132" s="723" t="s">
        <v>907</v>
      </c>
    </row>
    <row r="133" spans="2:5" x14ac:dyDescent="0.2">
      <c r="B133" s="723" t="s">
        <v>1519</v>
      </c>
      <c r="C133" s="723" t="s">
        <v>995</v>
      </c>
      <c r="D133" s="723" t="s">
        <v>1100</v>
      </c>
      <c r="E133" s="723" t="s">
        <v>1607</v>
      </c>
    </row>
    <row r="134" spans="2:5" x14ac:dyDescent="0.2">
      <c r="B134" s="723" t="s">
        <v>1520</v>
      </c>
      <c r="C134" s="723" t="s">
        <v>787</v>
      </c>
      <c r="D134" s="723" t="s">
        <v>906</v>
      </c>
      <c r="E134" s="723" t="s">
        <v>1608</v>
      </c>
    </row>
    <row r="135" spans="2:5" x14ac:dyDescent="0.2">
      <c r="B135" s="723" t="s">
        <v>1521</v>
      </c>
      <c r="C135" s="723" t="s">
        <v>996</v>
      </c>
      <c r="E135" s="723" t="s">
        <v>887</v>
      </c>
    </row>
    <row r="136" spans="2:5" x14ac:dyDescent="0.2">
      <c r="B136" s="723" t="s">
        <v>1522</v>
      </c>
      <c r="C136" s="723" t="s">
        <v>997</v>
      </c>
      <c r="D136" s="723" t="s">
        <v>1763</v>
      </c>
      <c r="E136" s="723" t="s">
        <v>1261</v>
      </c>
    </row>
    <row r="137" spans="2:5" x14ac:dyDescent="0.2">
      <c r="B137" s="723" t="s">
        <v>1523</v>
      </c>
      <c r="C137" s="723" t="s">
        <v>749</v>
      </c>
      <c r="D137" s="723" t="s">
        <v>1767</v>
      </c>
      <c r="E137" s="723" t="s">
        <v>1609</v>
      </c>
    </row>
    <row r="138" spans="2:5" x14ac:dyDescent="0.2">
      <c r="B138" s="723" t="s">
        <v>749</v>
      </c>
      <c r="C138" s="723" t="s">
        <v>750</v>
      </c>
      <c r="D138" s="723" t="s">
        <v>1768</v>
      </c>
      <c r="E138" s="723" t="s">
        <v>758</v>
      </c>
    </row>
    <row r="139" spans="2:5" x14ac:dyDescent="0.2">
      <c r="B139" s="723" t="s">
        <v>1524</v>
      </c>
      <c r="E139" s="723" t="s">
        <v>1610</v>
      </c>
    </row>
    <row r="140" spans="2:5" x14ac:dyDescent="0.2">
      <c r="B140" s="723" t="s">
        <v>1525</v>
      </c>
      <c r="C140" s="723" t="s">
        <v>780</v>
      </c>
      <c r="D140" s="723" t="s">
        <v>1764</v>
      </c>
      <c r="E140" s="723" t="s">
        <v>1611</v>
      </c>
    </row>
    <row r="141" spans="2:5" x14ac:dyDescent="0.2">
      <c r="B141" s="723" t="s">
        <v>749</v>
      </c>
      <c r="C141" s="723" t="s">
        <v>781</v>
      </c>
      <c r="D141" s="723" t="s">
        <v>1769</v>
      </c>
      <c r="E141" s="723" t="s">
        <v>1612</v>
      </c>
    </row>
    <row r="142" spans="2:5" x14ac:dyDescent="0.2">
      <c r="B142" s="723" t="s">
        <v>750</v>
      </c>
      <c r="C142" s="723" t="s">
        <v>780</v>
      </c>
      <c r="D142" s="723" t="s">
        <v>1770</v>
      </c>
      <c r="E142" s="723" t="s">
        <v>1613</v>
      </c>
    </row>
    <row r="143" spans="2:5" x14ac:dyDescent="0.2">
      <c r="C143" s="723" t="s">
        <v>1593</v>
      </c>
      <c r="E143" s="723" t="s">
        <v>758</v>
      </c>
    </row>
    <row r="144" spans="2:5" x14ac:dyDescent="0.2">
      <c r="B144" s="723" t="s">
        <v>780</v>
      </c>
      <c r="C144" s="723" t="s">
        <v>782</v>
      </c>
      <c r="D144" s="723" t="s">
        <v>885</v>
      </c>
      <c r="E144" s="723" t="s">
        <v>1614</v>
      </c>
    </row>
    <row r="145" spans="2:5" x14ac:dyDescent="0.2">
      <c r="B145" s="723" t="s">
        <v>781</v>
      </c>
      <c r="C145" s="723" t="s">
        <v>998</v>
      </c>
      <c r="D145" s="723" t="s">
        <v>1101</v>
      </c>
      <c r="E145" s="723" t="s">
        <v>758</v>
      </c>
    </row>
    <row r="146" spans="2:5" x14ac:dyDescent="0.2">
      <c r="B146" s="723" t="s">
        <v>780</v>
      </c>
      <c r="C146" s="723" t="s">
        <v>999</v>
      </c>
      <c r="D146" s="723" t="s">
        <v>1102</v>
      </c>
      <c r="E146" s="723" t="s">
        <v>1261</v>
      </c>
    </row>
    <row r="147" spans="2:5" x14ac:dyDescent="0.2">
      <c r="B147" s="723" t="s">
        <v>916</v>
      </c>
      <c r="C147" s="723" t="s">
        <v>1000</v>
      </c>
      <c r="D147" s="723" t="s">
        <v>1771</v>
      </c>
    </row>
    <row r="148" spans="2:5" x14ac:dyDescent="0.2">
      <c r="B148" s="723" t="s">
        <v>782</v>
      </c>
      <c r="C148" s="723" t="s">
        <v>1001</v>
      </c>
      <c r="D148" s="723" t="s">
        <v>1772</v>
      </c>
      <c r="E148" s="723" t="s">
        <v>908</v>
      </c>
    </row>
    <row r="149" spans="2:5" x14ac:dyDescent="0.2">
      <c r="B149" s="723" t="s">
        <v>917</v>
      </c>
      <c r="C149" s="723" t="s">
        <v>1002</v>
      </c>
      <c r="E149" s="723" t="s">
        <v>909</v>
      </c>
    </row>
    <row r="150" spans="2:5" x14ac:dyDescent="0.2">
      <c r="B150" s="723" t="s">
        <v>1526</v>
      </c>
      <c r="C150" s="723" t="s">
        <v>878</v>
      </c>
      <c r="D150" s="723" t="s">
        <v>885</v>
      </c>
      <c r="E150" s="723" t="s">
        <v>1262</v>
      </c>
    </row>
    <row r="151" spans="2:5" x14ac:dyDescent="0.2">
      <c r="B151" s="723" t="s">
        <v>1527</v>
      </c>
      <c r="C151" s="723" t="s">
        <v>1003</v>
      </c>
      <c r="D151" s="723" t="s">
        <v>1773</v>
      </c>
      <c r="E151" s="723" t="s">
        <v>1722</v>
      </c>
    </row>
    <row r="152" spans="2:5" x14ac:dyDescent="0.2">
      <c r="B152" s="723" t="s">
        <v>1528</v>
      </c>
      <c r="C152" s="723" t="s">
        <v>1004</v>
      </c>
      <c r="D152" s="723" t="s">
        <v>1102</v>
      </c>
      <c r="E152" s="723" t="s">
        <v>1600</v>
      </c>
    </row>
    <row r="153" spans="2:5" x14ac:dyDescent="0.2">
      <c r="B153" s="723" t="s">
        <v>1529</v>
      </c>
      <c r="C153" s="723" t="s">
        <v>1005</v>
      </c>
      <c r="D153" s="723" t="s">
        <v>1774</v>
      </c>
    </row>
    <row r="154" spans="2:5" x14ac:dyDescent="0.2">
      <c r="B154" s="723" t="s">
        <v>1530</v>
      </c>
      <c r="C154" s="723" t="s">
        <v>1006</v>
      </c>
      <c r="D154" s="723" t="s">
        <v>1775</v>
      </c>
      <c r="E154" s="723" t="s">
        <v>784</v>
      </c>
    </row>
    <row r="155" spans="2:5" x14ac:dyDescent="0.2">
      <c r="B155" s="723" t="s">
        <v>1531</v>
      </c>
      <c r="C155" s="723" t="s">
        <v>1007</v>
      </c>
      <c r="D155" s="723" t="s">
        <v>878</v>
      </c>
      <c r="E155" s="723" t="s">
        <v>1615</v>
      </c>
    </row>
    <row r="156" spans="2:5" x14ac:dyDescent="0.2">
      <c r="B156" s="723" t="s">
        <v>1532</v>
      </c>
      <c r="C156" s="723" t="s">
        <v>1008</v>
      </c>
      <c r="D156" s="723" t="s">
        <v>885</v>
      </c>
      <c r="E156" s="723" t="s">
        <v>1616</v>
      </c>
    </row>
    <row r="157" spans="2:5" x14ac:dyDescent="0.2">
      <c r="B157" s="723" t="s">
        <v>1533</v>
      </c>
      <c r="C157" s="723" t="s">
        <v>1009</v>
      </c>
      <c r="D157" s="723" t="s">
        <v>1776</v>
      </c>
      <c r="E157" s="723" t="s">
        <v>1617</v>
      </c>
    </row>
    <row r="158" spans="2:5" x14ac:dyDescent="0.2">
      <c r="B158" s="723" t="s">
        <v>1534</v>
      </c>
      <c r="C158" s="723" t="s">
        <v>1010</v>
      </c>
      <c r="D158" s="723" t="s">
        <v>1777</v>
      </c>
      <c r="E158" s="723" t="s">
        <v>1618</v>
      </c>
    </row>
    <row r="159" spans="2:5" x14ac:dyDescent="0.2">
      <c r="B159" s="723" t="s">
        <v>1535</v>
      </c>
      <c r="C159" s="723" t="s">
        <v>1011</v>
      </c>
      <c r="D159" s="723" t="s">
        <v>1778</v>
      </c>
    </row>
    <row r="160" spans="2:5" x14ac:dyDescent="0.2">
      <c r="B160" s="723" t="s">
        <v>1536</v>
      </c>
      <c r="C160" s="723" t="s">
        <v>1012</v>
      </c>
      <c r="D160" s="723" t="s">
        <v>1779</v>
      </c>
      <c r="E160" s="723" t="s">
        <v>1619</v>
      </c>
    </row>
    <row r="161" spans="2:5" x14ac:dyDescent="0.2">
      <c r="B161" s="723" t="s">
        <v>1537</v>
      </c>
      <c r="D161" s="723" t="s">
        <v>1772</v>
      </c>
    </row>
    <row r="162" spans="2:5" x14ac:dyDescent="0.2">
      <c r="B162" s="723" t="s">
        <v>1538</v>
      </c>
      <c r="C162" s="723" t="s">
        <v>1267</v>
      </c>
      <c r="D162" s="723" t="s">
        <v>886</v>
      </c>
      <c r="E162" s="723" t="s">
        <v>1620</v>
      </c>
    </row>
    <row r="163" spans="2:5" x14ac:dyDescent="0.2">
      <c r="B163" s="723" t="s">
        <v>1539</v>
      </c>
      <c r="C163" s="723" t="s">
        <v>1268</v>
      </c>
      <c r="E163" s="723" t="s">
        <v>1621</v>
      </c>
    </row>
    <row r="164" spans="2:5" x14ac:dyDescent="0.2">
      <c r="B164" s="723" t="s">
        <v>1540</v>
      </c>
      <c r="C164" s="723" t="s">
        <v>1269</v>
      </c>
      <c r="D164" s="723" t="s">
        <v>1762</v>
      </c>
      <c r="E164" s="723" t="s">
        <v>1622</v>
      </c>
    </row>
    <row r="165" spans="2:5" x14ac:dyDescent="0.2">
      <c r="B165" s="723" t="s">
        <v>1541</v>
      </c>
      <c r="D165" s="723" t="s">
        <v>907</v>
      </c>
      <c r="E165" s="723" t="s">
        <v>1623</v>
      </c>
    </row>
    <row r="166" spans="2:5" x14ac:dyDescent="0.2">
      <c r="B166" s="723" t="s">
        <v>1542</v>
      </c>
      <c r="C166" s="723" t="s">
        <v>1013</v>
      </c>
      <c r="D166" s="723" t="s">
        <v>1843</v>
      </c>
      <c r="E166" s="723" t="s">
        <v>1624</v>
      </c>
    </row>
    <row r="167" spans="2:5" x14ac:dyDescent="0.2">
      <c r="B167" s="723" t="s">
        <v>1543</v>
      </c>
      <c r="C167" s="723" t="s">
        <v>1014</v>
      </c>
      <c r="D167" s="723" t="s">
        <v>1842</v>
      </c>
      <c r="E167" s="723" t="s">
        <v>1625</v>
      </c>
    </row>
    <row r="168" spans="2:5" x14ac:dyDescent="0.2">
      <c r="B168" s="723" t="s">
        <v>1544</v>
      </c>
      <c r="C168" s="723" t="s">
        <v>1015</v>
      </c>
      <c r="D168" s="723" t="s">
        <v>887</v>
      </c>
      <c r="E168" s="723" t="s">
        <v>1626</v>
      </c>
    </row>
    <row r="169" spans="2:5" x14ac:dyDescent="0.2">
      <c r="B169" s="723" t="s">
        <v>1545</v>
      </c>
      <c r="C169" s="723" t="s">
        <v>1270</v>
      </c>
      <c r="E169" s="723" t="s">
        <v>1627</v>
      </c>
    </row>
    <row r="170" spans="2:5" x14ac:dyDescent="0.2">
      <c r="B170" s="723" t="s">
        <v>1546</v>
      </c>
      <c r="C170" s="723" t="s">
        <v>1016</v>
      </c>
      <c r="D170" s="723" t="s">
        <v>1103</v>
      </c>
      <c r="E170" s="723" t="s">
        <v>889</v>
      </c>
    </row>
    <row r="171" spans="2:5" x14ac:dyDescent="0.2">
      <c r="B171" s="723" t="s">
        <v>1547</v>
      </c>
      <c r="C171" s="723" t="s">
        <v>1017</v>
      </c>
      <c r="D171" s="723" t="s">
        <v>1104</v>
      </c>
      <c r="E171" s="723" t="s">
        <v>750</v>
      </c>
    </row>
    <row r="172" spans="2:5" x14ac:dyDescent="0.2">
      <c r="B172" s="723" t="s">
        <v>1548</v>
      </c>
      <c r="C172" s="723" t="s">
        <v>1018</v>
      </c>
      <c r="D172" s="723" t="s">
        <v>1780</v>
      </c>
    </row>
    <row r="173" spans="2:5" x14ac:dyDescent="0.2">
      <c r="B173" s="723" t="s">
        <v>1549</v>
      </c>
      <c r="C173" s="723" t="s">
        <v>1271</v>
      </c>
      <c r="E173" s="723" t="s">
        <v>780</v>
      </c>
    </row>
    <row r="174" spans="2:5" x14ac:dyDescent="0.2">
      <c r="B174" s="723" t="s">
        <v>1550</v>
      </c>
      <c r="C174" s="723" t="s">
        <v>891</v>
      </c>
      <c r="D174" s="723" t="s">
        <v>1105</v>
      </c>
      <c r="E174" s="723" t="s">
        <v>1628</v>
      </c>
    </row>
    <row r="175" spans="2:5" x14ac:dyDescent="0.2">
      <c r="B175" s="723" t="s">
        <v>1551</v>
      </c>
      <c r="C175" s="723" t="s">
        <v>892</v>
      </c>
      <c r="D175" s="723" t="s">
        <v>1106</v>
      </c>
      <c r="E175" s="723" t="s">
        <v>780</v>
      </c>
    </row>
    <row r="176" spans="2:5" x14ac:dyDescent="0.2">
      <c r="B176" s="723" t="s">
        <v>1552</v>
      </c>
      <c r="C176" s="723" t="s">
        <v>889</v>
      </c>
      <c r="D176" s="723" t="s">
        <v>1107</v>
      </c>
    </row>
    <row r="177" spans="2:5" x14ac:dyDescent="0.2">
      <c r="B177" s="723" t="s">
        <v>1553</v>
      </c>
      <c r="C177" s="723" t="s">
        <v>918</v>
      </c>
      <c r="D177" s="723" t="s">
        <v>1108</v>
      </c>
      <c r="E177" s="723" t="s">
        <v>1263</v>
      </c>
    </row>
    <row r="178" spans="2:5" x14ac:dyDescent="0.2">
      <c r="B178" s="723" t="s">
        <v>1554</v>
      </c>
      <c r="C178" s="723" t="s">
        <v>1272</v>
      </c>
      <c r="E178" s="723" t="s">
        <v>1264</v>
      </c>
    </row>
    <row r="179" spans="2:5" x14ac:dyDescent="0.2">
      <c r="B179" s="723" t="s">
        <v>1555</v>
      </c>
      <c r="C179" s="723" t="s">
        <v>893</v>
      </c>
      <c r="D179" s="723" t="s">
        <v>888</v>
      </c>
      <c r="E179" s="723" t="s">
        <v>890</v>
      </c>
    </row>
    <row r="180" spans="2:5" x14ac:dyDescent="0.2">
      <c r="B180" s="723" t="s">
        <v>1556</v>
      </c>
      <c r="C180" s="723" t="s">
        <v>919</v>
      </c>
      <c r="D180" s="723" t="s">
        <v>886</v>
      </c>
      <c r="E180" s="723" t="s">
        <v>1629</v>
      </c>
    </row>
    <row r="181" spans="2:5" x14ac:dyDescent="0.2">
      <c r="B181" s="723" t="s">
        <v>1557</v>
      </c>
      <c r="C181" s="723" t="s">
        <v>889</v>
      </c>
      <c r="E181" s="723" t="s">
        <v>1723</v>
      </c>
    </row>
    <row r="182" spans="2:5" x14ac:dyDescent="0.2">
      <c r="B182" s="723" t="s">
        <v>1558</v>
      </c>
      <c r="C182" s="723" t="s">
        <v>750</v>
      </c>
      <c r="D182" s="723" t="s">
        <v>908</v>
      </c>
      <c r="E182" s="723" t="s">
        <v>1630</v>
      </c>
    </row>
    <row r="183" spans="2:5" x14ac:dyDescent="0.2">
      <c r="B183" s="723" t="s">
        <v>1559</v>
      </c>
      <c r="C183" s="723" t="s">
        <v>920</v>
      </c>
      <c r="D183" s="723" t="s">
        <v>909</v>
      </c>
      <c r="E183" s="723" t="s">
        <v>1631</v>
      </c>
    </row>
    <row r="184" spans="2:5" x14ac:dyDescent="0.2">
      <c r="B184" s="723" t="s">
        <v>1560</v>
      </c>
      <c r="C184" s="723" t="s">
        <v>1019</v>
      </c>
      <c r="D184" s="723" t="s">
        <v>1839</v>
      </c>
      <c r="E184" s="723" t="s">
        <v>1632</v>
      </c>
    </row>
    <row r="185" spans="2:5" x14ac:dyDescent="0.2">
      <c r="C185" s="723" t="s">
        <v>921</v>
      </c>
      <c r="D185" s="723" t="s">
        <v>1454</v>
      </c>
      <c r="E185" s="723" t="s">
        <v>889</v>
      </c>
    </row>
    <row r="186" spans="2:5" x14ac:dyDescent="0.2">
      <c r="B186" s="723" t="s">
        <v>1561</v>
      </c>
      <c r="C186" s="723" t="s">
        <v>922</v>
      </c>
      <c r="E186" s="723" t="s">
        <v>1633</v>
      </c>
    </row>
    <row r="187" spans="2:5" x14ac:dyDescent="0.2">
      <c r="B187" s="723" t="s">
        <v>1562</v>
      </c>
      <c r="C187" s="723" t="s">
        <v>750</v>
      </c>
      <c r="D187" s="723" t="s">
        <v>1765</v>
      </c>
      <c r="E187" s="723" t="s">
        <v>1634</v>
      </c>
    </row>
    <row r="188" spans="2:5" x14ac:dyDescent="0.2">
      <c r="B188" s="723" t="s">
        <v>1563</v>
      </c>
      <c r="C188" s="723" t="s">
        <v>783</v>
      </c>
      <c r="E188" s="723" t="s">
        <v>1635</v>
      </c>
    </row>
    <row r="189" spans="2:5" x14ac:dyDescent="0.2">
      <c r="B189" s="723" t="s">
        <v>1564</v>
      </c>
      <c r="D189" s="723" t="s">
        <v>1109</v>
      </c>
      <c r="E189" s="723" t="s">
        <v>1636</v>
      </c>
    </row>
    <row r="190" spans="2:5" x14ac:dyDescent="0.2">
      <c r="B190" s="723" t="s">
        <v>1565</v>
      </c>
      <c r="D190" s="723" t="s">
        <v>759</v>
      </c>
      <c r="E190" s="723" t="s">
        <v>1637</v>
      </c>
    </row>
    <row r="191" spans="2:5" x14ac:dyDescent="0.2">
      <c r="B191" s="723" t="s">
        <v>1566</v>
      </c>
      <c r="D191" s="723" t="s">
        <v>1758</v>
      </c>
      <c r="E191" s="723" t="s">
        <v>1638</v>
      </c>
    </row>
    <row r="192" spans="2:5" x14ac:dyDescent="0.2">
      <c r="D192" s="723" t="s">
        <v>1759</v>
      </c>
      <c r="E192" s="723" t="s">
        <v>1639</v>
      </c>
    </row>
    <row r="193" spans="2:5" x14ac:dyDescent="0.2">
      <c r="B193" s="723" t="s">
        <v>1567</v>
      </c>
      <c r="D193" s="723" t="s">
        <v>1760</v>
      </c>
      <c r="E193" s="723" t="s">
        <v>1640</v>
      </c>
    </row>
    <row r="194" spans="2:5" x14ac:dyDescent="0.2">
      <c r="B194" s="723" t="s">
        <v>1568</v>
      </c>
      <c r="D194" s="723" t="s">
        <v>759</v>
      </c>
      <c r="E194" s="723" t="s">
        <v>1641</v>
      </c>
    </row>
    <row r="195" spans="2:5" x14ac:dyDescent="0.2">
      <c r="B195" s="723" t="s">
        <v>1569</v>
      </c>
      <c r="D195" s="723" t="s">
        <v>1781</v>
      </c>
      <c r="E195" s="723" t="s">
        <v>1642</v>
      </c>
    </row>
    <row r="196" spans="2:5" x14ac:dyDescent="0.2">
      <c r="D196" s="723" t="s">
        <v>1782</v>
      </c>
      <c r="E196" s="723" t="s">
        <v>1643</v>
      </c>
    </row>
    <row r="197" spans="2:5" x14ac:dyDescent="0.2">
      <c r="B197" s="723" t="s">
        <v>1570</v>
      </c>
      <c r="D197" s="723" t="s">
        <v>750</v>
      </c>
      <c r="E197" s="723" t="s">
        <v>1644</v>
      </c>
    </row>
    <row r="198" spans="2:5" x14ac:dyDescent="0.2">
      <c r="B198" s="723" t="s">
        <v>1571</v>
      </c>
      <c r="D198" s="723" t="s">
        <v>1844</v>
      </c>
      <c r="E198" s="723" t="s">
        <v>1645</v>
      </c>
    </row>
    <row r="199" spans="2:5" x14ac:dyDescent="0.2">
      <c r="B199" s="723" t="s">
        <v>1572</v>
      </c>
      <c r="D199" s="723" t="s">
        <v>1783</v>
      </c>
      <c r="E199" s="723" t="s">
        <v>1646</v>
      </c>
    </row>
    <row r="200" spans="2:5" x14ac:dyDescent="0.2">
      <c r="B200" s="723" t="s">
        <v>1573</v>
      </c>
      <c r="D200" s="723" t="s">
        <v>889</v>
      </c>
      <c r="E200" s="723" t="s">
        <v>1647</v>
      </c>
    </row>
    <row r="201" spans="2:5" x14ac:dyDescent="0.2">
      <c r="B201" s="723" t="s">
        <v>1574</v>
      </c>
      <c r="D201" s="723" t="s">
        <v>1840</v>
      </c>
      <c r="E201" s="723" t="s">
        <v>1648</v>
      </c>
    </row>
    <row r="202" spans="2:5" x14ac:dyDescent="0.2">
      <c r="B202" s="723" t="s">
        <v>1533</v>
      </c>
      <c r="D202" s="723" t="s">
        <v>1110</v>
      </c>
      <c r="E202" s="723" t="s">
        <v>1649</v>
      </c>
    </row>
    <row r="203" spans="2:5" x14ac:dyDescent="0.2">
      <c r="B203" s="723" t="s">
        <v>1575</v>
      </c>
      <c r="D203" s="723" t="s">
        <v>1784</v>
      </c>
      <c r="E203" s="723" t="s">
        <v>1164</v>
      </c>
    </row>
    <row r="204" spans="2:5" x14ac:dyDescent="0.2">
      <c r="B204" s="723" t="s">
        <v>1576</v>
      </c>
      <c r="D204" s="723" t="s">
        <v>1785</v>
      </c>
      <c r="E204" s="723" t="s">
        <v>1650</v>
      </c>
    </row>
    <row r="205" spans="2:5" x14ac:dyDescent="0.2">
      <c r="B205" s="723" t="s">
        <v>1535</v>
      </c>
      <c r="D205" s="723" t="s">
        <v>889</v>
      </c>
      <c r="E205" s="723" t="s">
        <v>1651</v>
      </c>
    </row>
    <row r="206" spans="2:5" x14ac:dyDescent="0.2">
      <c r="B206" s="723" t="s">
        <v>1542</v>
      </c>
      <c r="D206" s="723" t="s">
        <v>1766</v>
      </c>
      <c r="E206" s="723" t="s">
        <v>1652</v>
      </c>
    </row>
    <row r="207" spans="2:5" x14ac:dyDescent="0.2">
      <c r="B207" s="723" t="s">
        <v>1577</v>
      </c>
      <c r="D207" s="723" t="s">
        <v>750</v>
      </c>
      <c r="E207" s="723" t="s">
        <v>1653</v>
      </c>
    </row>
    <row r="208" spans="2:5" x14ac:dyDescent="0.2">
      <c r="B208" s="723" t="s">
        <v>1563</v>
      </c>
      <c r="E208" s="723" t="s">
        <v>1654</v>
      </c>
    </row>
    <row r="209" spans="2:10" x14ac:dyDescent="0.2">
      <c r="B209" s="723" t="s">
        <v>1578</v>
      </c>
      <c r="D209" s="723" t="s">
        <v>1111</v>
      </c>
      <c r="E209" s="723" t="s">
        <v>1655</v>
      </c>
    </row>
    <row r="210" spans="2:10" x14ac:dyDescent="0.2">
      <c r="B210" s="723" t="s">
        <v>1571</v>
      </c>
      <c r="D210" s="723" t="s">
        <v>759</v>
      </c>
      <c r="E210" s="723" t="s">
        <v>1656</v>
      </c>
    </row>
    <row r="211" spans="2:10" x14ac:dyDescent="0.2">
      <c r="B211" s="723" t="s">
        <v>1572</v>
      </c>
      <c r="D211" s="723" t="s">
        <v>1845</v>
      </c>
      <c r="E211" s="723" t="s">
        <v>1657</v>
      </c>
    </row>
    <row r="212" spans="2:10" x14ac:dyDescent="0.2">
      <c r="B212" s="723" t="s">
        <v>1573</v>
      </c>
      <c r="D212" s="723" t="s">
        <v>1786</v>
      </c>
      <c r="E212" s="723" t="s">
        <v>1658</v>
      </c>
    </row>
    <row r="213" spans="2:10" x14ac:dyDescent="0.2">
      <c r="B213" s="723" t="s">
        <v>749</v>
      </c>
      <c r="D213" s="723" t="s">
        <v>1787</v>
      </c>
      <c r="E213" s="723" t="s">
        <v>1659</v>
      </c>
    </row>
    <row r="214" spans="2:10" x14ac:dyDescent="0.2">
      <c r="B214" s="723" t="s">
        <v>1579</v>
      </c>
      <c r="D214" s="723" t="s">
        <v>1112</v>
      </c>
      <c r="E214" s="723" t="s">
        <v>1660</v>
      </c>
    </row>
    <row r="215" spans="2:10" x14ac:dyDescent="0.2">
      <c r="B215" s="723" t="s">
        <v>1580</v>
      </c>
      <c r="D215" s="723" t="s">
        <v>1788</v>
      </c>
      <c r="E215" s="723" t="s">
        <v>1661</v>
      </c>
    </row>
    <row r="216" spans="2:10" x14ac:dyDescent="0.2">
      <c r="B216" s="723" t="s">
        <v>1581</v>
      </c>
      <c r="D216" s="723" t="s">
        <v>1789</v>
      </c>
      <c r="E216" s="723" t="s">
        <v>1662</v>
      </c>
    </row>
    <row r="217" spans="2:10" x14ac:dyDescent="0.2">
      <c r="B217" s="723" t="s">
        <v>1582</v>
      </c>
      <c r="D217" s="723" t="s">
        <v>1790</v>
      </c>
      <c r="E217" s="723" t="s">
        <v>1663</v>
      </c>
    </row>
    <row r="218" spans="2:10" x14ac:dyDescent="0.2">
      <c r="B218" s="723" t="s">
        <v>749</v>
      </c>
      <c r="D218" s="723" t="s">
        <v>1791</v>
      </c>
      <c r="E218" s="723" t="s">
        <v>1664</v>
      </c>
    </row>
    <row r="219" spans="2:10" x14ac:dyDescent="0.2">
      <c r="B219" s="723" t="s">
        <v>1583</v>
      </c>
      <c r="D219" s="723" t="s">
        <v>1113</v>
      </c>
      <c r="E219" s="723" t="s">
        <v>1665</v>
      </c>
    </row>
    <row r="220" spans="2:10" x14ac:dyDescent="0.2">
      <c r="B220" s="723" t="s">
        <v>750</v>
      </c>
      <c r="D220" s="723" t="s">
        <v>1761</v>
      </c>
      <c r="E220" s="723" t="s">
        <v>1666</v>
      </c>
    </row>
    <row r="221" spans="2:10" x14ac:dyDescent="0.2">
      <c r="B221" s="723" t="s">
        <v>920</v>
      </c>
      <c r="D221" s="723" t="s">
        <v>1846</v>
      </c>
      <c r="E221" s="723" t="s">
        <v>1667</v>
      </c>
    </row>
    <row r="222" spans="2:10" x14ac:dyDescent="0.2">
      <c r="B222" s="723" t="s">
        <v>1584</v>
      </c>
      <c r="D222" s="723" t="s">
        <v>1792</v>
      </c>
      <c r="E222" s="723" t="s">
        <v>1668</v>
      </c>
    </row>
    <row r="223" spans="2:10" x14ac:dyDescent="0.2">
      <c r="B223" s="723" t="s">
        <v>1585</v>
      </c>
      <c r="D223" s="723" t="s">
        <v>1114</v>
      </c>
      <c r="E223" s="723" t="s">
        <v>1669</v>
      </c>
      <c r="J223" t="s">
        <v>1594</v>
      </c>
    </row>
    <row r="224" spans="2:10" x14ac:dyDescent="0.2">
      <c r="B224" s="723" t="s">
        <v>1586</v>
      </c>
      <c r="D224" s="723" t="s">
        <v>889</v>
      </c>
      <c r="E224" s="723" t="s">
        <v>1670</v>
      </c>
    </row>
    <row r="225" spans="2:5" x14ac:dyDescent="0.2">
      <c r="B225" s="723" t="s">
        <v>750</v>
      </c>
      <c r="D225" s="723" t="s">
        <v>750</v>
      </c>
      <c r="E225" s="723" t="s">
        <v>1671</v>
      </c>
    </row>
    <row r="226" spans="2:5" x14ac:dyDescent="0.2">
      <c r="E226" s="723" t="s">
        <v>1672</v>
      </c>
    </row>
    <row r="227" spans="2:5" x14ac:dyDescent="0.2">
      <c r="D227" s="723" t="s">
        <v>1115</v>
      </c>
      <c r="E227" s="723" t="s">
        <v>1673</v>
      </c>
    </row>
    <row r="228" spans="2:5" x14ac:dyDescent="0.2">
      <c r="D228" s="723" t="s">
        <v>759</v>
      </c>
      <c r="E228" s="723" t="s">
        <v>1164</v>
      </c>
    </row>
    <row r="229" spans="2:5" x14ac:dyDescent="0.2">
      <c r="D229" s="723" t="s">
        <v>1847</v>
      </c>
      <c r="E229" s="723" t="s">
        <v>1674</v>
      </c>
    </row>
    <row r="230" spans="2:5" x14ac:dyDescent="0.2">
      <c r="D230" s="723" t="s">
        <v>1116</v>
      </c>
      <c r="E230" s="723" t="s">
        <v>1675</v>
      </c>
    </row>
    <row r="231" spans="2:5" x14ac:dyDescent="0.2">
      <c r="D231" s="723" t="s">
        <v>1117</v>
      </c>
      <c r="E231" s="723" t="s">
        <v>1676</v>
      </c>
    </row>
    <row r="232" spans="2:5" x14ac:dyDescent="0.2">
      <c r="D232" s="723" t="s">
        <v>879</v>
      </c>
      <c r="E232" s="723" t="s">
        <v>1677</v>
      </c>
    </row>
    <row r="233" spans="2:5" x14ac:dyDescent="0.2">
      <c r="D233" s="723" t="s">
        <v>1118</v>
      </c>
      <c r="E233" s="723" t="s">
        <v>1678</v>
      </c>
    </row>
    <row r="234" spans="2:5" x14ac:dyDescent="0.2">
      <c r="D234" s="723" t="s">
        <v>1119</v>
      </c>
      <c r="E234" s="723" t="s">
        <v>1679</v>
      </c>
    </row>
    <row r="235" spans="2:5" x14ac:dyDescent="0.2">
      <c r="D235" s="723" t="s">
        <v>1848</v>
      </c>
      <c r="E235" s="723" t="s">
        <v>1680</v>
      </c>
    </row>
    <row r="236" spans="2:5" x14ac:dyDescent="0.2">
      <c r="D236" s="723" t="s">
        <v>1120</v>
      </c>
      <c r="E236" s="723" t="s">
        <v>1681</v>
      </c>
    </row>
    <row r="237" spans="2:5" x14ac:dyDescent="0.2">
      <c r="D237" s="723" t="s">
        <v>1121</v>
      </c>
      <c r="E237" s="723" t="s">
        <v>1682</v>
      </c>
    </row>
    <row r="238" spans="2:5" x14ac:dyDescent="0.2">
      <c r="D238" s="723" t="s">
        <v>1122</v>
      </c>
      <c r="E238" s="723" t="s">
        <v>1683</v>
      </c>
    </row>
    <row r="239" spans="2:5" x14ac:dyDescent="0.2">
      <c r="D239" s="723" t="s">
        <v>1123</v>
      </c>
      <c r="E239" s="723" t="s">
        <v>1684</v>
      </c>
    </row>
    <row r="240" spans="2:5" x14ac:dyDescent="0.2">
      <c r="D240" s="723" t="s">
        <v>1124</v>
      </c>
      <c r="E240" s="723" t="s">
        <v>1685</v>
      </c>
    </row>
    <row r="241" spans="4:5" x14ac:dyDescent="0.2">
      <c r="D241" s="723" t="s">
        <v>892</v>
      </c>
      <c r="E241" s="723" t="s">
        <v>1686</v>
      </c>
    </row>
    <row r="242" spans="4:5" x14ac:dyDescent="0.2">
      <c r="D242" s="723" t="s">
        <v>1125</v>
      </c>
      <c r="E242" s="723" t="s">
        <v>1146</v>
      </c>
    </row>
    <row r="243" spans="4:5" x14ac:dyDescent="0.2">
      <c r="D243" s="723" t="s">
        <v>1126</v>
      </c>
      <c r="E243" s="723" t="s">
        <v>1687</v>
      </c>
    </row>
    <row r="244" spans="4:5" x14ac:dyDescent="0.2">
      <c r="D244" s="723" t="s">
        <v>1849</v>
      </c>
      <c r="E244" s="723" t="s">
        <v>1688</v>
      </c>
    </row>
    <row r="245" spans="4:5" x14ac:dyDescent="0.2">
      <c r="D245" s="723" t="s">
        <v>1850</v>
      </c>
      <c r="E245" s="723" t="s">
        <v>1689</v>
      </c>
    </row>
    <row r="246" spans="4:5" x14ac:dyDescent="0.2">
      <c r="D246" s="723" t="s">
        <v>1127</v>
      </c>
      <c r="E246" s="723" t="s">
        <v>1690</v>
      </c>
    </row>
    <row r="247" spans="4:5" x14ac:dyDescent="0.2">
      <c r="D247" s="723" t="s">
        <v>1128</v>
      </c>
      <c r="E247" s="723" t="s">
        <v>1686</v>
      </c>
    </row>
    <row r="248" spans="4:5" x14ac:dyDescent="0.2">
      <c r="D248" s="723" t="s">
        <v>1122</v>
      </c>
      <c r="E248" s="723" t="s">
        <v>1146</v>
      </c>
    </row>
    <row r="249" spans="4:5" x14ac:dyDescent="0.2">
      <c r="D249" s="723" t="s">
        <v>1129</v>
      </c>
      <c r="E249" s="723" t="s">
        <v>1687</v>
      </c>
    </row>
    <row r="250" spans="4:5" x14ac:dyDescent="0.2">
      <c r="D250" s="723" t="s">
        <v>1124</v>
      </c>
      <c r="E250" s="723" t="s">
        <v>1691</v>
      </c>
    </row>
    <row r="251" spans="4:5" x14ac:dyDescent="0.2">
      <c r="D251" s="723" t="s">
        <v>892</v>
      </c>
      <c r="E251" s="723" t="s">
        <v>1692</v>
      </c>
    </row>
    <row r="252" spans="4:5" x14ac:dyDescent="0.2">
      <c r="D252" s="723" t="s">
        <v>889</v>
      </c>
      <c r="E252" s="723" t="s">
        <v>1148</v>
      </c>
    </row>
    <row r="253" spans="4:5" x14ac:dyDescent="0.2">
      <c r="D253" s="723" t="s">
        <v>1851</v>
      </c>
      <c r="E253" s="723" t="s">
        <v>1693</v>
      </c>
    </row>
    <row r="254" spans="4:5" x14ac:dyDescent="0.2">
      <c r="D254" s="723" t="s">
        <v>1793</v>
      </c>
      <c r="E254" s="723" t="s">
        <v>1694</v>
      </c>
    </row>
    <row r="255" spans="4:5" x14ac:dyDescent="0.2">
      <c r="D255" s="723" t="s">
        <v>1794</v>
      </c>
      <c r="E255" s="723" t="s">
        <v>1684</v>
      </c>
    </row>
    <row r="256" spans="4:5" x14ac:dyDescent="0.2">
      <c r="D256" s="723" t="s">
        <v>1122</v>
      </c>
      <c r="E256" s="723" t="s">
        <v>1695</v>
      </c>
    </row>
    <row r="257" spans="4:12" x14ac:dyDescent="0.2">
      <c r="D257" s="723" t="s">
        <v>1795</v>
      </c>
      <c r="E257" s="723" t="s">
        <v>1696</v>
      </c>
    </row>
    <row r="258" spans="4:12" x14ac:dyDescent="0.2">
      <c r="D258" s="723" t="s">
        <v>891</v>
      </c>
      <c r="E258" s="723" t="s">
        <v>1146</v>
      </c>
    </row>
    <row r="259" spans="4:12" x14ac:dyDescent="0.2">
      <c r="D259" s="723" t="s">
        <v>1852</v>
      </c>
      <c r="E259" s="723" t="s">
        <v>1697</v>
      </c>
    </row>
    <row r="260" spans="4:12" x14ac:dyDescent="0.2">
      <c r="D260" s="723" t="s">
        <v>1796</v>
      </c>
      <c r="E260" s="723" t="s">
        <v>1698</v>
      </c>
    </row>
    <row r="261" spans="4:12" x14ac:dyDescent="0.2">
      <c r="D261" s="723" t="s">
        <v>891</v>
      </c>
      <c r="E261" s="723" t="s">
        <v>1699</v>
      </c>
    </row>
    <row r="262" spans="4:12" x14ac:dyDescent="0.2">
      <c r="D262" s="723" t="s">
        <v>1170</v>
      </c>
      <c r="E262" s="723" t="s">
        <v>1700</v>
      </c>
    </row>
    <row r="263" spans="4:12" x14ac:dyDescent="0.2">
      <c r="D263" s="723" t="s">
        <v>1797</v>
      </c>
      <c r="E263" s="723" t="s">
        <v>1701</v>
      </c>
    </row>
    <row r="264" spans="4:12" x14ac:dyDescent="0.2">
      <c r="D264" s="723" t="s">
        <v>891</v>
      </c>
      <c r="E264" s="723" t="s">
        <v>1702</v>
      </c>
    </row>
    <row r="265" spans="4:12" x14ac:dyDescent="0.2">
      <c r="D265" s="723" t="s">
        <v>892</v>
      </c>
      <c r="E265" s="723" t="s">
        <v>1703</v>
      </c>
    </row>
    <row r="266" spans="4:12" x14ac:dyDescent="0.2">
      <c r="D266" s="723" t="s">
        <v>918</v>
      </c>
      <c r="E266" s="723" t="s">
        <v>1704</v>
      </c>
    </row>
    <row r="267" spans="4:12" x14ac:dyDescent="0.2">
      <c r="D267" s="723" t="s">
        <v>1798</v>
      </c>
      <c r="E267" s="723" t="s">
        <v>1146</v>
      </c>
    </row>
    <row r="268" spans="4:12" x14ac:dyDescent="0.2">
      <c r="D268" s="723" t="s">
        <v>1793</v>
      </c>
      <c r="E268" s="723" t="s">
        <v>1157</v>
      </c>
      <c r="K268" t="s">
        <v>1595</v>
      </c>
    </row>
    <row r="269" spans="4:12" x14ac:dyDescent="0.2">
      <c r="D269" s="723" t="s">
        <v>1799</v>
      </c>
      <c r="E269" s="723" t="s">
        <v>1705</v>
      </c>
      <c r="L269" t="s">
        <v>1596</v>
      </c>
    </row>
    <row r="270" spans="4:12" x14ac:dyDescent="0.2">
      <c r="D270" s="723" t="s">
        <v>1800</v>
      </c>
      <c r="E270" s="723" t="s">
        <v>1706</v>
      </c>
      <c r="K270" t="s">
        <v>750</v>
      </c>
    </row>
    <row r="271" spans="4:12" x14ac:dyDescent="0.2">
      <c r="D271" s="723" t="s">
        <v>892</v>
      </c>
      <c r="E271" s="723" t="s">
        <v>1146</v>
      </c>
      <c r="K271" t="s">
        <v>920</v>
      </c>
    </row>
    <row r="272" spans="4:12" x14ac:dyDescent="0.2">
      <c r="D272" s="723" t="s">
        <v>889</v>
      </c>
      <c r="E272" s="723" t="s">
        <v>1707</v>
      </c>
      <c r="L272" t="s">
        <v>1597</v>
      </c>
    </row>
    <row r="273" spans="4:11" x14ac:dyDescent="0.2">
      <c r="D273" s="723" t="s">
        <v>750</v>
      </c>
      <c r="E273" s="723" t="s">
        <v>1708</v>
      </c>
      <c r="F273" s="723" t="s">
        <v>1455</v>
      </c>
    </row>
    <row r="274" spans="4:11" x14ac:dyDescent="0.2">
      <c r="E274" s="723" t="s">
        <v>1709</v>
      </c>
      <c r="K274" t="s">
        <v>750</v>
      </c>
    </row>
    <row r="275" spans="4:11" x14ac:dyDescent="0.2">
      <c r="D275" s="723" t="s">
        <v>1130</v>
      </c>
      <c r="E275" s="723" t="s">
        <v>1710</v>
      </c>
    </row>
    <row r="276" spans="4:11" x14ac:dyDescent="0.2">
      <c r="D276" s="723" t="s">
        <v>1841</v>
      </c>
      <c r="E276" s="723" t="s">
        <v>1711</v>
      </c>
    </row>
    <row r="277" spans="4:11" x14ac:dyDescent="0.2">
      <c r="D277" s="723" t="s">
        <v>1131</v>
      </c>
      <c r="E277" s="723" t="s">
        <v>1712</v>
      </c>
    </row>
    <row r="278" spans="4:11" x14ac:dyDescent="0.2">
      <c r="D278" s="723" t="s">
        <v>1801</v>
      </c>
      <c r="E278" s="723" t="s">
        <v>1164</v>
      </c>
    </row>
    <row r="279" spans="4:11" x14ac:dyDescent="0.2">
      <c r="D279" s="723" t="s">
        <v>1853</v>
      </c>
      <c r="E279" s="723" t="s">
        <v>891</v>
      </c>
    </row>
    <row r="280" spans="4:11" x14ac:dyDescent="0.2">
      <c r="D280" s="723" t="s">
        <v>1132</v>
      </c>
      <c r="E280" s="723" t="s">
        <v>892</v>
      </c>
    </row>
    <row r="281" spans="4:11" x14ac:dyDescent="0.2">
      <c r="D281" s="723" t="s">
        <v>1133</v>
      </c>
      <c r="E281" s="723" t="s">
        <v>1713</v>
      </c>
    </row>
    <row r="282" spans="4:11" x14ac:dyDescent="0.2">
      <c r="D282" s="723" t="s">
        <v>1134</v>
      </c>
      <c r="E282" s="723" t="s">
        <v>1714</v>
      </c>
    </row>
    <row r="283" spans="4:11" x14ac:dyDescent="0.2">
      <c r="D283" s="723" t="s">
        <v>1135</v>
      </c>
      <c r="E283" s="723" t="s">
        <v>1715</v>
      </c>
    </row>
    <row r="284" spans="4:11" x14ac:dyDescent="0.2">
      <c r="D284" s="723" t="s">
        <v>1136</v>
      </c>
      <c r="E284" s="723" t="s">
        <v>1716</v>
      </c>
    </row>
    <row r="285" spans="4:11" x14ac:dyDescent="0.2">
      <c r="D285" s="723" t="s">
        <v>1137</v>
      </c>
      <c r="E285" s="723" t="s">
        <v>892</v>
      </c>
    </row>
    <row r="286" spans="4:11" x14ac:dyDescent="0.2">
      <c r="D286" s="723" t="s">
        <v>1138</v>
      </c>
      <c r="E286" s="723" t="s">
        <v>1717</v>
      </c>
    </row>
    <row r="287" spans="4:11" x14ac:dyDescent="0.2">
      <c r="D287" s="723" t="s">
        <v>1139</v>
      </c>
      <c r="E287" s="723" t="s">
        <v>1714</v>
      </c>
    </row>
    <row r="288" spans="4:11" x14ac:dyDescent="0.2">
      <c r="D288" s="723" t="s">
        <v>1140</v>
      </c>
      <c r="E288" s="723" t="s">
        <v>1718</v>
      </c>
    </row>
    <row r="289" spans="4:5" x14ac:dyDescent="0.2">
      <c r="D289" s="723" t="s">
        <v>1141</v>
      </c>
      <c r="E289" s="723" t="s">
        <v>1719</v>
      </c>
    </row>
    <row r="290" spans="4:5" x14ac:dyDescent="0.2">
      <c r="D290" s="723" t="s">
        <v>1142</v>
      </c>
      <c r="E290" s="723" t="s">
        <v>1172</v>
      </c>
    </row>
    <row r="291" spans="4:5" x14ac:dyDescent="0.2">
      <c r="D291" s="723" t="s">
        <v>1143</v>
      </c>
      <c r="E291" s="723" t="s">
        <v>1720</v>
      </c>
    </row>
    <row r="292" spans="4:5" x14ac:dyDescent="0.2">
      <c r="D292" s="723" t="s">
        <v>1144</v>
      </c>
      <c r="E292" s="723" t="s">
        <v>892</v>
      </c>
    </row>
    <row r="293" spans="4:5" x14ac:dyDescent="0.2">
      <c r="D293" s="723" t="s">
        <v>1145</v>
      </c>
      <c r="E293" s="723" t="s">
        <v>889</v>
      </c>
    </row>
    <row r="294" spans="4:5" x14ac:dyDescent="0.2">
      <c r="D294" s="723" t="s">
        <v>1802</v>
      </c>
      <c r="E294" s="723" t="s">
        <v>918</v>
      </c>
    </row>
    <row r="295" spans="4:5" x14ac:dyDescent="0.2">
      <c r="D295" s="723" t="s">
        <v>1146</v>
      </c>
      <c r="E295" s="723" t="s">
        <v>1724</v>
      </c>
    </row>
    <row r="296" spans="4:5" x14ac:dyDescent="0.2">
      <c r="D296" s="723" t="s">
        <v>1147</v>
      </c>
      <c r="E296" s="723" t="s">
        <v>893</v>
      </c>
    </row>
    <row r="297" spans="4:5" x14ac:dyDescent="0.2">
      <c r="D297" s="723" t="s">
        <v>1803</v>
      </c>
      <c r="E297" s="723" t="s">
        <v>919</v>
      </c>
    </row>
    <row r="298" spans="4:5" x14ac:dyDescent="0.2">
      <c r="D298" s="723" t="s">
        <v>1148</v>
      </c>
      <c r="E298" s="723" t="s">
        <v>889</v>
      </c>
    </row>
    <row r="299" spans="4:5" x14ac:dyDescent="0.2">
      <c r="D299" s="723" t="s">
        <v>1149</v>
      </c>
      <c r="E299" s="723" t="s">
        <v>750</v>
      </c>
    </row>
    <row r="300" spans="4:5" x14ac:dyDescent="0.2">
      <c r="D300" s="723" t="s">
        <v>1150</v>
      </c>
      <c r="E300" s="723" t="s">
        <v>920</v>
      </c>
    </row>
    <row r="301" spans="4:5" x14ac:dyDescent="0.2">
      <c r="D301" s="723" t="s">
        <v>1151</v>
      </c>
      <c r="E301" s="723" t="s">
        <v>1721</v>
      </c>
    </row>
    <row r="302" spans="4:5" x14ac:dyDescent="0.2">
      <c r="D302" s="723" t="s">
        <v>1152</v>
      </c>
      <c r="E302" s="723" t="s">
        <v>921</v>
      </c>
    </row>
    <row r="303" spans="4:5" x14ac:dyDescent="0.2">
      <c r="D303" s="723" t="s">
        <v>1153</v>
      </c>
      <c r="E303" s="723" t="s">
        <v>894</v>
      </c>
    </row>
    <row r="304" spans="4:5" x14ac:dyDescent="0.2">
      <c r="D304" s="723" t="s">
        <v>1854</v>
      </c>
      <c r="E304" s="723" t="s">
        <v>922</v>
      </c>
    </row>
    <row r="305" spans="4:5" x14ac:dyDescent="0.2">
      <c r="D305" s="723" t="s">
        <v>1154</v>
      </c>
      <c r="E305" s="723" t="s">
        <v>750</v>
      </c>
    </row>
    <row r="306" spans="4:5" x14ac:dyDescent="0.2">
      <c r="D306" s="723" t="s">
        <v>1855</v>
      </c>
      <c r="E306" s="723" t="s">
        <v>783</v>
      </c>
    </row>
    <row r="307" spans="4:5" x14ac:dyDescent="0.2">
      <c r="D307" s="723" t="s">
        <v>1146</v>
      </c>
    </row>
    <row r="308" spans="4:5" x14ac:dyDescent="0.2">
      <c r="D308" s="723" t="s">
        <v>1147</v>
      </c>
    </row>
    <row r="309" spans="4:5" x14ac:dyDescent="0.2">
      <c r="D309" s="723" t="s">
        <v>1155</v>
      </c>
    </row>
    <row r="310" spans="4:5" x14ac:dyDescent="0.2">
      <c r="D310" s="723" t="s">
        <v>1856</v>
      </c>
    </row>
    <row r="311" spans="4:5" x14ac:dyDescent="0.2">
      <c r="D311" s="723" t="s">
        <v>1156</v>
      </c>
    </row>
    <row r="312" spans="4:5" x14ac:dyDescent="0.2">
      <c r="D312" s="723" t="s">
        <v>1157</v>
      </c>
    </row>
    <row r="313" spans="4:5" x14ac:dyDescent="0.2">
      <c r="D313" s="723" t="s">
        <v>1158</v>
      </c>
    </row>
    <row r="314" spans="4:5" x14ac:dyDescent="0.2">
      <c r="D314" s="723" t="s">
        <v>1146</v>
      </c>
    </row>
    <row r="315" spans="4:5" x14ac:dyDescent="0.2">
      <c r="D315" s="723" t="s">
        <v>1148</v>
      </c>
    </row>
    <row r="316" spans="4:5" x14ac:dyDescent="0.2">
      <c r="D316" s="723" t="s">
        <v>1159</v>
      </c>
    </row>
    <row r="317" spans="4:5" x14ac:dyDescent="0.2">
      <c r="D317" s="723" t="s">
        <v>1160</v>
      </c>
    </row>
    <row r="318" spans="4:5" x14ac:dyDescent="0.2">
      <c r="D318" s="723" t="s">
        <v>1161</v>
      </c>
    </row>
    <row r="319" spans="4:5" x14ac:dyDescent="0.2">
      <c r="D319" s="723" t="s">
        <v>1162</v>
      </c>
    </row>
    <row r="320" spans="4:5" x14ac:dyDescent="0.2">
      <c r="D320" s="723" t="s">
        <v>1163</v>
      </c>
    </row>
    <row r="321" spans="4:4" x14ac:dyDescent="0.2">
      <c r="D321" s="723" t="s">
        <v>1164</v>
      </c>
    </row>
    <row r="322" spans="4:4" x14ac:dyDescent="0.2">
      <c r="D322" s="723" t="s">
        <v>891</v>
      </c>
    </row>
    <row r="323" spans="4:4" x14ac:dyDescent="0.2">
      <c r="D323" s="723" t="s">
        <v>1165</v>
      </c>
    </row>
    <row r="324" spans="4:4" x14ac:dyDescent="0.2">
      <c r="D324" s="723" t="s">
        <v>1166</v>
      </c>
    </row>
    <row r="325" spans="4:4" x14ac:dyDescent="0.2">
      <c r="D325" s="723" t="s">
        <v>1167</v>
      </c>
    </row>
    <row r="326" spans="4:4" x14ac:dyDescent="0.2">
      <c r="D326" s="723" t="s">
        <v>1168</v>
      </c>
    </row>
    <row r="327" spans="4:4" x14ac:dyDescent="0.2">
      <c r="D327" s="723" t="s">
        <v>1169</v>
      </c>
    </row>
    <row r="328" spans="4:4" x14ac:dyDescent="0.2">
      <c r="D328" s="723" t="s">
        <v>892</v>
      </c>
    </row>
    <row r="329" spans="4:4" x14ac:dyDescent="0.2">
      <c r="D329" s="723" t="s">
        <v>1170</v>
      </c>
    </row>
    <row r="330" spans="4:4" x14ac:dyDescent="0.2">
      <c r="D330" s="723" t="s">
        <v>1171</v>
      </c>
    </row>
    <row r="331" spans="4:4" x14ac:dyDescent="0.2">
      <c r="D331" s="723" t="s">
        <v>1172</v>
      </c>
    </row>
    <row r="332" spans="4:4" x14ac:dyDescent="0.2">
      <c r="D332" s="723" t="s">
        <v>1173</v>
      </c>
    </row>
    <row r="333" spans="4:4" x14ac:dyDescent="0.2">
      <c r="D333" s="723" t="s">
        <v>892</v>
      </c>
    </row>
    <row r="334" spans="4:4" x14ac:dyDescent="0.2">
      <c r="D334" s="723" t="s">
        <v>889</v>
      </c>
    </row>
    <row r="335" spans="4:4" x14ac:dyDescent="0.2">
      <c r="D335" s="723" t="s">
        <v>918</v>
      </c>
    </row>
    <row r="336" spans="4:4" x14ac:dyDescent="0.2">
      <c r="D336" s="723" t="s">
        <v>1174</v>
      </c>
    </row>
    <row r="337" spans="4:4" x14ac:dyDescent="0.2">
      <c r="D337" s="723" t="s">
        <v>1175</v>
      </c>
    </row>
    <row r="338" spans="4:4" x14ac:dyDescent="0.2">
      <c r="D338" s="723" t="s">
        <v>893</v>
      </c>
    </row>
    <row r="339" spans="4:4" x14ac:dyDescent="0.2">
      <c r="D339" s="723" t="s">
        <v>1176</v>
      </c>
    </row>
    <row r="340" spans="4:4" x14ac:dyDescent="0.2">
      <c r="D340" s="723" t="s">
        <v>889</v>
      </c>
    </row>
    <row r="341" spans="4:4" x14ac:dyDescent="0.2">
      <c r="D341" s="723" t="s">
        <v>894</v>
      </c>
    </row>
    <row r="342" spans="4:4" x14ac:dyDescent="0.2">
      <c r="D342" s="723" t="s">
        <v>750</v>
      </c>
    </row>
    <row r="343" spans="4:4" x14ac:dyDescent="0.2">
      <c r="D343" s="723" t="s">
        <v>1177</v>
      </c>
    </row>
    <row r="344" spans="4:4" x14ac:dyDescent="0.2">
      <c r="D344" s="723" t="s">
        <v>1178</v>
      </c>
    </row>
    <row r="345" spans="4:4" x14ac:dyDescent="0.2">
      <c r="D345" s="723" t="s">
        <v>1179</v>
      </c>
    </row>
    <row r="346" spans="4:4" x14ac:dyDescent="0.2">
      <c r="D346" s="723" t="s">
        <v>894</v>
      </c>
    </row>
    <row r="347" spans="4:4" x14ac:dyDescent="0.2">
      <c r="D347" s="723" t="s">
        <v>1180</v>
      </c>
    </row>
    <row r="348" spans="4:4" x14ac:dyDescent="0.2">
      <c r="D348" s="723" t="s">
        <v>750</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5ABC76A2C925D40A56AFA811ABEB9F1" ma:contentTypeVersion="1" ma:contentTypeDescription="Create a new document." ma:contentTypeScope="" ma:versionID="8564bac56fa3b4c5a9f5233506db3576">
  <xsd:schema xmlns:xsd="http://www.w3.org/2001/XMLSchema" xmlns:xs="http://www.w3.org/2001/XMLSchema" xmlns:p="http://schemas.microsoft.com/office/2006/metadata/properties" xmlns:ns3="255c950a-1442-47b1-ab30-b86c4982616c" targetNamespace="http://schemas.microsoft.com/office/2006/metadata/properties" ma:root="true" ma:fieldsID="fafb50afd87d606c8dffcc3408e255a9" ns3:_="">
    <xsd:import namespace="255c950a-1442-47b1-ab30-b86c4982616c"/>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c950a-1442-47b1-ab30-b86c4982616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4.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F039E5E0-3237-49EA-8500-25C8440A6828}">
  <ds:schemaRefs>
    <ds:schemaRef ds:uri="http://schemas.microsoft.com/sharepoint/v3/contenttype/forms"/>
  </ds:schemaRefs>
</ds:datastoreItem>
</file>

<file path=customXml/itemProps2.xml><?xml version="1.0" encoding="utf-8"?>
<ds:datastoreItem xmlns:ds="http://schemas.openxmlformats.org/officeDocument/2006/customXml" ds:itemID="{2FC6D7F7-F718-4139-8D67-401B9B6317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5c950a-1442-47b1-ab30-b86c498261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4.xml><?xml version="1.0" encoding="utf-8"?>
<ds:datastoreItem xmlns:ds="http://schemas.openxmlformats.org/officeDocument/2006/customXml" ds:itemID="{B74287E1-BC6F-4C0F-8FA6-B47A88EE3AF2}">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255c950a-1442-47b1-ab30-b86c4982616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911</vt:i4>
      </vt:variant>
    </vt:vector>
  </HeadingPairs>
  <TitlesOfParts>
    <vt:vector size="928"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ActiveCacheTargetDC1</vt:lpstr>
      <vt:lpstr>AdditionalIO</vt:lpstr>
      <vt:lpstr>aggRWRatio</vt:lpstr>
      <vt:lpstr>AutoReseedVolumes</vt:lpstr>
      <vt:lpstr>AvailNetCapacity</vt:lpstr>
      <vt:lpstr>BackupFailureTol</vt:lpstr>
      <vt:lpstr>BackupFreq</vt:lpstr>
      <vt:lpstr>BackupMethod</vt:lpstr>
      <vt:lpstr>BaseTotIOPS</vt:lpstr>
      <vt:lpstr>CachePages</vt:lpstr>
      <vt:lpstr>CachePagesDC2</vt:lpstr>
      <vt:lpstr>calcActMBXFFAP</vt:lpstr>
      <vt:lpstr>calcActMBXNRAP</vt:lpstr>
      <vt:lpstr>calcActMBXSFAP</vt:lpstr>
      <vt:lpstr>calcAvDBCache</vt:lpstr>
      <vt:lpstr>calcAvSvrMCycles</vt:lpstr>
      <vt:lpstr>calcAvSvrMCyclesLCS</vt:lpstr>
      <vt:lpstr>calcAvSvrMCyclesSDC</vt:lpstr>
      <vt:lpstr>calcCASCPUPDC</vt:lpstr>
      <vt:lpstr>calcCASCPUSDC</vt:lpstr>
      <vt:lpstr>calcCASMemReq</vt:lpstr>
      <vt:lpstr>calcCASMemReqSDC</vt:lpstr>
      <vt:lpstr>calcCIMemReq</vt:lpstr>
      <vt:lpstr>calcCIMemReqSDC</vt:lpstr>
      <vt:lpstr>calcCPUUtilLCS</vt:lpstr>
      <vt:lpstr>calcCPUUtilPDC</vt:lpstr>
      <vt:lpstr>calcCPUUtilSDC</vt:lpstr>
      <vt:lpstr>calcCustomDiskCountCheck</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calcMaxNumDBDAG</vt:lpstr>
      <vt:lpstr>calcMaxNumDBs</vt:lpstr>
      <vt:lpstr>calcMBXPerDB</vt:lpstr>
      <vt:lpstr>calcMBXSDCRAM</vt:lpstr>
      <vt:lpstr>calcMBXServerACPU</vt:lpstr>
      <vt:lpstr>calcMBXServerACPUSDC</vt:lpstr>
      <vt:lpstr>calcMBXServerPCPU</vt:lpstr>
      <vt:lpstr>calcMBXServerPCPUSDC</vt:lpstr>
      <vt:lpstr>calcMessagesPerDay</vt:lpstr>
      <vt:lpstr>calcMinCASCountPDC</vt:lpstr>
      <vt:lpstr>calcMinCASCountSDC</vt:lpstr>
      <vt:lpstr>calcMultipleDBVolume</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calcNumDBCopyInSDC</vt:lpstr>
      <vt:lpstr>calcNumDBMemSizing</vt:lpstr>
      <vt:lpstr>calcNumDBMemSizingSDC</vt:lpstr>
      <vt:lpstr>calcNumDBs</vt:lpstr>
      <vt:lpstr>CalcNumDBUserTLogs</vt:lpstr>
      <vt:lpstr>calcNumHAPassCopiesDC1inDC2</vt:lpstr>
      <vt:lpstr>calcNumHAPassCopiesDC2inDC1</vt:lpstr>
      <vt:lpstr>calcNumLagCopyInPDC</vt:lpstr>
      <vt:lpstr>calcNumLagCopyInSDC</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calcRemainingServers</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calcSRAASDDRServers</vt:lpstr>
      <vt:lpstr>calcTier1DBReads</vt:lpstr>
      <vt:lpstr>calcTier1DBWrites</vt:lpstr>
      <vt:lpstr>calcTier1DesktopSearchIO</vt:lpstr>
      <vt:lpstr>calcTier1InitialMBXSize</vt:lpstr>
      <vt:lpstr>calcTier1IOFactor</vt:lpstr>
      <vt:lpstr>calcTier1MBX</vt:lpstr>
      <vt:lpstr>calcTier1MCFactor</vt:lpstr>
      <vt:lpstr>calcTier1MonthlyData</vt:lpstr>
      <vt:lpstr>calcTier1PredictCapMonths</vt:lpstr>
      <vt:lpstr>calcTier1PredictCapYears</vt:lpstr>
      <vt:lpstr>calcTier1RWRatio</vt:lpstr>
      <vt:lpstr>calcTier1WeeklyData</vt:lpstr>
      <vt:lpstr>calcTier1YearlyData</vt:lpstr>
      <vt:lpstr>calcTier2DBReads</vt:lpstr>
      <vt:lpstr>calcTier2DBWrites</vt:lpstr>
      <vt:lpstr>calcTier2DesktopSearchIO</vt:lpstr>
      <vt:lpstr>calcTier2InitialMBXSize</vt:lpstr>
      <vt:lpstr>calcTier2IOFactor</vt:lpstr>
      <vt:lpstr>calcTier2MBX</vt:lpstr>
      <vt:lpstr>calcTier2MCFactor</vt:lpstr>
      <vt:lpstr>calcTier2MonthlyData</vt:lpstr>
      <vt:lpstr>calcTier2PredictCapMonths</vt:lpstr>
      <vt:lpstr>calcTier2PredictCapYears</vt:lpstr>
      <vt:lpstr>calcTier2RWRatio</vt:lpstr>
      <vt:lpstr>calcTier2WeeklyData</vt:lpstr>
      <vt:lpstr>calcTier2YearlyData</vt:lpstr>
      <vt:lpstr>calcTier3DBReads</vt:lpstr>
      <vt:lpstr>calcTier3DBWrites</vt:lpstr>
      <vt:lpstr>calcTier3DesktopSearchIO</vt:lpstr>
      <vt:lpstr>calcTier3InitialMBXSize</vt:lpstr>
      <vt:lpstr>calcTier3IOFactor</vt:lpstr>
      <vt:lpstr>calcTier3MBX</vt:lpstr>
      <vt:lpstr>calcTier3MCFactor</vt:lpstr>
      <vt:lpstr>calcTier3MonthlyData</vt:lpstr>
      <vt:lpstr>calcTier3PredictCapMonths</vt:lpstr>
      <vt:lpstr>calcTier3PredictCapYears</vt:lpstr>
      <vt:lpstr>calcTier3RWRatio</vt:lpstr>
      <vt:lpstr>calcTier3WeeklyData</vt:lpstr>
      <vt:lpstr>calcTier3YearlyData</vt:lpstr>
      <vt:lpstr>calcTier4DBReads</vt:lpstr>
      <vt:lpstr>calcTier4DBWrites</vt:lpstr>
      <vt:lpstr>calcTier4DesktopSearchIO</vt:lpstr>
      <vt:lpstr>calcTier4InitialMBXSize</vt:lpstr>
      <vt:lpstr>calcTier4IOFactor</vt:lpstr>
      <vt:lpstr>calcTier4MBX</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calcTotNumLagCopies</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CIFactor</vt:lpstr>
      <vt:lpstr>ColorFirst</vt:lpstr>
      <vt:lpstr>ColorLast</vt:lpstr>
      <vt:lpstr>ConfigPDCTotDisks</vt:lpstr>
      <vt:lpstr>ConfigSDCTotDisks</vt:lpstr>
      <vt:lpstr>ContentIndexing</vt:lpstr>
      <vt:lpstr>CpuUtilizationDC1</vt:lpstr>
      <vt:lpstr>CpuUtilizationDC2</vt:lpstr>
      <vt:lpstr>CustomMaxDBSize</vt:lpstr>
      <vt:lpstr>CustomNumDBs</vt:lpstr>
      <vt:lpstr>DAG1BaseName</vt:lpstr>
      <vt:lpstr>DAG2BaseName</vt:lpstr>
      <vt:lpstr>DAGLogBandwidth</vt:lpstr>
      <vt:lpstr>DAGMemberValCheck</vt:lpstr>
      <vt:lpstr>DAGQuroumStatus</vt:lpstr>
      <vt:lpstr>DataGrowth</vt:lpstr>
      <vt:lpstr>DBCopyValCheck</vt:lpstr>
      <vt:lpstr>DBCountValCheck</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DBVolDiskSpaceReplicaSS</vt:lpstr>
      <vt:lpstr>DBVolSize</vt:lpstr>
      <vt:lpstr>DedLaggedCopyServer</vt:lpstr>
      <vt:lpstr>DesiredStorageArch</vt:lpstr>
      <vt:lpstr>DesResVolRAID</vt:lpstr>
      <vt:lpstr>DiskLimitOverride</vt:lpstr>
      <vt:lpstr>EnvPeakIOPS</vt:lpstr>
      <vt:lpstr>ExVersion</vt:lpstr>
      <vt:lpstr>FailureDomainCheck</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IOGrowth</vt:lpstr>
      <vt:lpstr>JBODCapAchDisk1</vt:lpstr>
      <vt:lpstr>JBODCapAchDisk2</vt:lpstr>
      <vt:lpstr>JBODCapAchDisk3</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JBODRLIOCheckPDC</vt:lpstr>
      <vt:lpstr>JBODRLIOCheckSDC</vt:lpstr>
      <vt:lpstr>LaggedCopySvrPrefStorageArch</vt:lpstr>
      <vt:lpstr>LagSvrRAM</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LogIOPSReplicaSS</vt:lpstr>
      <vt:lpstr>LogR10IOPS</vt:lpstr>
      <vt:lpstr>LogRawDiskCap1</vt:lpstr>
      <vt:lpstr>LogRawDiskCap2</vt:lpstr>
      <vt:lpstr>LogRawDiskCap3</vt:lpstr>
      <vt:lpstr>LogReadTransfers</vt:lpstr>
      <vt:lpstr>LogSizeOverhead</vt:lpstr>
      <vt:lpstr>LogVolDiskSpaceReplicaSS</vt:lpstr>
      <vt:lpstr>LogVolSize</vt:lpstr>
      <vt:lpstr>LogWriteTransfers</vt:lpstr>
      <vt:lpstr>MailboxSizeCheck</vt:lpstr>
      <vt:lpstr>MBXMoveRate</vt:lpstr>
      <vt:lpstr>MBXPerDB</vt:lpstr>
      <vt:lpstr>MBXSDCRAM</vt:lpstr>
      <vt:lpstr>minDBCacheMemMBX</vt:lpstr>
      <vt:lpstr>minDBCacheMemMBXSDC</vt:lpstr>
      <vt:lpstr>minReqMemory</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numLagDBCopies</vt:lpstr>
      <vt:lpstr>numLaggedCopiesSDC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numMBXServers</vt:lpstr>
      <vt:lpstr>numMCyclesPerCoreLCS</vt:lpstr>
      <vt:lpstr>numMCyclesPerCorePDC</vt:lpstr>
      <vt:lpstr>numMCyclesPerCoreSDC</vt:lpstr>
      <vt:lpstr>NumMoveMBXTLogPerWk</vt:lpstr>
      <vt:lpstr>NumMoveMBXTLogPerWkPerDB</vt:lpstr>
      <vt:lpstr>NumMoveMBXTLogs</vt:lpstr>
      <vt:lpstr>numProcCoresLCS</vt:lpstr>
      <vt:lpstr>numProcCoresPDC</vt:lpstr>
      <vt:lpstr>numProcCoresSDC</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ReadTransfers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RecRAMMBXPDC</vt:lpstr>
      <vt:lpstr>RecRAMMBXSDC</vt:lpstr>
      <vt:lpstr>RecRLDisksPDC</vt:lpstr>
      <vt:lpstr>RecRLDisksSDC</vt:lpstr>
      <vt:lpstr>RecRLRAIDPDC</vt:lpstr>
      <vt:lpstr>RecRLRAIDSDC</vt:lpstr>
      <vt:lpstr>ReplayLagHours</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SiteResilienceEnabled</vt:lpstr>
      <vt:lpstr>SRAASDDRServers</vt:lpstr>
      <vt:lpstr>SRActivationBlocked</vt:lpstr>
      <vt:lpstr>SRModel</vt:lpstr>
      <vt:lpstr>StorageArchChoice</vt:lpstr>
      <vt:lpstr>StringConversionArea</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tblTCPWindowSize</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Tier4PassiveMegacycles</vt:lpstr>
      <vt:lpstr>Tier4PredictIOPS</vt:lpstr>
      <vt:lpstr>Tier4ReadTransfers</vt:lpstr>
      <vt:lpstr>Tier4RWRatio</vt:lpstr>
      <vt:lpstr>Tier4SendReceive</vt:lpstr>
      <vt:lpstr>Tier4SIREnabled</vt:lpstr>
      <vt:lpstr>Tier4UserMFPercentage</vt:lpstr>
      <vt:lpstr>Tier4WriteTransfers</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TotNumMBXServersinDAG</vt:lpstr>
      <vt:lpstr>totNumMBXServersPerDag</vt:lpstr>
      <vt:lpstr>TotPeakLogCIBandwidth</vt:lpstr>
      <vt:lpstr>TotRPOLogCIBandwidth</vt:lpstr>
      <vt:lpstr>TotTier1IOPS</vt:lpstr>
      <vt:lpstr>TotTier2IOPS</vt:lpstr>
      <vt:lpstr>TotTier3IOPS</vt:lpstr>
      <vt:lpstr>TotTier4IOPS</vt:lpstr>
      <vt:lpstr>TotTLogsGenerated</vt:lpstr>
      <vt:lpstr>TruncationLagHours</vt:lpstr>
      <vt:lpstr>TruncationLagTime</vt:lpstr>
      <vt:lpstr>ValidationCheck</vt:lpstr>
      <vt:lpstr>varAutoReseedVolumes</vt:lpstr>
      <vt:lpstr>varBackupFreq</vt:lpstr>
      <vt:lpstr>varBackupMethod</vt:lpstr>
      <vt:lpstr>varCalcStorageReq</vt:lpstr>
      <vt:lpstr>varCalRetentionFactor</vt:lpstr>
      <vt:lpstr>varCASRatio</vt:lpstr>
      <vt:lpstr>varDatabaseSizeMessage</vt:lpstr>
      <vt:lpstr>varDBOverideLimit</vt:lpstr>
      <vt:lpstr>varDBperVolList1</vt:lpstr>
      <vt:lpstr>varDBperVolList2</vt:lpstr>
      <vt:lpstr>varDebugLevel</vt:lpstr>
      <vt:lpstr>varDefault</vt:lpstr>
      <vt:lpstr>varDiskGroup</vt:lpstr>
      <vt:lpstr>varDiskSize</vt:lpstr>
      <vt:lpstr>varDiskType</vt:lpstr>
      <vt:lpstr>varEnabledQuestion</vt:lpstr>
      <vt:lpstr>varEnableTrace</vt:lpstr>
      <vt:lpstr>varExVersion</vt:lpstr>
      <vt:lpstr>varHours</vt:lpstr>
      <vt:lpstr>varJBODInvDiskCap</vt:lpstr>
      <vt:lpstr>varJBODInvDiskIO</vt:lpstr>
      <vt:lpstr>varLogCompressionFactor</vt:lpstr>
      <vt:lpstr>varLogReplResponse</vt:lpstr>
      <vt:lpstr>varLogShippingOptions</vt:lpstr>
      <vt:lpstr>varMax2CopyDBSize</vt:lpstr>
      <vt:lpstr>varMaxDBperVolume</vt:lpstr>
      <vt:lpstr>varMaxNumDBs</vt:lpstr>
      <vt:lpstr>varMaxNumDBVolBS</vt:lpstr>
      <vt:lpstr>varMaxSADBSize</vt:lpstr>
      <vt:lpstr>varMessageQueueRate</vt:lpstr>
      <vt:lpstr>varNetLinkType</vt:lpstr>
      <vt:lpstr>varNumCores</vt:lpstr>
      <vt:lpstr>varNumDBCopies2</vt:lpstr>
      <vt:lpstr>varNumDBCopyIn</vt:lpstr>
      <vt:lpstr>varNumDBCopyInSDC</vt:lpstr>
      <vt:lpstr>varNumLaggedDBCopyIn</vt:lpstr>
      <vt:lpstr>varNumLaggedDBCopyInSDC</vt:lpstr>
      <vt:lpstr>varOutlookMode</vt:lpstr>
      <vt:lpstr>varRAID10Types</vt:lpstr>
      <vt:lpstr>varRAID5Types</vt:lpstr>
      <vt:lpstr>varRAID6Types</vt:lpstr>
      <vt:lpstr>varRAIDOptions</vt:lpstr>
      <vt:lpstr>varRequired</vt:lpstr>
      <vt:lpstr>varRWRatio</vt:lpstr>
      <vt:lpstr>varSCCNodes</vt:lpstr>
      <vt:lpstr>varServerArch</vt:lpstr>
      <vt:lpstr>varServerOffset</vt:lpstr>
      <vt:lpstr>varSIRVersionsFactor</vt:lpstr>
      <vt:lpstr>varSRModel</vt:lpstr>
      <vt:lpstr>varStatusOK_FD</vt:lpstr>
      <vt:lpstr>varStorageArchitecture</vt:lpstr>
      <vt:lpstr>varSupportAutoReseed</vt:lpstr>
      <vt:lpstr>varTraceFile</vt:lpstr>
      <vt:lpstr>varUserProfile</vt:lpstr>
      <vt:lpstr>varVolSizeResponse</vt:lpstr>
      <vt:lpstr>varWizardConfiguration</vt:lpstr>
      <vt:lpstr>varWizardTamperLock</vt:lpstr>
      <vt:lpstr>varWorkWeek</vt:lpstr>
      <vt:lpstr>varYNQuestion</vt:lpstr>
      <vt:lpstr>VirtCPUFactor</vt:lpstr>
      <vt:lpstr>VirtualizationEnabled</vt:lpstr>
      <vt:lpstr>VolArchitecture</vt:lpstr>
      <vt:lpstr>VolDesign</vt:lpstr>
      <vt:lpstr>VolGrowth</vt:lpstr>
      <vt:lpstr>WizardStatus</vt:lpstr>
      <vt:lpstr>WorkWeekDays</vt:lpstr>
      <vt:lpstr>WriteTransfers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2010 Server Role Requirements Calculator</dc:title>
  <dc:creator>Ross Smith IV</dc:creator>
  <dc:description>Exchange 2010 Mailbox Server Role Requirements Calculator</dc:description>
  <cp:lastModifiedBy>Mike Hendrickson</cp:lastModifiedBy>
  <cp:lastPrinted>2013-02-02T18:41:01Z</cp:lastPrinted>
  <dcterms:created xsi:type="dcterms:W3CDTF">2005-02-07T21:55:23Z</dcterms:created>
  <dcterms:modified xsi:type="dcterms:W3CDTF">2015-04-19T20:19:15Z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0x010100C5ABC76A2C925D40A56AFA811ABEB9F1</vt:lpwstr>
  </property>
  <property fmtid="{D5CDD505-2E9C-101B-9397-08002B2CF9AE}" pid="3" name="IsMyDocuments">
    <vt:bool>true</vt:bool>
  </property>
</Properties>
</file>