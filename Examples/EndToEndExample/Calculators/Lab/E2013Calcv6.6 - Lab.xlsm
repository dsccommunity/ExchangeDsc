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Presentations\Ignite 2015\Demo\CalculatorAndScripts\Lab\"/>
    </mc:Choice>
  </mc:AlternateContent>
  <bookViews>
    <workbookView xWindow="0" yWindow="0" windowWidth="21570" windowHeight="859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W18" i="17" l="1"/>
  <c r="V18" i="17"/>
  <c r="F18" i="17"/>
  <c r="E18" i="17"/>
  <c r="D24" i="17"/>
  <c r="D23" i="17"/>
  <c r="D22" i="17"/>
  <c r="D21" i="17"/>
  <c r="F19" i="17" l="1"/>
  <c r="E19" i="17"/>
  <c r="W19" i="17"/>
  <c r="V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I167" i="13"/>
  <c r="B177" i="1"/>
  <c r="B181" i="1"/>
  <c r="B182" i="1"/>
  <c r="B176" i="1"/>
  <c r="B190"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0" i="2"/>
  <c r="P9" i="2"/>
  <c r="P17" i="2"/>
  <c r="P19" i="2"/>
  <c r="Q6" i="2"/>
  <c r="Q5" i="2"/>
  <c r="Q20" i="2"/>
  <c r="Q17" i="2"/>
  <c r="Q19" i="2"/>
  <c r="Q8" i="2"/>
  <c r="Q15" i="2"/>
  <c r="P7" i="2"/>
  <c r="P13" i="2"/>
  <c r="P6" i="2"/>
  <c r="P11" i="2"/>
  <c r="P16" i="2"/>
  <c r="Q16" i="2"/>
  <c r="P5" i="2"/>
  <c r="P8" i="2"/>
  <c r="Q18" i="2"/>
  <c r="Q14" i="2"/>
  <c r="P15" i="2"/>
  <c r="Q12" i="2"/>
  <c r="Q10" i="2"/>
  <c r="P14" i="2"/>
  <c r="P20" i="2"/>
  <c r="Q9" i="2"/>
  <c r="P18" i="2"/>
  <c r="Q7" i="2"/>
  <c r="Q11" i="2"/>
  <c r="P12"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C62" i="13" s="1"/>
  <c r="C81" i="13" s="1"/>
  <c r="D31" i="16"/>
  <c r="D51" i="16"/>
  <c r="C36" i="16"/>
  <c r="D46" i="16"/>
  <c r="C51" i="16"/>
  <c r="E136" i="8"/>
  <c r="B117" i="8" s="1"/>
  <c r="C58" i="13"/>
  <c r="C59" i="13"/>
  <c r="B178" i="1"/>
  <c r="B180" i="1"/>
  <c r="B187" i="1"/>
  <c r="B188" i="1"/>
  <c r="B186" i="1"/>
  <c r="B179" i="1"/>
  <c r="B183" i="1"/>
  <c r="B185" i="1"/>
  <c r="B184" i="1"/>
  <c r="B189" i="1"/>
  <c r="E62" i="13" l="1"/>
  <c r="C82" i="13"/>
  <c r="E82" i="13"/>
  <c r="I169" i="13"/>
  <c r="I70" i="13"/>
  <c r="I71" i="13"/>
  <c r="E113" i="4" l="1"/>
  <c r="C73" i="13"/>
  <c r="C74" i="13"/>
  <c r="C63" i="13"/>
  <c r="C64" i="13" s="1"/>
  <c r="C75" i="13" l="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213" i="4" l="1"/>
  <c r="D96" i="4" s="1"/>
  <c r="C162" i="13"/>
  <c r="E244" i="13" s="1"/>
  <c r="H165" i="4"/>
  <c r="D48" i="4" s="1"/>
  <c r="E240" i="13"/>
  <c r="H124" i="4"/>
  <c r="D7" i="4" s="1"/>
  <c r="F18" i="15"/>
  <c r="C252" i="13"/>
  <c r="H137" i="4"/>
  <c r="D20" i="4" s="1"/>
  <c r="H148" i="4"/>
  <c r="D31" i="4" s="1"/>
  <c r="H201" i="4"/>
  <c r="D84" i="4" s="1"/>
  <c r="H132" i="4"/>
  <c r="D15" i="4" s="1"/>
  <c r="C116" i="13"/>
  <c r="D33" i="16" s="1"/>
  <c r="F15" i="16"/>
  <c r="C158" i="13"/>
  <c r="D241" i="13" s="1"/>
  <c r="C21" i="16"/>
  <c r="D21" i="16" s="1"/>
  <c r="W138" i="12"/>
  <c r="C47" i="16"/>
  <c r="H218" i="4"/>
  <c r="D101" i="4" s="1"/>
  <c r="H125" i="4"/>
  <c r="D8" i="4" s="1"/>
  <c r="C251" i="13"/>
  <c r="H190" i="4"/>
  <c r="D73" i="4" s="1"/>
  <c r="H203" i="4"/>
  <c r="D86" i="4" s="1"/>
  <c r="H151" i="4"/>
  <c r="D34" i="4" s="1"/>
  <c r="E34" i="16"/>
  <c r="C225" i="13"/>
  <c r="H181" i="4"/>
  <c r="D64" i="4" s="1"/>
  <c r="E12" i="12"/>
  <c r="F210" i="13"/>
  <c r="F221" i="13"/>
  <c r="D27" i="16"/>
  <c r="H189" i="4"/>
  <c r="D72" i="4" s="1"/>
  <c r="F220" i="13"/>
  <c r="D120" i="13"/>
  <c r="W139" i="12"/>
  <c r="G146" i="12" s="1"/>
  <c r="W144" i="12" s="1"/>
  <c r="C212" i="13"/>
  <c r="C207" i="1" s="1"/>
  <c r="I126" i="13"/>
  <c r="H177" i="4"/>
  <c r="D60" i="4" s="1"/>
  <c r="H188" i="4"/>
  <c r="D71" i="4" s="1"/>
  <c r="C226" i="13"/>
  <c r="H195" i="4"/>
  <c r="D78" i="4" s="1"/>
  <c r="E251" i="13"/>
  <c r="H160" i="4"/>
  <c r="D43" i="4" s="1"/>
  <c r="H127" i="4"/>
  <c r="D10" i="4" s="1"/>
  <c r="D251" i="13"/>
  <c r="H146" i="4"/>
  <c r="D29" i="4" s="1"/>
  <c r="H202" i="4"/>
  <c r="D85" i="4" s="1"/>
  <c r="H179" i="4"/>
  <c r="D62" i="4" s="1"/>
  <c r="F218" i="13"/>
  <c r="C17" i="16"/>
  <c r="H129" i="4"/>
  <c r="D12" i="4" s="1"/>
  <c r="C27" i="16"/>
  <c r="H185" i="4"/>
  <c r="D68" i="4" s="1"/>
  <c r="H175" i="4"/>
  <c r="D58" i="4" s="1"/>
  <c r="D44" i="16"/>
  <c r="H199" i="4"/>
  <c r="D82" i="4" s="1"/>
  <c r="E219" i="13"/>
  <c r="H142" i="4"/>
  <c r="D25" i="4" s="1"/>
  <c r="E211" i="13"/>
  <c r="H135" i="4"/>
  <c r="D18" i="4" s="1"/>
  <c r="C11" i="11"/>
  <c r="H180" i="4"/>
  <c r="D63" i="4" s="1"/>
  <c r="G16" i="16"/>
  <c r="C125" i="13"/>
  <c r="I137" i="13" s="1"/>
  <c r="C49" i="16"/>
  <c r="H206" i="4"/>
  <c r="D89" i="4" s="1"/>
  <c r="H143" i="4"/>
  <c r="D26" i="4" s="1"/>
  <c r="E15" i="16"/>
  <c r="D221" i="13"/>
  <c r="H169" i="4"/>
  <c r="D52" i="4" s="1"/>
  <c r="F219" i="13"/>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205" i="4"/>
  <c r="D88" i="4" s="1"/>
  <c r="E252" i="13"/>
  <c r="D28" i="16"/>
  <c r="H156" i="4"/>
  <c r="D39" i="4" s="1"/>
  <c r="C235"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215" i="4"/>
  <c r="D98" i="4" s="1"/>
  <c r="F222" i="13"/>
  <c r="F252" i="13"/>
  <c r="H166" i="4"/>
  <c r="D49" i="4" s="1"/>
  <c r="H136" i="4"/>
  <c r="D19" i="4" s="1"/>
  <c r="H187" i="4"/>
  <c r="D70" i="4" s="1"/>
  <c r="H183" i="4"/>
  <c r="D66" i="4" s="1"/>
  <c r="C202" i="13"/>
  <c r="H193" i="4"/>
  <c r="D76" i="4" s="1"/>
  <c r="H186" i="4"/>
  <c r="D69" i="4" s="1"/>
  <c r="H154" i="4"/>
  <c r="D37" i="4" s="1"/>
  <c r="D253" i="13"/>
  <c r="C159" i="13"/>
  <c r="I159" i="13" s="1"/>
  <c r="E242" i="13" s="1"/>
  <c r="D16" i="16"/>
  <c r="H172" i="4"/>
  <c r="D55" i="4" s="1"/>
  <c r="C16" i="16"/>
  <c r="B15" i="11"/>
  <c r="I15" i="11" s="1"/>
  <c r="I127" i="13"/>
  <c r="E245" i="13" s="1"/>
  <c r="D116" i="13"/>
  <c r="D117" i="13" s="1"/>
  <c r="F48" i="16" s="1"/>
  <c r="H158" i="4"/>
  <c r="D41" i="4" s="1"/>
  <c r="E258" i="13"/>
  <c r="F258" i="13" s="1"/>
  <c r="H221" i="4"/>
  <c r="D104" i="4" s="1"/>
  <c r="C231" i="13"/>
  <c r="H164" i="4"/>
  <c r="D47" i="4" s="1"/>
  <c r="C167" i="13"/>
  <c r="C176" i="13" s="1"/>
  <c r="E241" i="13" s="1"/>
  <c r="H208" i="4"/>
  <c r="D91" i="4" s="1"/>
  <c r="H144" i="4"/>
  <c r="D27" i="4" s="1"/>
  <c r="D12" i="16"/>
  <c r="C126" i="13"/>
  <c r="C38" i="16" s="1"/>
  <c r="F38" i="16" s="1"/>
  <c r="C265" i="13"/>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C241" i="13"/>
  <c r="H170" i="4"/>
  <c r="D53" i="4" s="1"/>
  <c r="F16" i="16"/>
  <c r="D252" i="13"/>
  <c r="C12" i="16"/>
  <c r="D225" i="13"/>
  <c r="E225" i="13" s="1"/>
  <c r="C44" i="16"/>
  <c r="H200" i="4"/>
  <c r="D83" i="4" s="1"/>
  <c r="C244" i="13"/>
  <c r="D212" i="13"/>
  <c r="C220" i="1" s="1"/>
  <c r="H191" i="4"/>
  <c r="D74" i="4" s="1"/>
  <c r="C221" i="13"/>
  <c r="H123" i="4"/>
  <c r="H101" i="4" s="1"/>
  <c r="F251" i="13"/>
  <c r="H133" i="4"/>
  <c r="D16" i="4" s="1"/>
  <c r="E218" i="13"/>
  <c r="H167" i="4"/>
  <c r="D50" i="4" s="1"/>
  <c r="C253" i="13"/>
  <c r="H184" i="4"/>
  <c r="D67" i="4" s="1"/>
  <c r="E221" i="13"/>
  <c r="H219" i="4"/>
  <c r="D102" i="4" s="1"/>
  <c r="C217" i="13"/>
  <c r="H209" i="4"/>
  <c r="D92" i="4" s="1"/>
  <c r="D29" i="16"/>
  <c r="D219" i="13"/>
  <c r="H222" i="4"/>
  <c r="D105" i="4" s="1"/>
  <c r="C264" i="13"/>
  <c r="F32" i="16"/>
  <c r="E32" i="16"/>
  <c r="E17" i="16"/>
  <c r="H198" i="4"/>
  <c r="D81" i="4" s="1"/>
  <c r="C206" i="13"/>
  <c r="D42" i="16"/>
  <c r="C20" i="16"/>
  <c r="D20" i="16" s="1"/>
  <c r="H192" i="4"/>
  <c r="D75" i="4" s="1"/>
  <c r="H139" i="4"/>
  <c r="D22" i="4" s="1"/>
  <c r="H176" i="4"/>
  <c r="D59" i="4" s="1"/>
  <c r="D206" i="13"/>
  <c r="C28" i="16"/>
  <c r="H212" i="4"/>
  <c r="D95" i="4" s="1"/>
  <c r="E33" i="16"/>
  <c r="D222" i="13"/>
  <c r="D17" i="16"/>
  <c r="H196" i="4"/>
  <c r="D79" i="4" s="1"/>
  <c r="H157" i="4"/>
  <c r="D40" i="4" s="1"/>
  <c r="D213" i="13"/>
  <c r="C267" i="13"/>
  <c r="D267" i="13" s="1"/>
  <c r="C211" i="13"/>
  <c r="H171" i="4"/>
  <c r="D54" i="4" s="1"/>
  <c r="C213" i="13"/>
  <c r="E220" i="13"/>
  <c r="C19" i="15"/>
  <c r="D11" i="16"/>
  <c r="H155" i="4"/>
  <c r="D38" i="4" s="1"/>
  <c r="H217" i="4"/>
  <c r="D100" i="4" s="1"/>
  <c r="C127" i="13"/>
  <c r="C54" i="16" s="1"/>
  <c r="E54" i="16" s="1"/>
  <c r="C220" i="13"/>
  <c r="H149" i="4"/>
  <c r="D32" i="4" s="1"/>
  <c r="C205" i="13"/>
  <c r="F47" i="16"/>
  <c r="C29" i="16"/>
  <c r="H140" i="4"/>
  <c r="D23" i="4" s="1"/>
  <c r="D220" i="13"/>
  <c r="C224" i="4"/>
  <c r="H174" i="4"/>
  <c r="D57" i="4" s="1"/>
  <c r="H211" i="4"/>
  <c r="D94" i="4" s="1"/>
  <c r="C34" i="16"/>
  <c r="C161" i="13"/>
  <c r="D244" i="13" s="1"/>
  <c r="H150" i="4"/>
  <c r="D33" i="4" s="1"/>
  <c r="C120" i="13"/>
  <c r="D34" i="16" s="1"/>
  <c r="C230" i="13"/>
  <c r="B123" i="4"/>
  <c r="B6" i="4" s="1"/>
  <c r="C6" i="4" s="1"/>
  <c r="D226" i="13"/>
  <c r="E222" i="13"/>
  <c r="C48" i="16"/>
  <c r="H161" i="4"/>
  <c r="D44" i="4" s="1"/>
  <c r="H145" i="4"/>
  <c r="D28" i="4" s="1"/>
  <c r="C11" i="16"/>
  <c r="D207" i="1"/>
  <c r="H152" i="4"/>
  <c r="D35" i="4" s="1"/>
  <c r="C218" i="13"/>
  <c r="E48" i="16"/>
  <c r="G17" i="16"/>
  <c r="I158" i="13"/>
  <c r="D242" i="13" s="1"/>
  <c r="C195" i="13"/>
  <c r="C197" i="13" s="1"/>
  <c r="D209" i="13" s="1"/>
  <c r="C177" i="13"/>
  <c r="C181" i="13"/>
  <c r="D202" i="13" s="1"/>
  <c r="C179" i="13"/>
  <c r="D205" i="13" s="1"/>
  <c r="C178" i="13"/>
  <c r="D245" i="13"/>
  <c r="D49" i="16"/>
  <c r="D122" i="13"/>
  <c r="G49" i="16" s="1"/>
  <c r="D121" i="13"/>
  <c r="F49" i="16" s="1"/>
  <c r="C117" i="13"/>
  <c r="F33" i="16" s="1"/>
  <c r="E15" i="11"/>
  <c r="I17" i="11"/>
  <c r="C18" i="11"/>
  <c r="D19" i="11" s="1"/>
  <c r="G17" i="11"/>
  <c r="D18" i="11"/>
  <c r="E18" i="11" s="1"/>
  <c r="H17" i="11"/>
  <c r="B23" i="11"/>
  <c r="B24" i="11" s="1"/>
  <c r="F17" i="11"/>
  <c r="C227" i="13" l="1"/>
  <c r="C37" i="16"/>
  <c r="E226" i="13"/>
  <c r="E227" i="13" s="1"/>
  <c r="W140" i="12"/>
  <c r="E15" i="12"/>
  <c r="F137" i="12"/>
  <c r="E14" i="12"/>
  <c r="E130" i="13"/>
  <c r="D6" i="4"/>
  <c r="D48" i="16"/>
  <c r="D123" i="4"/>
  <c r="E123" i="4" s="1"/>
  <c r="C185" i="8"/>
  <c r="E185" i="8" s="1"/>
  <c r="C123" i="4"/>
  <c r="B124" i="4"/>
  <c r="B125" i="4" s="1"/>
  <c r="C125" i="4" s="1"/>
  <c r="D125" i="4" s="1"/>
  <c r="E125" i="4" s="1"/>
  <c r="F123" i="4"/>
  <c r="F224" i="4" s="1"/>
  <c r="C214" i="13"/>
  <c r="E212" i="13"/>
  <c r="F209" i="13"/>
  <c r="C15" i="11"/>
  <c r="D15" i="11"/>
  <c r="F15" i="11"/>
  <c r="H15" i="11"/>
  <c r="G15" i="11"/>
  <c r="C39" i="16"/>
  <c r="D39" i="16" s="1"/>
  <c r="F54" i="16"/>
  <c r="C118" i="13"/>
  <c r="G33" i="16" s="1"/>
  <c r="D38" i="16"/>
  <c r="I140" i="13"/>
  <c r="C52" i="16"/>
  <c r="E38" i="16"/>
  <c r="D214" i="13"/>
  <c r="D54" i="16"/>
  <c r="C53" i="16"/>
  <c r="C122" i="13"/>
  <c r="G34" i="16" s="1"/>
  <c r="D185" i="8"/>
  <c r="C121" i="13"/>
  <c r="F34" i="16" s="1"/>
  <c r="E213" i="13"/>
  <c r="F213" i="13" s="1"/>
  <c r="D239" i="13"/>
  <c r="C106" i="13"/>
  <c r="C186" i="13" s="1"/>
  <c r="C187" i="13" s="1"/>
  <c r="C188" i="13" s="1"/>
  <c r="C189" i="13" s="1"/>
  <c r="C191" i="13" s="1"/>
  <c r="D246" i="13" s="1"/>
  <c r="D118" i="13"/>
  <c r="G48" i="16" s="1"/>
  <c r="E115" i="4"/>
  <c r="E116" i="4" s="1"/>
  <c r="E119" i="4" s="1"/>
  <c r="D227" i="13"/>
  <c r="D178" i="8"/>
  <c r="D160" i="8" s="1"/>
  <c r="D37" i="16"/>
  <c r="E37" i="16"/>
  <c r="F37" i="16"/>
  <c r="F18" i="11"/>
  <c r="E19" i="11"/>
  <c r="C19" i="11"/>
  <c r="B25" i="11"/>
  <c r="C23" i="11"/>
  <c r="C24" i="11" s="1"/>
  <c r="D23" i="11"/>
  <c r="I18" i="11"/>
  <c r="H18" i="11"/>
  <c r="G18" i="11"/>
  <c r="C20" i="11"/>
  <c r="F19" i="11"/>
  <c r="D20" i="11"/>
  <c r="E20" i="11" s="1"/>
  <c r="B7" i="4" l="1"/>
  <c r="B8" i="4" s="1"/>
  <c r="C8" i="4" s="1"/>
  <c r="D224" i="4"/>
  <c r="F138" i="12"/>
  <c r="F139" i="12" s="1"/>
  <c r="C124" i="4"/>
  <c r="D124" i="4" s="1"/>
  <c r="E124" i="4" s="1"/>
  <c r="F124" i="4"/>
  <c r="C258" i="13"/>
  <c r="B126" i="4"/>
  <c r="C126" i="4" s="1"/>
  <c r="D126" i="4" s="1"/>
  <c r="E126" i="4" s="1"/>
  <c r="I150" i="13"/>
  <c r="D258" i="13" s="1"/>
  <c r="E39" i="16"/>
  <c r="E214" i="13"/>
  <c r="F212" i="13"/>
  <c r="F214" i="13" s="1"/>
  <c r="F125" i="4"/>
  <c r="F39" i="16"/>
  <c r="E53" i="16"/>
  <c r="D53" i="16"/>
  <c r="F53" i="16"/>
  <c r="E256" i="13"/>
  <c r="F256" i="13" s="1"/>
  <c r="D256" i="13"/>
  <c r="F52" i="16"/>
  <c r="D52" i="16"/>
  <c r="E52" i="16"/>
  <c r="C190" i="13"/>
  <c r="C246" i="13" s="1"/>
  <c r="E264" i="13"/>
  <c r="F264" i="13" s="1"/>
  <c r="E267" i="13"/>
  <c r="F267" i="13" s="1"/>
  <c r="C7" i="4"/>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B9" i="4" l="1"/>
  <c r="C9" i="4" s="1"/>
  <c r="B127" i="4"/>
  <c r="C127" i="4" s="1"/>
  <c r="D127" i="4" s="1"/>
  <c r="E127" i="4" s="1"/>
  <c r="F126" i="4"/>
  <c r="G145" i="12"/>
  <c r="W143" i="12" s="1"/>
  <c r="F24" i="11"/>
  <c r="E25" i="11"/>
  <c r="F25" i="11" s="1"/>
  <c r="G25" i="11" s="1"/>
  <c r="D22" i="11"/>
  <c r="E22" i="11" s="1"/>
  <c r="F22" i="11" s="1"/>
  <c r="F21" i="11"/>
  <c r="G21" i="11" s="1"/>
  <c r="H21" i="11" s="1"/>
  <c r="I21" i="11" s="1"/>
  <c r="H19" i="11"/>
  <c r="C26" i="11"/>
  <c r="B27" i="11"/>
  <c r="B28" i="11" s="1"/>
  <c r="D26" i="11"/>
  <c r="E26" i="11" s="1"/>
  <c r="F23" i="11"/>
  <c r="G24" i="11" s="1"/>
  <c r="G22" i="11"/>
  <c r="H22" i="11" s="1"/>
  <c r="B10" i="4" l="1"/>
  <c r="C10" i="4" s="1"/>
  <c r="F127" i="4"/>
  <c r="B128" i="4"/>
  <c r="F128" i="4" s="1"/>
  <c r="F26" i="11"/>
  <c r="G26" i="11" s="1"/>
  <c r="B29" i="11"/>
  <c r="C29" i="11" s="1"/>
  <c r="C27" i="11"/>
  <c r="C28" i="11" s="1"/>
  <c r="D27" i="11"/>
  <c r="E27" i="11" s="1"/>
  <c r="B30" i="11"/>
  <c r="H25" i="11"/>
  <c r="I22" i="11"/>
  <c r="G23" i="11"/>
  <c r="H24" i="11" s="1"/>
  <c r="B129" i="4" l="1"/>
  <c r="C129" i="4" s="1"/>
  <c r="D129" i="4" s="1"/>
  <c r="E129" i="4" s="1"/>
  <c r="C128" i="4"/>
  <c r="D128" i="4" s="1"/>
  <c r="E128" i="4" s="1"/>
  <c r="B11" i="4"/>
  <c r="C11" i="4" s="1"/>
  <c r="I26" i="11"/>
  <c r="H26" i="11"/>
  <c r="F27" i="11"/>
  <c r="C30" i="11"/>
  <c r="D29" i="11"/>
  <c r="D28" i="11"/>
  <c r="E28" i="11" s="1"/>
  <c r="F28" i="11" s="1"/>
  <c r="B31" i="11"/>
  <c r="D30" i="11"/>
  <c r="E30" i="11" s="1"/>
  <c r="I25" i="11"/>
  <c r="H23" i="11"/>
  <c r="I23" i="11" s="1"/>
  <c r="F29" i="11"/>
  <c r="F129" i="4" l="1"/>
  <c r="B12" i="4"/>
  <c r="C12" i="4" s="1"/>
  <c r="B130" i="4"/>
  <c r="B131" i="4" s="1"/>
  <c r="C131" i="4" s="1"/>
  <c r="D131" i="4" s="1"/>
  <c r="E131" i="4" s="1"/>
  <c r="G30" i="11"/>
  <c r="E29" i="11"/>
  <c r="G27" i="11"/>
  <c r="H27" i="11" s="1"/>
  <c r="I27" i="11" s="1"/>
  <c r="C31" i="11"/>
  <c r="G28" i="11"/>
  <c r="B32" i="11"/>
  <c r="C32" i="11" s="1"/>
  <c r="D31" i="11"/>
  <c r="E31" i="11" s="1"/>
  <c r="F31" i="11" s="1"/>
  <c r="G31" i="11" s="1"/>
  <c r="H31" i="11" s="1"/>
  <c r="F30" i="11"/>
  <c r="I24" i="11"/>
  <c r="G29" i="11"/>
  <c r="H30" i="11" s="1"/>
  <c r="F130" i="4" l="1"/>
  <c r="B13" i="4"/>
  <c r="C13" i="4" s="1"/>
  <c r="C130" i="4"/>
  <c r="D130" i="4" s="1"/>
  <c r="E130" i="4" s="1"/>
  <c r="B132" i="4"/>
  <c r="F132" i="4" s="1"/>
  <c r="F131" i="4"/>
  <c r="B14" i="4"/>
  <c r="H28" i="11"/>
  <c r="I28" i="11" s="1"/>
  <c r="B33" i="11"/>
  <c r="C33" i="11" s="1"/>
  <c r="D32" i="11"/>
  <c r="E32" i="11" s="1"/>
  <c r="I31" i="11"/>
  <c r="H29" i="11"/>
  <c r="I29" i="11" s="1"/>
  <c r="B133" i="4" l="1"/>
  <c r="B134" i="4" s="1"/>
  <c r="F134" i="4" s="1"/>
  <c r="C132" i="4"/>
  <c r="D132" i="4" s="1"/>
  <c r="E132" i="4" s="1"/>
  <c r="C14" i="4"/>
  <c r="B15" i="4"/>
  <c r="B34" i="11"/>
  <c r="C34" i="11" s="1"/>
  <c r="D33" i="11"/>
  <c r="E33" i="11" s="1"/>
  <c r="F32" i="11"/>
  <c r="G32" i="11" s="1"/>
  <c r="H32" i="11" s="1"/>
  <c r="I32" i="11" s="1"/>
  <c r="B35" i="11"/>
  <c r="I30" i="11"/>
  <c r="C134" i="4" l="1"/>
  <c r="D134" i="4" s="1"/>
  <c r="E134" i="4" s="1"/>
  <c r="C133" i="4"/>
  <c r="D133" i="4" s="1"/>
  <c r="E133" i="4" s="1"/>
  <c r="F133" i="4"/>
  <c r="B135" i="4"/>
  <c r="C135" i="4" s="1"/>
  <c r="D135" i="4" s="1"/>
  <c r="E135" i="4" s="1"/>
  <c r="D34" i="11"/>
  <c r="C15" i="4"/>
  <c r="B16" i="4"/>
  <c r="C35" i="11"/>
  <c r="E34" i="11"/>
  <c r="F33" i="11"/>
  <c r="G33" i="11" s="1"/>
  <c r="H33" i="11" s="1"/>
  <c r="I33" i="11" s="1"/>
  <c r="D35" i="11"/>
  <c r="E35" i="11" s="1"/>
  <c r="B36" i="11"/>
  <c r="C36" i="11" s="1"/>
  <c r="F34" i="11"/>
  <c r="B136" i="4" l="1"/>
  <c r="C136" i="4" s="1"/>
  <c r="D136" i="4" s="1"/>
  <c r="E136" i="4" s="1"/>
  <c r="F135" i="4"/>
  <c r="C16" i="4"/>
  <c r="B17" i="4"/>
  <c r="G34" i="11"/>
  <c r="H34" i="11" s="1"/>
  <c r="I34" i="11" s="1"/>
  <c r="D36" i="11"/>
  <c r="E36" i="11" s="1"/>
  <c r="B37" i="11"/>
  <c r="C37" i="11" s="1"/>
  <c r="F35" i="11"/>
  <c r="G35" i="11" s="1"/>
  <c r="H35" i="11" s="1"/>
  <c r="F136" i="4" l="1"/>
  <c r="B137" i="4"/>
  <c r="F137" i="4" s="1"/>
  <c r="C17" i="4"/>
  <c r="B18" i="4"/>
  <c r="I35" i="11"/>
  <c r="D37" i="11"/>
  <c r="E37" i="11" s="1"/>
  <c r="B38" i="11"/>
  <c r="C38" i="11" s="1"/>
  <c r="F36" i="11"/>
  <c r="G36" i="11" s="1"/>
  <c r="H36" i="11" s="1"/>
  <c r="B138" i="4" l="1"/>
  <c r="C138" i="4" s="1"/>
  <c r="D138" i="4" s="1"/>
  <c r="E138" i="4" s="1"/>
  <c r="C137" i="4"/>
  <c r="D137" i="4" s="1"/>
  <c r="E137" i="4" s="1"/>
  <c r="C18" i="4"/>
  <c r="B19" i="4"/>
  <c r="B139" i="4"/>
  <c r="D38" i="11"/>
  <c r="E38" i="11" s="1"/>
  <c r="B39" i="11"/>
  <c r="C39" i="11" s="1"/>
  <c r="F37" i="11"/>
  <c r="I36" i="11"/>
  <c r="F138" i="4" l="1"/>
  <c r="C19" i="4"/>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C55" i="4" l="1"/>
  <c r="B56" i="4"/>
  <c r="F182" i="4"/>
  <c r="C182" i="4"/>
  <c r="D182" i="4" s="1"/>
  <c r="E182" i="4" s="1"/>
  <c r="B183" i="4"/>
  <c r="B76" i="11"/>
  <c r="C76" i="11" s="1"/>
  <c r="G73" i="11"/>
  <c r="H73" i="11" s="1"/>
  <c r="I73" i="11" s="1"/>
  <c r="F74" i="11"/>
  <c r="G74" i="11" s="1"/>
  <c r="D75" i="11"/>
  <c r="E75" i="11" s="1"/>
  <c r="B57" i="4" l="1"/>
  <c r="C56" i="4"/>
  <c r="F183" i="4"/>
  <c r="C183" i="4"/>
  <c r="D183" i="4" s="1"/>
  <c r="E183" i="4" s="1"/>
  <c r="B184" i="4"/>
  <c r="B77" i="11"/>
  <c r="C77" i="11" s="1"/>
  <c r="F75" i="11"/>
  <c r="G75" i="11" s="1"/>
  <c r="D76" i="11"/>
  <c r="E76" i="11" s="1"/>
  <c r="H74" i="11"/>
  <c r="I74" i="11" s="1"/>
  <c r="C57" i="4" l="1"/>
  <c r="B58" i="4"/>
  <c r="F184" i="4"/>
  <c r="C184" i="4"/>
  <c r="D184" i="4" s="1"/>
  <c r="E184" i="4" s="1"/>
  <c r="B185" i="4"/>
  <c r="B78" i="11"/>
  <c r="C78" i="11" s="1"/>
  <c r="D77" i="11"/>
  <c r="E77" i="11" s="1"/>
  <c r="F76" i="11"/>
  <c r="G76" i="11" s="1"/>
  <c r="H75" i="11"/>
  <c r="I75" i="11" s="1"/>
  <c r="C58" i="4" l="1"/>
  <c r="B59" i="4"/>
  <c r="F185" i="4"/>
  <c r="C185" i="4"/>
  <c r="D185" i="4" s="1"/>
  <c r="E185" i="4" s="1"/>
  <c r="B186" i="4"/>
  <c r="B79" i="11"/>
  <c r="C79" i="11" s="1"/>
  <c r="F77" i="11"/>
  <c r="G77" i="11" s="1"/>
  <c r="D78" i="11"/>
  <c r="E78" i="11" s="1"/>
  <c r="H76" i="11"/>
  <c r="I76" i="11" s="1"/>
  <c r="B66" i="4"/>
  <c r="C59" i="4" l="1"/>
  <c r="B60" i="4"/>
  <c r="F186" i="4"/>
  <c r="C186" i="4"/>
  <c r="D186" i="4" s="1"/>
  <c r="E186" i="4" s="1"/>
  <c r="B187" i="4"/>
  <c r="B80" i="11"/>
  <c r="C80" i="11" s="1"/>
  <c r="D79" i="11"/>
  <c r="E79" i="11" s="1"/>
  <c r="F78" i="11"/>
  <c r="G78" i="11" s="1"/>
  <c r="H78" i="11" s="1"/>
  <c r="H77" i="11"/>
  <c r="I77" i="11" s="1"/>
  <c r="C66" i="4"/>
  <c r="B67" i="4"/>
  <c r="B61" i="4" l="1"/>
  <c r="C60" i="4"/>
  <c r="F187" i="4"/>
  <c r="C187" i="4"/>
  <c r="D187" i="4" s="1"/>
  <c r="E187" i="4" s="1"/>
  <c r="B188" i="4"/>
  <c r="I78" i="11"/>
  <c r="B81" i="11"/>
  <c r="C81" i="11" s="1"/>
  <c r="D80" i="11"/>
  <c r="E80" i="11" s="1"/>
  <c r="F79" i="11"/>
  <c r="G79" i="11" s="1"/>
  <c r="C67" i="4"/>
  <c r="B68" i="4"/>
  <c r="C61" i="4" l="1"/>
  <c r="B62" i="4"/>
  <c r="F188" i="4"/>
  <c r="C188" i="4"/>
  <c r="D188" i="4" s="1"/>
  <c r="E188" i="4" s="1"/>
  <c r="B189" i="4"/>
  <c r="B82" i="11"/>
  <c r="C82" i="11" s="1"/>
  <c r="F80" i="11"/>
  <c r="G80" i="11" s="1"/>
  <c r="D81" i="11"/>
  <c r="E81" i="11" s="1"/>
  <c r="H79" i="11"/>
  <c r="I79" i="11" s="1"/>
  <c r="C68" i="4"/>
  <c r="B69" i="4"/>
  <c r="B63" i="4" l="1"/>
  <c r="C62" i="4"/>
  <c r="F189" i="4"/>
  <c r="C189" i="4"/>
  <c r="D189" i="4" s="1"/>
  <c r="E189" i="4" s="1"/>
  <c r="B190" i="4"/>
  <c r="B83" i="11"/>
  <c r="C83" i="11" s="1"/>
  <c r="D82" i="11"/>
  <c r="E82" i="11" s="1"/>
  <c r="F81" i="11"/>
  <c r="H80" i="11"/>
  <c r="I80" i="11" s="1"/>
  <c r="C69" i="4"/>
  <c r="B70" i="4"/>
  <c r="C63" i="4" l="1"/>
  <c r="B64" i="4"/>
  <c r="F190" i="4"/>
  <c r="C190" i="4"/>
  <c r="D190" i="4" s="1"/>
  <c r="E190" i="4" s="1"/>
  <c r="B191" i="4"/>
  <c r="B84" i="11"/>
  <c r="C84" i="11" s="1"/>
  <c r="G81" i="11"/>
  <c r="H81" i="11" s="1"/>
  <c r="D83" i="11"/>
  <c r="E83" i="11" s="1"/>
  <c r="F82" i="11"/>
  <c r="C70" i="4"/>
  <c r="B71" i="4"/>
  <c r="C64" i="4" l="1"/>
  <c r="B65" i="4"/>
  <c r="C65" i="4" s="1"/>
  <c r="C191" i="4"/>
  <c r="D191" i="4" s="1"/>
  <c r="E191" i="4" s="1"/>
  <c r="F191" i="4"/>
  <c r="B192" i="4"/>
  <c r="B85" i="11"/>
  <c r="C85" i="11" s="1"/>
  <c r="D84" i="11"/>
  <c r="E84" i="11" s="1"/>
  <c r="F83" i="11"/>
  <c r="G83" i="11" s="1"/>
  <c r="G82" i="11"/>
  <c r="H82" i="11" s="1"/>
  <c r="I82" i="11" s="1"/>
  <c r="I81" i="11"/>
  <c r="C71" i="4"/>
  <c r="B72" i="4"/>
  <c r="F192" i="4" l="1"/>
  <c r="C192" i="4"/>
  <c r="D192" i="4" s="1"/>
  <c r="E192" i="4" s="1"/>
  <c r="B193" i="4"/>
  <c r="H83" i="11"/>
  <c r="I83" i="11" s="1"/>
  <c r="B86" i="11"/>
  <c r="C86" i="11" s="1"/>
  <c r="F84" i="11"/>
  <c r="G84" i="11" s="1"/>
  <c r="H84" i="11" s="1"/>
  <c r="I84" i="11" s="1"/>
  <c r="D85" i="11"/>
  <c r="E85" i="11" s="1"/>
  <c r="C72" i="4"/>
  <c r="B73" i="4"/>
  <c r="B194" i="4" l="1"/>
  <c r="F193" i="4"/>
  <c r="C193" i="4"/>
  <c r="D193" i="4" s="1"/>
  <c r="E193" i="4" s="1"/>
  <c r="B87" i="11"/>
  <c r="C87" i="11" s="1"/>
  <c r="D86" i="11"/>
  <c r="E86" i="11" s="1"/>
  <c r="F85" i="11"/>
  <c r="C73" i="4"/>
  <c r="B74" i="4"/>
  <c r="F194" i="4" l="1"/>
  <c r="C194" i="4"/>
  <c r="D194" i="4" s="1"/>
  <c r="E194" i="4" s="1"/>
  <c r="B195" i="4"/>
  <c r="B88" i="11"/>
  <c r="C88" i="11" s="1"/>
  <c r="G85" i="11"/>
  <c r="H85" i="11" s="1"/>
  <c r="I85" i="11" s="1"/>
  <c r="D87" i="11"/>
  <c r="E87" i="11" s="1"/>
  <c r="F86" i="11"/>
  <c r="G86" i="11" s="1"/>
  <c r="H86" i="11" s="1"/>
  <c r="I86" i="11" s="1"/>
  <c r="C74" i="4"/>
  <c r="B75" i="4"/>
  <c r="C195" i="4" l="1"/>
  <c r="D195" i="4" s="1"/>
  <c r="E195" i="4" s="1"/>
  <c r="F195" i="4"/>
  <c r="B196" i="4"/>
  <c r="B89" i="11"/>
  <c r="C89" i="11" s="1"/>
  <c r="F87" i="11"/>
  <c r="D88" i="11"/>
  <c r="E88" i="11" s="1"/>
  <c r="C75" i="4"/>
  <c r="B76" i="4"/>
  <c r="F196" i="4" l="1"/>
  <c r="C196" i="4"/>
  <c r="D196" i="4" s="1"/>
  <c r="E196" i="4" s="1"/>
  <c r="B197" i="4"/>
  <c r="B90" i="11"/>
  <c r="C90" i="11" s="1"/>
  <c r="G87" i="11"/>
  <c r="H87" i="11" s="1"/>
  <c r="I87" i="11" s="1"/>
  <c r="F88" i="11"/>
  <c r="D89" i="11"/>
  <c r="E89" i="11" s="1"/>
  <c r="C76" i="4"/>
  <c r="B77" i="4"/>
  <c r="F197" i="4" l="1"/>
  <c r="C197" i="4"/>
  <c r="D197" i="4" s="1"/>
  <c r="E197" i="4" s="1"/>
  <c r="B198" i="4"/>
  <c r="B91" i="11"/>
  <c r="C91" i="11" s="1"/>
  <c r="D90" i="11"/>
  <c r="E90" i="11" s="1"/>
  <c r="F89" i="11"/>
  <c r="G89" i="11" s="1"/>
  <c r="G88" i="11"/>
  <c r="H88" i="11" s="1"/>
  <c r="I88" i="11" s="1"/>
  <c r="C77" i="4"/>
  <c r="B78" i="4"/>
  <c r="C198" i="4" l="1"/>
  <c r="D198" i="4" s="1"/>
  <c r="E198" i="4" s="1"/>
  <c r="B199" i="4"/>
  <c r="F198" i="4"/>
  <c r="H89" i="11"/>
  <c r="I89" i="11" s="1"/>
  <c r="B92" i="11"/>
  <c r="C92" i="11" s="1"/>
  <c r="F90" i="11"/>
  <c r="G90" i="11" s="1"/>
  <c r="D91" i="11"/>
  <c r="E91" i="11" s="1"/>
  <c r="C78" i="4"/>
  <c r="B79" i="4"/>
  <c r="F199" i="4" l="1"/>
  <c r="C199" i="4"/>
  <c r="D199" i="4" s="1"/>
  <c r="E199" i="4" s="1"/>
  <c r="B200" i="4"/>
  <c r="B93" i="11"/>
  <c r="C93" i="11" s="1"/>
  <c r="H90" i="11"/>
  <c r="I90" i="11" s="1"/>
  <c r="F91" i="11"/>
  <c r="G91" i="11" s="1"/>
  <c r="D92" i="11"/>
  <c r="E92" i="11" s="1"/>
  <c r="C79" i="4"/>
  <c r="B80" i="4"/>
  <c r="C200" i="4" l="1"/>
  <c r="D200" i="4" s="1"/>
  <c r="E200" i="4" s="1"/>
  <c r="F200" i="4"/>
  <c r="B201" i="4"/>
  <c r="B94" i="11"/>
  <c r="C94" i="11" s="1"/>
  <c r="F92" i="11"/>
  <c r="G92" i="11" s="1"/>
  <c r="H92" i="11" s="1"/>
  <c r="D93" i="11"/>
  <c r="E93" i="11" s="1"/>
  <c r="H91" i="11"/>
  <c r="I91" i="11" s="1"/>
  <c r="C80" i="4"/>
  <c r="B81" i="4"/>
  <c r="F201" i="4" l="1"/>
  <c r="C201" i="4"/>
  <c r="D201" i="4" s="1"/>
  <c r="E201" i="4" s="1"/>
  <c r="B202" i="4"/>
  <c r="I92" i="11"/>
  <c r="B95" i="11"/>
  <c r="C95" i="11" s="1"/>
  <c r="F93" i="11"/>
  <c r="G93" i="11" s="1"/>
  <c r="D94" i="11"/>
  <c r="E94" i="11" s="1"/>
  <c r="C81" i="4"/>
  <c r="B82" i="4"/>
  <c r="C202" i="4" l="1"/>
  <c r="D202" i="4" s="1"/>
  <c r="E202" i="4" s="1"/>
  <c r="F202" i="4"/>
  <c r="B203" i="4"/>
  <c r="B96" i="11"/>
  <c r="C96" i="11" s="1"/>
  <c r="F94" i="11"/>
  <c r="G94" i="11" s="1"/>
  <c r="D95" i="11"/>
  <c r="E95" i="11" s="1"/>
  <c r="H93" i="11"/>
  <c r="I93" i="11" s="1"/>
  <c r="C82" i="4"/>
  <c r="B83" i="4"/>
  <c r="F203" i="4" l="1"/>
  <c r="C203" i="4"/>
  <c r="D203" i="4" s="1"/>
  <c r="E203" i="4" s="1"/>
  <c r="B204" i="4"/>
  <c r="B97" i="11"/>
  <c r="C97" i="11" s="1"/>
  <c r="F95" i="11"/>
  <c r="G95" i="11" s="1"/>
  <c r="H95" i="11" s="1"/>
  <c r="I95" i="11" s="1"/>
  <c r="D96" i="11"/>
  <c r="E96" i="11" s="1"/>
  <c r="H94" i="11"/>
  <c r="I94" i="11" s="1"/>
  <c r="C83" i="4"/>
  <c r="B84" i="4"/>
  <c r="C204" i="4" l="1"/>
  <c r="D204" i="4" s="1"/>
  <c r="E204" i="4" s="1"/>
  <c r="F204" i="4"/>
  <c r="B205" i="4"/>
  <c r="B98" i="11"/>
  <c r="C98" i="11" s="1"/>
  <c r="F96" i="11"/>
  <c r="G96" i="11" s="1"/>
  <c r="D97" i="11"/>
  <c r="E97" i="11" s="1"/>
  <c r="C84" i="4"/>
  <c r="B85" i="4"/>
  <c r="C205" i="4" l="1"/>
  <c r="D205" i="4" s="1"/>
  <c r="E205" i="4" s="1"/>
  <c r="B206" i="4"/>
  <c r="F205" i="4"/>
  <c r="B99" i="11"/>
  <c r="C99" i="11" s="1"/>
  <c r="D98" i="11"/>
  <c r="E98" i="11" s="1"/>
  <c r="F97" i="11"/>
  <c r="G97" i="11" s="1"/>
  <c r="H96" i="11"/>
  <c r="I96" i="11" s="1"/>
  <c r="C85" i="4"/>
  <c r="B86" i="4"/>
  <c r="F206" i="4" l="1"/>
  <c r="C206" i="4"/>
  <c r="D206" i="4" s="1"/>
  <c r="E206" i="4" s="1"/>
  <c r="B207" i="4"/>
  <c r="B100" i="11"/>
  <c r="C100" i="11" s="1"/>
  <c r="D99" i="11"/>
  <c r="E99" i="11" s="1"/>
  <c r="F98" i="11"/>
  <c r="H97" i="11"/>
  <c r="I97" i="11" s="1"/>
  <c r="C86" i="4"/>
  <c r="B87" i="4"/>
  <c r="F207" i="4" l="1"/>
  <c r="B208" i="4"/>
  <c r="B209" i="4" s="1"/>
  <c r="B210" i="4" s="1"/>
  <c r="C207" i="4"/>
  <c r="D207" i="4" s="1"/>
  <c r="E207" i="4" s="1"/>
  <c r="B101" i="11"/>
  <c r="C101" i="11" s="1"/>
  <c r="G98" i="11"/>
  <c r="H98" i="11" s="1"/>
  <c r="I98" i="11" s="1"/>
  <c r="D100" i="11"/>
  <c r="E100" i="11" s="1"/>
  <c r="F99" i="11"/>
  <c r="G99" i="11" s="1"/>
  <c r="C87" i="4"/>
  <c r="B88" i="4"/>
  <c r="F209" i="4" l="1"/>
  <c r="C208" i="4"/>
  <c r="D208" i="4" s="1"/>
  <c r="E208" i="4" s="1"/>
  <c r="F208" i="4"/>
  <c r="C209" i="4"/>
  <c r="D209" i="4" s="1"/>
  <c r="E209" i="4" s="1"/>
  <c r="B102" i="11"/>
  <c r="C102" i="11" s="1"/>
  <c r="H99" i="11"/>
  <c r="I99" i="11" s="1"/>
  <c r="D101" i="11"/>
  <c r="E101" i="11" s="1"/>
  <c r="F100" i="11"/>
  <c r="C88" i="4"/>
  <c r="B89" i="4"/>
  <c r="F210" i="4"/>
  <c r="C210" i="4"/>
  <c r="D210" i="4" s="1"/>
  <c r="E210" i="4" s="1"/>
  <c r="B211" i="4"/>
  <c r="B103" i="11" l="1"/>
  <c r="C103" i="11" s="1"/>
  <c r="F101" i="11"/>
  <c r="G101" i="11" s="1"/>
  <c r="D102" i="11"/>
  <c r="E102" i="11" s="1"/>
  <c r="G100" i="11"/>
  <c r="H100" i="11" s="1"/>
  <c r="I100" i="11" s="1"/>
  <c r="C89" i="4"/>
  <c r="B90" i="4"/>
  <c r="F211" i="4"/>
  <c r="C211" i="4"/>
  <c r="D211" i="4" s="1"/>
  <c r="E211" i="4" s="1"/>
  <c r="B212" i="4"/>
  <c r="H101" i="11" l="1"/>
  <c r="I101" i="11" s="1"/>
  <c r="B104" i="11"/>
  <c r="C104" i="11" s="1"/>
  <c r="F102" i="11"/>
  <c r="G102" i="11" s="1"/>
  <c r="H102" i="11" s="1"/>
  <c r="D103" i="11"/>
  <c r="E103" i="11" s="1"/>
  <c r="C90" i="4"/>
  <c r="B91" i="4"/>
  <c r="F212" i="4"/>
  <c r="C212" i="4"/>
  <c r="D212" i="4" s="1"/>
  <c r="E212" i="4" s="1"/>
  <c r="B213" i="4"/>
  <c r="I102" i="11" l="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C107" i="8"/>
  <c r="D197" i="8"/>
  <c r="F197" i="8" s="1"/>
  <c r="C160" i="8"/>
  <c r="E182" i="8"/>
  <c r="C197" i="8" s="1"/>
  <c r="E197" i="8" s="1"/>
  <c r="I189" i="13"/>
  <c r="I184" i="13"/>
  <c r="I183" i="13"/>
  <c r="I182" i="13"/>
  <c r="C111" i="8"/>
  <c r="D134" i="8"/>
  <c r="C110" i="8"/>
  <c r="C134" i="8"/>
  <c r="C201" i="8" l="1"/>
  <c r="D201" i="8" s="1"/>
  <c r="E106" i="1"/>
  <c r="C127" i="8"/>
  <c r="B110" i="8"/>
  <c r="B111" i="8"/>
  <c r="C130" i="8"/>
  <c r="C128" i="13" l="1"/>
  <c r="C166" i="13" s="1"/>
  <c r="I134" i="13" l="1"/>
  <c r="I133" i="13"/>
  <c r="I135" i="13" s="1"/>
  <c r="C165" i="13"/>
  <c r="I131" i="13"/>
  <c r="I132" i="13" s="1"/>
  <c r="I136" i="13" s="1"/>
  <c r="C102" i="13"/>
  <c r="C105" i="13" s="1"/>
  <c r="F19" i="16"/>
  <c r="F41" i="16"/>
  <c r="C170" i="13"/>
  <c r="D243" i="13" s="1"/>
  <c r="C132" i="13" l="1"/>
  <c r="C133" i="13" s="1"/>
  <c r="C135" i="13" s="1"/>
  <c r="I138" i="13"/>
  <c r="C164" i="13"/>
  <c r="C169" i="13"/>
  <c r="F26" i="16"/>
  <c r="C104" i="13"/>
  <c r="C137" i="13" s="1"/>
  <c r="F9" i="16"/>
  <c r="C163" i="13"/>
  <c r="C243" i="13" s="1"/>
  <c r="I76" i="13"/>
  <c r="D265" i="13" l="1"/>
  <c r="E265" i="13" s="1"/>
  <c r="F265" i="13" s="1"/>
  <c r="C34" i="8"/>
  <c r="C39" i="8" s="1"/>
  <c r="C33" i="8"/>
  <c r="C136" i="13"/>
  <c r="C139" i="13" s="1"/>
  <c r="C140" i="13" s="1"/>
  <c r="C141" i="13" s="1"/>
  <c r="C103" i="13" s="1"/>
  <c r="C232" i="13" s="1"/>
  <c r="C134" i="13"/>
  <c r="D82" i="8" l="1"/>
  <c r="D104" i="8" s="1"/>
  <c r="C82" i="8"/>
  <c r="C104" i="8" s="1"/>
  <c r="D85" i="8"/>
  <c r="C85" i="8"/>
  <c r="I139" i="13"/>
  <c r="D240" i="13" s="1"/>
  <c r="C240" i="13"/>
  <c r="C106" i="8" l="1"/>
  <c r="C136" i="8"/>
  <c r="D106" i="8"/>
  <c r="D136" i="8"/>
  <c r="D127" i="8" l="1"/>
  <c r="B115" i="8"/>
  <c r="B127" i="8"/>
  <c r="B130" i="8"/>
  <c r="D130" i="8"/>
  <c r="B116" i="8"/>
  <c r="D168" i="8" l="1"/>
  <c r="C168" i="8"/>
  <c r="D170" i="8"/>
  <c r="D169" i="8" s="1"/>
  <c r="C170" i="8"/>
  <c r="E168" i="8"/>
  <c r="E170" i="8"/>
  <c r="E169" i="8" s="1"/>
  <c r="D163" i="8"/>
  <c r="E163" i="8"/>
  <c r="C163" i="8"/>
  <c r="C165" i="8"/>
  <c r="D165" i="8"/>
  <c r="D164" i="8" s="1"/>
  <c r="E165" i="8"/>
  <c r="E164" i="8" s="1"/>
  <c r="D194" i="8" l="1"/>
  <c r="F194" i="8" s="1"/>
  <c r="C169" i="8"/>
  <c r="C164" i="8"/>
  <c r="C194"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V22" authorId="0" shapeId="0">
      <text>
        <r>
          <rPr>
            <sz val="9"/>
            <color indexed="81"/>
            <rFont val="Tahoma"/>
            <family val="2"/>
          </rPr>
          <t>Lag</t>
        </r>
      </text>
    </comment>
    <comment ref="F23" authorId="0" shapeId="0">
      <text>
        <r>
          <rPr>
            <sz val="9"/>
            <color indexed="81"/>
            <rFont val="Tahoma"/>
            <family val="2"/>
          </rPr>
          <t>Lag</t>
        </r>
      </text>
    </comment>
    <comment ref="E24"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<sst xmlns="http://schemas.openxmlformats.org/spreadsheetml/2006/main" count="2948" uniqueCount="1876">
  <si>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</si>
  <si>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</si>
  <si>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</si>
  <si>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</si>
  <si>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</si>
  <si>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</si>
  <si>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</si>
  <si>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</si>
  <si>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</si>
  <si>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</si>
  <si>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</si>
  <si>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</si>
  <si>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</si>
  <si>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</si>
  <si>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</si>
  <si>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</si>
  <si>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</si>
  <si>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</si>
  <si>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</si>
  <si>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</si>
  <si>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</si>
  <si>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</si>
  <si>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</si>
  <si>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</si>
  <si>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</si>
  <si>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</si>
  <si>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</si>
  <si>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</si>
  <si>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</si>
  <si>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</si>
  <si>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</si>
  <si>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</si>
  <si>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</si>
  <si>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</si>
  <si>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</si>
  <si>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</si>
  <si>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</si>
  <si>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</si>
  <si>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</si>
  <si>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</si>
  <si>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</si>
  <si>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</si>
  <si>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</si>
  <si>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</si>
  <si>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</si>
  <si>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</si>
  <si>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</si>
  <si>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</si>
  <si>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</si>
  <si>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</si>
  <si>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</si>
  <si>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</si>
  <si>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</si>
  <si>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</si>
  <si>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</si>
  <si>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</si>
  <si>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</si>
  <si>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</si>
  <si>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</si>
  <si>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</si>
  <si>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</si>
  <si>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</si>
  <si>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</si>
  <si>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</si>
  <si>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</si>
  <si>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</si>
  <si>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</si>
  <si>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</si>
  <si>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</si>
  <si>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</si>
  <si>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</si>
  <si>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</si>
  <si>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</si>
  <si>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</si>
  <si>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</si>
  <si>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</si>
  <si>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</si>
  <si>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</si>
  <si>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</si>
  <si>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</si>
  <si>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</si>
  <si>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</si>
  <si>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</si>
  <si>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</si>
  <si>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</si>
  <si>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</si>
  <si>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</si>
  <si>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</si>
  <si>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</si>
  <si>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</si>
  <si>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</si>
  <si>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</si>
  <si>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</si>
  <si>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</si>
  <si>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</si>
  <si>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</si>
  <si>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</si>
  <si>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</si>
  <si>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</si>
  <si>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</si>
  <si>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</si>
  <si>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</si>
  <si>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</si>
  <si>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</si>
  <si>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</si>
  <si>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</si>
  <si>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</si>
  <si>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</si>
  <si>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</si>
  <si>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</si>
  <si>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</si>
  <si>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</si>
  <si>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</si>
  <si>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</si>
  <si>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</si>
  <si>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</si>
  <si>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</si>
  <si>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</si>
  <si>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</si>
  <si>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</si>
  <si>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</si>
  <si>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</si>
  <si>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</si>
  <si>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</si>
  <si>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</si>
  <si>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</si>
  <si>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</si>
  <si>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</si>
  <si>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</si>
  <si>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</si>
  <si>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</si>
  <si>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</si>
  <si>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</si>
  <si>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</si>
  <si>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</si>
  <si>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</si>
  <si>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</si>
  <si>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</si>
  <si>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</si>
  <si>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</si>
  <si>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</si>
  <si>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</si>
  <si>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</si>
  <si>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</si>
  <si>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</si>
  <si>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</si>
  <si>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</si>
  <si>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</si>
  <si>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</si>
  <si>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</si>
  <si>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</si>
  <si>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</si>
  <si>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</si>
  <si>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</si>
  <si>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</si>
  <si>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</si>
  <si>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</si>
  <si>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</si>
  <si>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</si>
  <si>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</si>
  <si>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</si>
  <si>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</si>
  <si>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</si>
  <si>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</si>
  <si>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</si>
  <si>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</si>
  <si>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</si>
  <si>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</si>
  <si>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</si>
  <si>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</si>
  <si>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</si>
  <si>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</si>
  <si>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</si>
  <si>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</si>
  <si>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</si>
  <si>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</si>
  <si>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</si>
  <si>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</si>
  <si>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</si>
  <si>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</si>
  <si>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</si>
  <si>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</si>
  <si>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</si>
  <si>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</si>
  <si>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</si>
  <si>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</si>
  <si>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</si>
  <si>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</si>
  <si>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</si>
  <si>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</si>
  <si>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</si>
  <si>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</si>
  <si>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</si>
  <si>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</si>
  <si>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</si>
  <si>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</si>
  <si>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</si>
  <si>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</si>
  <si>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</si>
  <si>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</si>
  <si>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</si>
  <si>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</si>
  <si>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</si>
  <si>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</si>
  <si>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</si>
  <si>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</si>
  <si>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</si>
  <si>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</si>
  <si>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</si>
  <si>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</si>
  <si>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</si>
  <si>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</si>
  <si>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</si>
  <si>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</si>
  <si>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</si>
  <si>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</si>
  <si>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</si>
  <si>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</si>
  <si>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</si>
  <si>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</si>
  <si>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</si>
  <si>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</si>
  <si>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</si>
  <si>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</si>
  <si>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</si>
  <si>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</si>
  <si>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</si>
  <si>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</si>
  <si>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</si>
  <si>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</si>
  <si>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</si>
  <si>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</si>
  <si>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</si>
  <si>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</si>
  <si>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</si>
  <si>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</si>
  <si>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</si>
  <si>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</si>
  <si>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</si>
  <si>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</si>
  <si>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</si>
  <si>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</si>
  <si>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</si>
  <si>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</si>
  <si>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</si>
  <si>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</si>
  <si>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</si>
  <si>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</si>
  <si>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</si>
  <si>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</si>
  <si>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</si>
  <si>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</si>
  <si>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</si>
  <si>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</si>
  <si>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</si>
  <si>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</si>
  <si>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</si>
  <si>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</si>
  <si>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</si>
  <si>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</si>
  <si>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</si>
  <si>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</si>
  <si>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</si>
  <si>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</si>
  <si>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</si>
  <si>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</si>
  <si>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</si>
  <si>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</si>
  <si>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</si>
  <si>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</si>
  <si>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</si>
  <si>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</si>
  <si>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</si>
  <si>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</si>
  <si>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</si>
  <si>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</si>
  <si>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</si>
  <si>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</si>
  <si>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</si>
  <si>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</si>
  <si>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</si>
  <si>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</si>
  <si>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</si>
  <si>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</si>
  <si>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</si>
  <si>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</si>
  <si>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</si>
  <si>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</si>
  <si>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</si>
  <si>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</si>
  <si>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</si>
  <si>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</si>
  <si>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</si>
  <si>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</si>
  <si>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</si>
  <si>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</si>
  <si>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</si>
  <si>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</si>
  <si>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</si>
  <si>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</si>
  <si>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</si>
  <si>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</si>
  <si>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</si>
  <si>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</si>
  <si>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</si>
  <si>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</si>
  <si>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</si>
  <si>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</si>
  <si>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</si>
  <si>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</si>
  <si>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</si>
  <si>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</si>
  <si>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</si>
  <si>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</si>
  <si>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</si>
  <si>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</si>
  <si>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</si>
  <si>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</si>
  <si>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</si>
  <si>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</si>
  <si>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</si>
  <si>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</si>
  <si>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</si>
  <si>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</si>
  <si>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</si>
  <si>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</si>
  <si>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</si>
  <si>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</si>
  <si>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</si>
  <si>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</si>
  <si>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</si>
  <si>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</si>
  <si>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</si>
  <si>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</si>
  <si>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</si>
  <si>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</si>
  <si>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</si>
  <si>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</si>
  <si>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</si>
  <si>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</si>
  <si>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</si>
  <si>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</si>
  <si>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</si>
  <si>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</si>
  <si>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</si>
  <si>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</si>
  <si>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</si>
  <si>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</si>
  <si>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</si>
  <si>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</si>
  <si>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</si>
  <si>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</si>
  <si>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</si>
  <si>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</si>
  <si>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</si>
  <si>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</si>
  <si>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</si>
  <si>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</si>
  <si>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</si>
  <si>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</si>
  <si>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</si>
  <si>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</si>
  <si>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</si>
  <si>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</si>
  <si>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</si>
  <si>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</si>
  <si>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</si>
  <si>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</si>
  <si>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</si>
  <si>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</si>
  <si>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</si>
  <si>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</si>
  <si>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</si>
  <si>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</si>
  <si>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</si>
  <si>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</si>
  <si>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</si>
  <si>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</si>
  <si>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</si>
  <si>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</si>
  <si>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</si>
  <si>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</si>
  <si>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</si>
  <si>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</si>
  <si>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</si>
  <si>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</si>
  <si>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</si>
  <si>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</si>
  <si>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</si>
  <si>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</si>
  <si>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</si>
  <si>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</si>
  <si>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</si>
  <si>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</si>
  <si>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</si>
  <si>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</si>
  <si>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</si>
  <si>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</si>
  <si>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</si>
  <si>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</si>
  <si>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</si>
  <si>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</si>
  <si>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</si>
  <si>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</si>
  <si>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</si>
  <si>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</si>
  <si>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</si>
  <si>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</si>
  <si>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</si>
  <si>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</si>
  <si>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</si>
  <si>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</si>
  <si>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</si>
  <si>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</si>
  <si>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</si>
  <si>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</si>
  <si>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</si>
  <si>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</si>
  <si>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</si>
  <si>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</si>
  <si>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</si>
  <si>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</si>
  <si>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</si>
  <si>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</si>
  <si>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</si>
  <si>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</si>
  <si>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</si>
  <si>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</si>
  <si>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</si>
  <si>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</si>
  <si>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</si>
  <si>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</si>
  <si>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</si>
  <si>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</si>
  <si>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</si>
  <si>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</si>
  <si>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</si>
  <si>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</si>
  <si>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</si>
  <si>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</si>
  <si>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</si>
  <si>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</si>
  <si>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</si>
  <si>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</si>
  <si>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</si>
  <si>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</si>
  <si>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</si>
  <si>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</si>
  <si>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</si>
  <si>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</si>
  <si>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</si>
  <si>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</si>
  <si>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</si>
  <si>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</si>
  <si>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</si>
  <si>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</si>
  <si>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</si>
  <si>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</si>
  <si>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</si>
  <si>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</si>
  <si>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</si>
  <si>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</si>
  <si>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</si>
  <si>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</si>
  <si>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</si>
  <si>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</si>
  <si>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</si>
  <si>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</si>
  <si>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</si>
  <si>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</si>
  <si>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</si>
  <si>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</si>
  <si>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</si>
  <si>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</si>
  <si>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</si>
  <si>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</si>
  <si>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</si>
  <si>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</si>
  <si>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</si>
  <si>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</si>
  <si>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</si>
  <si>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</si>
  <si>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</si>
  <si>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</si>
  <si>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</si>
  <si>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</si>
  <si>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</si>
  <si>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</si>
  <si>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</si>
  <si>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</si>
  <si>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</si>
  <si>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</si>
  <si>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</si>
  <si>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</si>
  <si>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</si>
  <si>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</si>
  <si>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</si>
  <si>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</si>
  <si>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</si>
  <si>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</si>
  <si>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</si>
  <si>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</si>
  <si>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</si>
  <si>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</si>
  <si>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</si>
  <si>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</si>
  <si>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</si>
  <si>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</si>
  <si>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</si>
  <si>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</si>
  <si>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</si>
  <si>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</si>
  <si>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</si>
  <si>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</si>
  <si>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</si>
  <si>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</si>
  <si>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</si>
  <si>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</si>
  <si>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</si>
  <si>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</si>
  <si>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</si>
  <si>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</si>
  <si>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</si>
  <si>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</si>
  <si>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</si>
  <si>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</si>
  <si>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</si>
  <si>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</si>
  <si>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</si>
  <si>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</si>
  <si>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</si>
  <si>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</si>
  <si>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</si>
  <si>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</si>
  <si>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</si>
  <si>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</si>
  <si>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</si>
  <si>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</si>
  <si>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</si>
  <si>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</si>
  <si>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</si>
  <si>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</si>
  <si>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</si>
  <si>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</si>
  <si>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</si>
  <si>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</si>
  <si>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</si>
  <si>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</si>
  <si>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</si>
  <si>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</si>
  <si>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</si>
  <si>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</si>
  <si>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</si>
  <si>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</si>
  <si>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</si>
  <si>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</si>
  <si>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</si>
  <si>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</si>
  <si>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</si>
  <si>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</si>
  <si>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</si>
  <si>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</si>
  <si>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</si>
  <si>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</si>
  <si>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</si>
  <si>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</si>
  <si>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</si>
  <si>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</si>
  <si>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</si>
  <si>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</si>
  <si>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</si>
  <si>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</si>
  <si>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</si>
  <si>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</si>
  <si>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</si>
  <si>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</si>
  <si>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</si>
  <si>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</si>
  <si>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</si>
  <si>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</si>
  <si>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</si>
  <si>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</si>
  <si>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</si>
  <si>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</si>
  <si>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</si>
  <si>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</si>
  <si>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</si>
  <si>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</si>
  <si>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</si>
  <si>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</si>
  <si>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</si>
  <si>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</si>
  <si>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</si>
  <si>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</si>
  <si>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</si>
  <si>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</si>
  <si>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</si>
  <si>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</si>
  <si>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</si>
  <si>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</si>
  <si>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</si>
  <si>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</si>
  <si>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</si>
  <si>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</si>
  <si>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</si>
  <si>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</si>
  <si>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</si>
  <si>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</si>
  <si>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</si>
  <si>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</si>
  <si>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</si>
  <si>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</si>
  <si>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</si>
  <si>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</si>
  <si>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</si>
  <si>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</si>
  <si>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</si>
  <si>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</si>
  <si>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</si>
  <si>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</si>
  <si>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</si>
  <si>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</si>
  <si>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</si>
  <si>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</si>
  <si>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</si>
  <si>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</si>
  <si>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</si>
  <si>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</si>
  <si>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</si>
  <si>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</si>
  <si>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</si>
  <si>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</si>
  <si>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</si>
  <si>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</si>
  <si>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</si>
  <si>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</si>
  <si>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</si>
  <si>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</si>
  <si>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</si>
  <si>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</si>
  <si>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</si>
  <si>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</si>
  <si>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</si>
  <si>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</si>
  <si>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</si>
  <si>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</si>
  <si>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</si>
  <si>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</si>
  <si>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</si>
  <si>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</si>
  <si>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</si>
  <si>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</si>
  <si>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</si>
  <si>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</si>
  <si>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</si>
  <si>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</si>
  <si>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</si>
  <si>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</si>
  <si>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</si>
  <si>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</si>
  <si>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</si>
  <si>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</si>
  <si>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</si>
  <si>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</si>
  <si>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</si>
  <si>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</si>
  <si>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</si>
  <si>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</si>
  <si>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</si>
  <si>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</si>
  <si>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</si>
  <si>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</si>
  <si>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</si>
  <si>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</si>
  <si>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</si>
  <si>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</si>
  <si>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</si>
  <si>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</si>
  <si>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</si>
  <si>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</si>
  <si>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</si>
  <si>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</si>
  <si>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</si>
  <si>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</si>
  <si>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</si>
  <si>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</si>
  <si>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</si>
  <si>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</si>
  <si>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</si>
  <si>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</si>
  <si>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</si>
  <si>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</si>
  <si>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</si>
  <si>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</si>
  <si>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</si>
  <si>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</si>
  <si>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</si>
  <si>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</si>
  <si>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</si>
  <si>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</si>
  <si>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</si>
  <si>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</si>
  <si>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</si>
  <si>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</si>
  <si>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</si>
  <si>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</si>
  <si>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</si>
  <si>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</si>
  <si>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</si>
  <si>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</si>
  <si>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</si>
  <si>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</si>
  <si>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</si>
  <si>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</si>
  <si>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</si>
  <si>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</si>
  <si>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</si>
  <si>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</si>
  <si>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</si>
  <si>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</si>
  <si>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</si>
  <si>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</si>
  <si>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</si>
  <si>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</si>
  <si>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</si>
  <si>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</si>
  <si>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</si>
  <si>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</si>
  <si>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</si>
  <si>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</si>
  <si>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</si>
  <si>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</si>
  <si>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</si>
  <si>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</si>
  <si>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</si>
  <si>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</si>
  <si>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</si>
  <si>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</si>
  <si>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</si>
  <si>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</si>
  <si>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</si>
  <si>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</si>
  <si>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</si>
  <si>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</si>
  <si>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</si>
  <si>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</si>
  <si>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</si>
  <si>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</si>
  <si>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</si>
  <si>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</si>
  <si>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</si>
  <si>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</si>
  <si>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</si>
  <si>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</si>
  <si>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</si>
  <si>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</si>
  <si>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</si>
  <si>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</si>
  <si>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</si>
  <si>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</si>
  <si>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</si>
  <si>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</si>
  <si>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</si>
  <si>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</si>
  <si>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</si>
  <si>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</si>
  <si>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</si>
  <si>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</si>
  <si>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</si>
  <si>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</si>
  <si>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</si>
  <si>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</si>
  <si>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</si>
  <si>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</si>
  <si>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</si>
  <si>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</si>
  <si>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</si>
  <si>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</si>
  <si>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</si>
  <si>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</si>
  <si>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</si>
  <si>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</si>
  <si>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</si>
  <si>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</si>
  <si>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</si>
  <si>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</si>
  <si>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</si>
  <si>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</si>
  <si>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</si>
  <si>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</si>
  <si>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</si>
  <si>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</si>
  <si>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</si>
  <si>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</si>
  <si>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</si>
  <si>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</si>
  <si>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</si>
  <si>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</si>
  <si>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</si>
  <si>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</si>
  <si>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</si>
  <si>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</si>
  <si>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</si>
  <si>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</si>
  <si>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</si>
  <si>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</si>
  <si>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</si>
  <si>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</si>
  <si>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</si>
  <si>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</si>
  <si>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</si>
  <si>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</si>
  <si>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</si>
  <si>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</si>
  <si>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</si>
  <si>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</si>
  <si>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</si>
  <si>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</si>
  <si>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</si>
  <si>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</si>
  <si>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</si>
  <si>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</si>
  <si>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</si>
  <si>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</si>
  <si>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</si>
  <si>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</si>
  <si>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</si>
  <si>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</si>
  <si>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</si>
  <si>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</si>
  <si>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</si>
  <si>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</si>
  <si>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</si>
  <si>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</si>
  <si>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</si>
  <si>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</si>
  <si>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</si>
  <si>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</si>
  <si>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</si>
  <si>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</si>
  <si>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</si>
  <si>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</si>
  <si>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</si>
  <si>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</si>
  <si>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</si>
  <si>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</si>
  <si>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</si>
  <si>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</si>
  <si>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</si>
  <si>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</si>
  <si>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</si>
  <si>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</si>
  <si>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</si>
  <si>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</si>
  <si>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</si>
  <si>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</si>
  <si>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</si>
  <si>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</si>
  <si>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</si>
  <si>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</si>
  <si>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</si>
  <si>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</si>
  <si>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</si>
  <si>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</si>
  <si>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</si>
  <si>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</si>
  <si>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</si>
  <si>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</si>
  <si>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</si>
  <si>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</si>
  <si>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</si>
  <si>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</si>
  <si>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</si>
  <si>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</si>
  <si>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</si>
  <si>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</si>
  <si>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</si>
  <si>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</si>
  <si>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</si>
  <si>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</si>
  <si>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</si>
  <si>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</si>
  <si>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</si>
  <si>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</si>
  <si>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</si>
  <si>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</si>
  <si>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</si>
  <si>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</si>
  <si>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</si>
  <si>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</si>
  <si>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</si>
  <si>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</si>
  <si>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</si>
  <si>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</si>
  <si>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</si>
  <si>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</si>
  <si>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</si>
  <si>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</si>
  <si>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</si>
  <si>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</si>
  <si>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</si>
  <si>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</si>
  <si>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</si>
  <si>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</si>
  <si>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</si>
  <si>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</si>
  <si>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</si>
  <si>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</si>
  <si>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</si>
  <si>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</si>
  <si>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</si>
  <si>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</si>
  <si>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</si>
  <si>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</si>
  <si>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</si>
  <si>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</si>
  <si>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</si>
  <si>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</si>
  <si>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</si>
  <si>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</si>
  <si>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</si>
  <si>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</si>
  <si>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</si>
  <si>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</si>
  <si>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</si>
  <si>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</si>
  <si>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</si>
  <si>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</si>
  <si>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</si>
  <si>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</si>
  <si>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</si>
  <si>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</si>
  <si>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</si>
  <si>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</si>
  <si>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</si>
  <si>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</si>
  <si>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</si>
  <si>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</si>
  <si>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</si>
  <si>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</si>
  <si>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</si>
  <si>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</si>
  <si>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</si>
  <si>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</si>
  <si>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</si>
  <si>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</si>
  <si>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</si>
  <si>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</si>
  <si>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</si>
  <si>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</si>
  <si>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</si>
  <si>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</si>
  <si>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</si>
  <si>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</si>
  <si>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</si>
  <si>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</si>
  <si>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</si>
  <si>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</si>
  <si>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</si>
  <si>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</si>
  <si>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</si>
  <si>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</si>
  <si>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</si>
  <si>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</si>
  <si>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</si>
  <si>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</si>
  <si>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</si>
  <si>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</si>
  <si>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</si>
  <si>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</si>
  <si>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</si>
  <si>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</si>
  <si>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</si>
  <si>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</si>
  <si>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</si>
  <si>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</si>
  <si>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</si>
  <si>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</si>
  <si>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</si>
  <si>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</si>
  <si>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</si>
  <si>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</si>
  <si>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</si>
  <si>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</si>
  <si>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</si>
  <si>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</si>
  <si>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</si>
  <si>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</si>
  <si>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</si>
  <si>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</si>
  <si>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</si>
  <si>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</si>
  <si>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</si>
  <si>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</si>
  <si>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</si>
  <si>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</si>
  <si>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</si>
  <si>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</si>
  <si>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</si>
  <si>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</si>
  <si>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</si>
  <si>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</si>
  <si>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</si>
  <si>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</si>
  <si>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</si>
  <si>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</si>
  <si>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</si>
  <si>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</si>
  <si>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</si>
  <si>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</si>
  <si>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</si>
  <si>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</si>
  <si>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</si>
  <si>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</si>
  <si>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</si>
  <si>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</si>
  <si>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</si>
  <si>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</si>
  <si>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</si>
  <si>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</si>
  <si>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</si>
  <si>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</si>
  <si>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</si>
  <si>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</si>
  <si>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</si>
  <si>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</si>
  <si>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</si>
  <si>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</si>
  <si>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</si>
  <si>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</si>
  <si>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</si>
  <si>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</si>
  <si>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</si>
  <si>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</si>
  <si>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</si>
  <si>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</si>
  <si>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</si>
  <si>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</si>
  <si>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</si>
  <si>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</si>
  <si>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</si>
  <si>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</si>
  <si>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</si>
  <si>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</si>
  <si>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</si>
  <si>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</si>
  <si>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</si>
  <si>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</si>
  <si>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</si>
  <si>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</si>
  <si>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</si>
  <si>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</si>
  <si>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</si>
  <si>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</si>
  <si>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</si>
  <si>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</si>
  <si>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</si>
  <si>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</si>
  <si>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</si>
  <si>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</si>
  <si>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</si>
  <si>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</si>
  <si>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</si>
  <si>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</si>
  <si>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</si>
  <si>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</si>
  <si>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</si>
  <si>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</si>
  <si>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</si>
  <si>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</si>
  <si>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</si>
  <si>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</si>
  <si>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</si>
  <si>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</si>
  <si>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</si>
  <si>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</si>
  <si>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</si>
  <si>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</si>
  <si>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</si>
  <si>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</si>
  <si>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</si>
  <si>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</si>
  <si>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</si>
  <si>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</si>
  <si>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</si>
  <si>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</si>
  <si>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</si>
  <si>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</si>
  <si>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</si>
  <si>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</si>
  <si>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</si>
  <si>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</si>
  <si>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</si>
  <si>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</si>
  <si>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</si>
  <si>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</si>
  <si>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</si>
  <si>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</si>
  <si>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</si>
  <si>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</si>
  <si>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</si>
  <si>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</si>
  <si>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</si>
  <si>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</si>
  <si>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</si>
  <si>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</si>
  <si>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</si>
  <si>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</si>
  <si>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</si>
  <si>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</si>
  <si>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</si>
  <si>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</si>
  <si>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</si>
  <si>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</si>
  <si>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</si>
  <si>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</si>
  <si>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</si>
  <si>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</si>
  <si>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</si>
  <si>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</si>
  <si>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</si>
  <si>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</si>
  <si>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</si>
  <si>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</si>
  <si>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</si>
  <si>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</si>
  <si>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</si>
  <si>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</si>
  <si>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</si>
  <si>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</si>
  <si>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</si>
  <si>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</si>
  <si>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</si>
  <si>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</si>
  <si>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</si>
  <si>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</si>
  <si>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</si>
  <si>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</si>
  <si>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</si>
  <si>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</si>
  <si>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</si>
  <si>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</si>
  <si>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</si>
  <si>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</si>
  <si>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</si>
  <si>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</si>
  <si>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</si>
  <si>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</si>
  <si>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</si>
  <si>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</si>
  <si>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</si>
  <si>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</si>
  <si>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</si>
  <si>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</si>
  <si>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</si>
  <si>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</si>
  <si>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</si>
  <si>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</si>
  <si>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</si>
  <si>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</si>
  <si>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</si>
  <si>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</si>
  <si>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</si>
  <si>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</si>
  <si>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</si>
  <si>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</si>
  <si>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</si>
  <si>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</si>
  <si>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</si>
  <si>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</si>
  <si>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</si>
  <si>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</si>
  <si>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</si>
  <si>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</si>
  <si>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</si>
  <si>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</si>
  <si>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</si>
  <si>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</si>
  <si>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</si>
  <si>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</si>
  <si>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</si>
  <si>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</si>
  <si>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</si>
  <si>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</si>
  <si>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</si>
  <si>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</si>
  <si>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</si>
  <si>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</si>
  <si>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</si>
  <si>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</si>
  <si>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</si>
  <si>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</si>
  <si>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</si>
  <si>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</si>
  <si>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</si>
  <si>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</si>
  <si>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</si>
  <si>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</si>
  <si>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</si>
  <si>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</si>
  <si>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</si>
  <si>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</si>
  <si>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</si>
  <si>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</si>
  <si>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</si>
  <si>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</si>
  <si>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</si>
  <si>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</si>
  <si>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</si>
  <si>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</si>
  <si>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</si>
  <si>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</si>
  <si>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</si>
  <si>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</si>
  <si>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</si>
  <si>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</si>
  <si>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</si>
  <si>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</si>
  <si>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</si>
  <si>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</si>
  <si>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</si>
  <si>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</si>
  <si>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</si>
  <si>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</si>
  <si>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</si>
  <si>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</si>
  <si>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</si>
  <si>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</si>
  <si>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</si>
  <si>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</si>
  <si>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</si>
  <si>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</si>
  <si>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</si>
  <si>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</si>
  <si>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</si>
  <si>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</si>
  <si>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</si>
  <si>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</si>
  <si>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</si>
  <si>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</si>
  <si>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</si>
  <si>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</si>
  <si>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</si>
  <si>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</si>
  <si>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</si>
  <si>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</si>
  <si>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</si>
  <si>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</si>
  <si>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</si>
  <si>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</si>
  <si>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</si>
  <si>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</si>
  <si>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</si>
  <si>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</si>
  <si>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</si>
  <si>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</si>
  <si>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</si>
  <si>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</si>
  <si>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</si>
  <si>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</si>
  <si>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</si>
  <si>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</si>
  <si>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</si>
  <si>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</si>
  <si>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</si>
  <si>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</si>
  <si>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</si>
  <si>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</si>
  <si>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</si>
  <si>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</si>
  <si>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</si>
  <si>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</si>
  <si>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</si>
  <si>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</si>
  <si>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</si>
  <si>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</si>
  <si>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</si>
  <si>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</si>
  <si>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</si>
  <si>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</si>
  <si>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</si>
  <si>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</si>
  <si>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</si>
  <si>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</si>
  <si>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</si>
  <si>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</si>
  <si>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</si>
  <si>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</si>
  <si>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</si>
  <si>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</si>
  <si>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</si>
  <si>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</si>
  <si>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</si>
  <si>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</si>
  <si>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</si>
  <si>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</si>
  <si>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</si>
  <si>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</si>
  <si>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</si>
  <si>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</si>
  <si>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</si>
  <si>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</si>
  <si>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</si>
  <si>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</si>
  <si>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</si>
  <si>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</si>
  <si>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</si>
  <si>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</si>
  <si>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</si>
  <si>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</si>
  <si>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</si>
  <si>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</si>
  <si>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</si>
  <si>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</si>
  <si>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</si>
  <si>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</si>
  <si>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</si>
  <si>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</si>
  <si>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</si>
  <si>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</si>
  <si>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</si>
  <si>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</si>
  <si>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</si>
  <si>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</si>
  <si>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</si>
  <si>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</si>
  <si>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</si>
  <si>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</si>
  <si>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</si>
  <si>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</si>
  <si>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</si>
  <si>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</si>
  <si>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</si>
  <si>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</si>
  <si>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</si>
  <si>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</si>
  <si>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</si>
  <si>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</si>
  <si>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</si>
  <si>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</si>
  <si>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</si>
  <si>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</si>
  <si>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</si>
  <si>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</si>
  <si>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</si>
  <si>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</si>
  <si>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</si>
  <si>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</si>
  <si>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</si>
  <si>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</si>
  <si>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</si>
  <si>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</si>
  <si>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</si>
  <si>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</si>
  <si>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</si>
  <si>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</si>
  <si>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</si>
  <si>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</si>
  <si>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</si>
  <si>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</si>
  <si>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</si>
  <si>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</si>
  <si>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</si>
  <si>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</si>
  <si>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</si>
  <si>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</si>
  <si>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</si>
  <si>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</si>
  <si>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</si>
  <si>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</si>
  <si>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</si>
  <si>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</si>
  <si>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</si>
  <si>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</si>
  <si>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</si>
  <si>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</si>
  <si>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</si>
  <si>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</si>
  <si>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</si>
  <si>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</si>
  <si>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</si>
  <si>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</si>
  <si>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</si>
  <si>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</si>
  <si>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</si>
  <si>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</si>
  <si>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</si>
  <si>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</si>
  <si>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</si>
  <si>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</si>
  <si>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</si>
  <si>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</si>
  <si>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</si>
  <si>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</si>
  <si>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</si>
  <si>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</si>
  <si>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</si>
  <si>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</si>
  <si>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</si>
  <si>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</si>
  <si>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</si>
  <si>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</si>
  <si>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</si>
  <si>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</si>
  <si>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</si>
  <si>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</si>
  <si>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</si>
  <si>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</si>
  <si>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</si>
  <si>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</si>
  <si>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</si>
  <si>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</si>
  <si>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</si>
  <si>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</si>
  <si>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</si>
  <si>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</si>
  <si>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</si>
  <si>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</si>
  <si>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</si>
  <si>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</si>
  <si>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</si>
  <si>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</si>
  <si>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</si>
  <si>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</si>
  <si>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</si>
  <si>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</si>
  <si>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</si>
  <si>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</si>
  <si>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</si>
  <si>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</si>
  <si>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</si>
  <si>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</si>
  <si>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</si>
  <si>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</si>
  <si>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</si>
  <si>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</si>
  <si>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</si>
  <si>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</si>
  <si>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</si>
  <si>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</si>
  <si>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</si>
  <si>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</si>
  <si>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</si>
  <si>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</si>
  <si>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</si>
  <si>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</si>
  <si>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</si>
  <si>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</si>
  <si>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</si>
  <si>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</si>
  <si>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</si>
  <si>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</si>
  <si>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</si>
  <si>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</si>
  <si>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</si>
  <si>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</si>
  <si>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</si>
  <si>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</si>
  <si>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</si>
  <si>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</si>
  <si>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</si>
  <si>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</si>
  <si>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</si>
  <si>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</si>
  <si>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</si>
  <si>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</si>
  <si>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</si>
  <si>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</si>
  <si>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</si>
  <si>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</si>
  <si>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</si>
  <si>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</si>
  <si>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</si>
  <si>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</si>
  <si>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</si>
  <si>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</si>
  <si>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</si>
  <si>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</si>
  <si>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</si>
  <si>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</si>
  <si>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</si>
  <si>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</si>
  <si>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</si>
  <si>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</si>
  <si>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</si>
  <si>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</si>
  <si>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</si>
  <si>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</si>
  <si>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</si>
  <si>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</si>
  <si>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</si>
  <si>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</si>
  <si>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</si>
  <si>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</si>
  <si>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</si>
  <si>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</si>
  <si>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</si>
  <si>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</si>
  <si>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</si>
  <si>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</si>
  <si>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</si>
  <si>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</si>
  <si>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</si>
  <si>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</si>
  <si>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</si>
  <si>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</si>
  <si>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</si>
  <si>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</si>
  <si>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</si>
  <si>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</si>
  <si>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</si>
  <si>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</si>
  <si>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</si>
  <si>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</si>
  <si>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</si>
  <si>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</si>
  <si>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</si>
  <si>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</si>
  <si>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</si>
  <si>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</si>
  <si>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</si>
  <si>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</si>
  <si>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</si>
  <si>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</si>
  <si>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</si>
  <si>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</si>
  <si>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</si>
  <si>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</si>
  <si>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</si>
  <si>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</si>
  <si>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</si>
  <si>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</si>
  <si>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</si>
  <si>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</si>
  <si>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</si>
  <si>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</si>
  <si>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</si>
  <si>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</si>
  <si>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</si>
  <si>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</si>
  <si>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</si>
  <si>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</si>
  <si>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</si>
  <si>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</si>
  <si>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</si>
  <si>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</si>
  <si>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</si>
  <si>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</si>
  <si>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</si>
  <si>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</si>
  <si>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</si>
  <si>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</si>
  <si>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</si>
  <si>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</si>
  <si>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</si>
  <si>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</si>
  <si>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</si>
  <si>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</si>
  <si>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</si>
  <si>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</si>
  <si>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</si>
  <si>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</si>
  <si>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</si>
  <si>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</si>
  <si>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</si>
  <si>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</si>
  <si>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</si>
  <si>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</si>
  <si>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</si>
  <si>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</si>
  <si>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</si>
  <si>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</si>
  <si>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</si>
  <si>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</si>
  <si>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</si>
  <si>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</si>
  <si>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</si>
  <si>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</si>
  <si>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</si>
  <si>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</si>
  <si>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</si>
  <si>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</si>
  <si>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</si>
  <si>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</si>
  <si>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</si>
  <si>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</si>
  <si>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</si>
  <si>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</si>
  <si>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</si>
  <si>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</si>
  <si>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</si>
  <si>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</si>
  <si>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</si>
  <si>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</si>
  <si>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</si>
  <si>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</si>
  <si>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</si>
  <si>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</si>
  <si>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</si>
  <si>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</si>
  <si>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</si>
  <si>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</si>
  <si>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</si>
  <si>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</si>
  <si>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</si>
  <si>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</si>
  <si>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</si>
  <si>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</si>
  <si>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</si>
  <si>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</si>
  <si>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</si>
  <si>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</si>
  <si>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</si>
  <si>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</si>
  <si>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</si>
  <si>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</si>
  <si>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</si>
  <si>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</si>
  <si>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</si>
  <si>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</si>
  <si>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</si>
  <si>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</si>
  <si>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</si>
  <si>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</si>
  <si>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</si>
  <si>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</si>
  <si>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</si>
  <si>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</si>
  <si>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</si>
  <si>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</si>
  <si>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</si>
  <si>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</si>
  <si>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</si>
  <si>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</si>
  <si>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</si>
  <si>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</si>
  <si>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</si>
  <si>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</si>
  <si>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</si>
  <si>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</si>
  <si>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</si>
  <si>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</si>
  <si>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</si>
  <si>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</si>
  <si>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</si>
  <si>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</si>
  <si>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</si>
  <si>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</si>
  <si>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</si>
  <si>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</si>
  <si>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</si>
  <si>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</si>
  <si>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</si>
  <si>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</si>
  <si>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</si>
  <si>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</si>
  <si>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</si>
  <si>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</si>
  <si>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</si>
  <si>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</si>
  <si>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</si>
  <si>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</si>
  <si>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</si>
  <si>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</si>
  <si>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</si>
  <si>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</si>
  <si>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</si>
  <si>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</si>
  <si>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</si>
  <si>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</si>
  <si>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</si>
  <si>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</si>
  <si>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</si>
  <si>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</si>
  <si>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</si>
  <si>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</si>
  <si>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</si>
  <si>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</si>
  <si>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</si>
  <si>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</si>
  <si>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</si>
  <si>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</si>
  <si>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</si>
  <si>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</si>
  <si>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</si>
  <si>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</si>
  <si>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</si>
  <si>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</si>
  <si>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</si>
  <si>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</si>
  <si>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</si>
  <si>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</si>
  <si>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</si>
  <si>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</si>
  <si>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</si>
  <si>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</si>
  <si>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</si>
  <si>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</si>
  <si>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</si>
  <si>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</si>
  <si>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</si>
  <si>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</si>
  <si>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</si>
  <si>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</si>
  <si>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</si>
  <si>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</si>
  <si>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</si>
  <si>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</si>
  <si>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</si>
  <si>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</si>
  <si>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</si>
  <si>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</si>
  <si>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</si>
  <si>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</si>
  <si>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</si>
  <si>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</si>
  <si>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</si>
  <si>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</si>
  <si>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</si>
  <si>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</si>
  <si>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</si>
  <si>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</si>
  <si>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</si>
  <si>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</si>
  <si>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</si>
  <si>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</si>
  <si>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</si>
  <si>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</si>
  <si>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</si>
  <si>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</si>
  <si>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</si>
  <si>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</si>
  <si>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</si>
  <si>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</si>
  <si>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</si>
  <si>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</si>
  <si>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</si>
  <si>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</si>
  <si>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</si>
  <si>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</si>
  <si>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</si>
  <si>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</si>
  <si>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</si>
  <si>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</si>
  <si>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</si>
  <si>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</si>
  <si>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</si>
  <si>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</si>
  <si>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</si>
  <si>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</si>
  <si>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</si>
  <si>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</si>
  <si>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</si>
  <si>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</si>
  <si>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</si>
  <si>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</si>
  <si>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</si>
  <si>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</si>
  <si>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</si>
  <si>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</si>
  <si>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</si>
  <si>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</si>
  <si>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</si>
  <si>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</si>
  <si>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</si>
  <si>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</si>
  <si>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</si>
  <si>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</si>
  <si>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</si>
  <si>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</si>
  <si>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</si>
  <si>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</si>
  <si>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</si>
  <si>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</si>
  <si>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</si>
  <si>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</si>
  <si>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</si>
  <si>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</si>
  <si>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</si>
  <si>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</si>
  <si>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</si>
  <si>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</si>
  <si>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</si>
  <si>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</si>
  <si>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</si>
  <si>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</si>
  <si>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</si>
  <si>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</si>
  <si>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</si>
  <si>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</si>
  <si>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</si>
  <si>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</si>
  <si>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</si>
  <si>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</si>
  <si>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</si>
  <si>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</si>
  <si>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</si>
  <si>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</si>
  <si>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</si>
  <si>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</si>
  <si>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</si>
  <si>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</si>
  <si>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</si>
  <si>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</si>
  <si>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</si>
  <si>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</si>
  <si>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</si>
  <si>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</si>
  <si>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</si>
  <si>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</si>
  <si>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</si>
  <si>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</si>
  <si>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</si>
  <si>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</si>
  <si>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</si>
  <si>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</si>
  <si>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</si>
  <si>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</si>
  <si>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</si>
  <si>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</si>
  <si>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</si>
  <si>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</si>
  <si>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</si>
  <si>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</si>
  <si>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</si>
  <si>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</si>
  <si>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</si>
  <si>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</si>
  <si>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</si>
  <si>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</si>
  <si>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</si>
  <si>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</si>
  <si>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</si>
  <si>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</si>
  <si>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</si>
  <si>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</si>
  <si>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</si>
  <si>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</si>
  <si>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</si>
  <si>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</si>
  <si>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</si>
  <si>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</si>
  <si>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</si>
  <si>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</si>
  <si>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</si>
  <si>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</si>
  <si>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</si>
  <si>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</si>
  <si>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</si>
  <si>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</si>
  <si>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</si>
  <si>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</si>
  <si>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</si>
  <si>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</si>
  <si>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</si>
  <si>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</si>
  <si>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</si>
  <si>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</si>
  <si>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</si>
  <si>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</si>
  <si>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</si>
  <si>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</si>
  <si>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Status OK.  Number of databases per volume is 4</t>
  </si>
  <si>
    <t>Vol 1</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</si>
  <si>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</si>
  <si>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</si>
  <si>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E15-1</t>
  </si>
  <si>
    <t>E15-3</t>
  </si>
  <si>
    <t>E15-2</t>
  </si>
  <si>
    <t>E15-4</t>
  </si>
  <si>
    <t>DAG-nn</t>
  </si>
  <si>
    <t>DAG-nn-DB</t>
  </si>
  <si>
    <t>DAG-nn-DB1</t>
  </si>
  <si>
    <t>DAG-nn-DB2</t>
  </si>
  <si>
    <t>DAG-nn-DB3</t>
  </si>
  <si>
    <t>DAG-nn-DB4</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</si>
</sst>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25" fillId="0" borderId="122" xfId="0" applyFont="1" applyBorder="1" applyAlignment="1">
      <alignment horizontal="center" vertical="center" textRotation="90"/>
    </xf>
    <xf numFmtId="0" fontId="0" fillId="0" borderId="0" xfId="0" applyBorder="1"/>
    <xf numFmtId="0" fontId="0" fillId="0" borderId="12" xfId="0" applyBorder="1"/>
    <xf numFmtId="0" fontId="42" fillId="0" borderId="0" xfId="0" applyFont="1" applyBorder="1"/>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58" borderId="0" xfId="0" applyFont="1" applyFill="1" applyBorder="1" applyAlignment="1">
      <alignment horizontal="center" vertical="center" wrapText="1"/>
    </xf>
    <xf numFmtId="0" fontId="25" fillId="0" borderId="0" xfId="0" quotePrefix="1" applyFont="1" applyBorder="1"/>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33653288"/>
        <c:axId val="433652896"/>
      </c:lineChart>
      <c:catAx>
        <c:axId val="4336532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52896"/>
        <c:crosses val="autoZero"/>
        <c:auto val="1"/>
        <c:lblAlgn val="ctr"/>
        <c:lblOffset val="100"/>
        <c:noMultiLvlLbl val="0"/>
      </c:catAx>
      <c:valAx>
        <c:axId val="43365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53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33650936"/>
        <c:axId val="433651328"/>
      </c:lineChart>
      <c:catAx>
        <c:axId val="43365093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51328"/>
        <c:crosses val="autoZero"/>
        <c:auto val="1"/>
        <c:lblAlgn val="ctr"/>
        <c:lblOffset val="100"/>
        <c:noMultiLvlLbl val="0"/>
      </c:catAx>
      <c:valAx>
        <c:axId val="433651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50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33652504"/>
        <c:axId val="433647800"/>
      </c:lineChart>
      <c:catAx>
        <c:axId val="43365250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47800"/>
        <c:crosses val="autoZero"/>
        <c:auto val="1"/>
        <c:lblAlgn val="ctr"/>
        <c:lblOffset val="100"/>
        <c:noMultiLvlLbl val="0"/>
      </c:catAx>
      <c:valAx>
        <c:axId val="433647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52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99150912"/>
        <c:axId val="499151304"/>
      </c:lineChart>
      <c:catAx>
        <c:axId val="4991509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51304"/>
        <c:crosses val="autoZero"/>
        <c:auto val="1"/>
        <c:lblAlgn val="ctr"/>
        <c:lblOffset val="100"/>
        <c:noMultiLvlLbl val="0"/>
      </c:catAx>
      <c:valAx>
        <c:axId val="499151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5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169" name="Server 1" hidden="1">
              <a:extLst>
                <a:ext uri="{63B3BB69-23CF-44E3-9099-C40C66FF867C}">
                  <a14:compatExt spid="_x0000_s294169"/>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170" name="Server 2" hidden="1">
              <a:extLst>
                <a:ext uri="{63B3BB69-23CF-44E3-9099-C40C66FF867C}">
                  <a14:compatExt spid="_x0000_s29417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294171" name="WAN Link 1" hidden="1">
              <a:extLst>
                <a:ext uri="{63B3BB69-23CF-44E3-9099-C40C66FF867C}">
                  <a14:compatExt spid="_x0000_s294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172" name="Server 3" hidden="1">
              <a:extLst>
                <a:ext uri="{63B3BB69-23CF-44E3-9099-C40C66FF867C}">
                  <a14:compatExt spid="_x0000_s29417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173" name="Server 4" hidden="1">
              <a:extLst>
                <a:ext uri="{63B3BB69-23CF-44E3-9099-C40C66FF867C}">
                  <a14:compatExt spid="_x0000_s294173"/>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294174" name="WAN Link 2" hidden="1">
              <a:extLst>
                <a:ext uri="{63B3BB69-23CF-44E3-9099-C40C66FF867C}">
                  <a14:compatExt spid="_x0000_s294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4.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zoomScale="85" zoomScaleNormal="85" workbookViewId="0">
      <selection activeCell="C27" sqref="C27"/>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1</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1739</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1809</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1810</v>
      </c>
      <c r="C51" s="1023" t="s">
        <v>249</v>
      </c>
      <c r="D51" s="1019"/>
      <c r="E51" s="1019"/>
      <c r="F51" s="1020"/>
    </row>
    <row r="52" spans="1:10" s="628" customFormat="1" x14ac:dyDescent="0.2">
      <c r="A52" s="170"/>
      <c r="B52" s="1024" t="s">
        <v>1813</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250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1828</v>
      </c>
      <c r="C59" s="1058">
        <v>2048</v>
      </c>
      <c r="D59" s="643"/>
      <c r="E59" s="257" t="s">
        <v>1828</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1828</v>
      </c>
      <c r="C78" s="1058">
        <v>0</v>
      </c>
      <c r="D78" s="643"/>
      <c r="E78" s="257" t="s">
        <v>1828</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1840</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0.02</v>
      </c>
      <c r="D145" s="187"/>
      <c r="E145" s="8" t="s">
        <v>160</v>
      </c>
      <c r="F145" s="252">
        <v>50</v>
      </c>
      <c r="G145" s="25"/>
    </row>
    <row r="146" spans="1:7" x14ac:dyDescent="0.2">
      <c r="A146" s="170"/>
      <c r="B146" s="344">
        <v>2</v>
      </c>
      <c r="C146" s="426">
        <v>0.02</v>
      </c>
      <c r="D146" s="187"/>
      <c r="E146" s="8"/>
      <c r="F146" s="17"/>
      <c r="G146" s="12"/>
    </row>
    <row r="147" spans="1:7" x14ac:dyDescent="0.2">
      <c r="A147" s="170"/>
      <c r="B147" s="344">
        <v>3</v>
      </c>
      <c r="C147" s="426">
        <v>0.02</v>
      </c>
      <c r="D147" s="187"/>
      <c r="E147" s="26"/>
      <c r="F147" s="19"/>
      <c r="G147" s="12"/>
    </row>
    <row r="148" spans="1:7" x14ac:dyDescent="0.2">
      <c r="A148" s="170"/>
      <c r="B148" s="344">
        <v>4</v>
      </c>
      <c r="C148" s="426">
        <v>0.03</v>
      </c>
      <c r="D148" s="187"/>
      <c r="E148" s="27"/>
      <c r="F148" s="19"/>
    </row>
    <row r="149" spans="1:7" x14ac:dyDescent="0.2">
      <c r="A149" s="170"/>
      <c r="B149" s="344">
        <v>5</v>
      </c>
      <c r="C149" s="426">
        <v>0.02</v>
      </c>
      <c r="D149" s="187"/>
      <c r="E149" s="18"/>
      <c r="F149" s="19"/>
    </row>
    <row r="150" spans="1:7" x14ac:dyDescent="0.2">
      <c r="A150" s="170"/>
      <c r="B150" s="344">
        <v>6</v>
      </c>
      <c r="C150" s="426">
        <v>0.05</v>
      </c>
      <c r="D150" s="187"/>
      <c r="E150" s="13"/>
      <c r="F150" s="17"/>
    </row>
    <row r="151" spans="1:7" x14ac:dyDescent="0.2">
      <c r="A151" s="170"/>
      <c r="B151" s="344">
        <v>7</v>
      </c>
      <c r="C151" s="426">
        <v>0.04</v>
      </c>
      <c r="D151" s="187"/>
      <c r="E151" s="13"/>
      <c r="F151" s="17"/>
    </row>
    <row r="152" spans="1:7" x14ac:dyDescent="0.2">
      <c r="A152" s="170"/>
      <c r="B152" s="344">
        <v>8</v>
      </c>
      <c r="C152" s="426">
        <v>0.08</v>
      </c>
      <c r="D152" s="187"/>
      <c r="E152" s="13"/>
      <c r="F152" s="17"/>
    </row>
    <row r="153" spans="1:7" x14ac:dyDescent="0.2">
      <c r="A153" s="170"/>
      <c r="B153" s="344">
        <v>9</v>
      </c>
      <c r="C153" s="426">
        <v>0.08</v>
      </c>
      <c r="D153" s="187"/>
      <c r="E153" s="26"/>
      <c r="F153" s="19"/>
      <c r="G153" s="28"/>
    </row>
    <row r="154" spans="1:7" x14ac:dyDescent="0.2">
      <c r="A154" s="170"/>
      <c r="B154" s="344">
        <v>10</v>
      </c>
      <c r="C154" s="426">
        <v>0.09</v>
      </c>
      <c r="D154" s="187"/>
      <c r="E154" s="26"/>
      <c r="F154" s="19"/>
    </row>
    <row r="155" spans="1:7" x14ac:dyDescent="0.2">
      <c r="A155" s="170"/>
      <c r="B155" s="344">
        <v>11</v>
      </c>
      <c r="C155" s="426">
        <v>0.06</v>
      </c>
      <c r="D155" s="187"/>
      <c r="E155" s="26"/>
      <c r="F155" s="19"/>
    </row>
    <row r="156" spans="1:7" x14ac:dyDescent="0.2">
      <c r="A156" s="170"/>
      <c r="B156" s="344">
        <v>12</v>
      </c>
      <c r="C156" s="426">
        <v>7.0000000000000007E-2</v>
      </c>
      <c r="D156" s="187"/>
      <c r="E156" s="26"/>
      <c r="F156" s="19"/>
    </row>
    <row r="157" spans="1:7" x14ac:dyDescent="0.2">
      <c r="A157" s="170"/>
      <c r="B157" s="344">
        <v>13</v>
      </c>
      <c r="C157" s="426">
        <v>7.0000000000000007E-2</v>
      </c>
      <c r="D157" s="187"/>
      <c r="E157" s="26"/>
      <c r="F157" s="19"/>
    </row>
    <row r="158" spans="1:7" x14ac:dyDescent="0.2">
      <c r="A158" s="170"/>
      <c r="B158" s="344">
        <v>14</v>
      </c>
      <c r="C158" s="426">
        <v>7.0000000000000007E-2</v>
      </c>
      <c r="D158" s="187"/>
      <c r="E158" s="26"/>
      <c r="F158" s="19"/>
    </row>
    <row r="159" spans="1:7" x14ac:dyDescent="0.2">
      <c r="A159" s="170"/>
      <c r="B159" s="344">
        <v>15</v>
      </c>
      <c r="C159" s="426">
        <v>0.05</v>
      </c>
      <c r="D159" s="187"/>
      <c r="E159" s="26"/>
      <c r="F159" s="19"/>
    </row>
    <row r="160" spans="1:7" x14ac:dyDescent="0.2">
      <c r="A160" s="170"/>
      <c r="B160" s="344">
        <v>16</v>
      </c>
      <c r="C160" s="426">
        <v>0.06</v>
      </c>
      <c r="D160" s="187"/>
      <c r="E160" s="26"/>
      <c r="F160" s="19"/>
    </row>
    <row r="161" spans="1:10" x14ac:dyDescent="0.2">
      <c r="A161" s="170"/>
      <c r="B161" s="344">
        <v>17</v>
      </c>
      <c r="C161" s="426">
        <v>0.03</v>
      </c>
      <c r="D161" s="187"/>
      <c r="E161" s="26"/>
      <c r="F161" s="19"/>
    </row>
    <row r="162" spans="1:10" x14ac:dyDescent="0.2">
      <c r="A162" s="170"/>
      <c r="B162" s="344">
        <v>18</v>
      </c>
      <c r="C162" s="426">
        <v>0.02</v>
      </c>
      <c r="D162" s="187"/>
      <c r="E162" s="26"/>
      <c r="F162" s="19"/>
    </row>
    <row r="163" spans="1:10" x14ac:dyDescent="0.2">
      <c r="A163" s="170"/>
      <c r="B163" s="344">
        <v>19</v>
      </c>
      <c r="C163" s="426">
        <v>0.04</v>
      </c>
      <c r="D163" s="187"/>
      <c r="E163" s="26"/>
      <c r="F163" s="19"/>
    </row>
    <row r="164" spans="1:10" x14ac:dyDescent="0.2">
      <c r="A164" s="170"/>
      <c r="B164" s="344">
        <v>20</v>
      </c>
      <c r="C164" s="426">
        <v>0.01</v>
      </c>
      <c r="D164" s="187"/>
      <c r="E164" s="26"/>
      <c r="F164" s="19"/>
    </row>
    <row r="165" spans="1:10" x14ac:dyDescent="0.2">
      <c r="A165" s="170"/>
      <c r="B165" s="344">
        <v>21</v>
      </c>
      <c r="C165" s="426">
        <v>0.02</v>
      </c>
      <c r="D165" s="187"/>
      <c r="E165" s="26"/>
      <c r="F165" s="19"/>
    </row>
    <row r="166" spans="1:10" x14ac:dyDescent="0.2">
      <c r="A166" s="170"/>
      <c r="B166" s="344">
        <v>22</v>
      </c>
      <c r="C166" s="426">
        <v>0.02</v>
      </c>
      <c r="D166" s="187"/>
      <c r="E166" s="26"/>
      <c r="F166" s="19"/>
    </row>
    <row r="167" spans="1:10" x14ac:dyDescent="0.2">
      <c r="A167" s="170"/>
      <c r="B167" s="344">
        <v>23</v>
      </c>
      <c r="C167" s="426">
        <v>0.01</v>
      </c>
      <c r="D167" s="187"/>
      <c r="E167" s="26"/>
      <c r="F167" s="19"/>
    </row>
    <row r="168" spans="1:10" x14ac:dyDescent="0.2">
      <c r="A168" s="170"/>
      <c r="B168" s="344">
        <v>24</v>
      </c>
      <c r="C168" s="426">
        <v>0.02</v>
      </c>
      <c r="D168" s="187"/>
      <c r="E168" s="26"/>
      <c r="F168" s="19"/>
    </row>
    <row r="169" spans="1:10" x14ac:dyDescent="0.2">
      <c r="A169" s="170"/>
      <c r="B169" s="776" t="s">
        <v>489</v>
      </c>
      <c r="C169" s="777">
        <f>SUBTOTAL(9,Table12[Logs Generated / Hour Percentage])</f>
        <v>1.0000000000000004</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1866</v>
      </c>
      <c r="D175" s="783"/>
      <c r="E175" s="784" t="s">
        <v>1870</v>
      </c>
      <c r="F175" s="822" t="s">
        <v>1871</v>
      </c>
      <c r="J175" s="796"/>
    </row>
    <row r="176" spans="1:10" ht="15.75" thickBot="1" x14ac:dyDescent="0.25">
      <c r="B176" s="787" t="str">
        <f>GetFailureDomain(2)</f>
        <v>Server 2 Primary Site Failure Domain 1</v>
      </c>
      <c r="C176" s="825" t="s">
        <v>1867</v>
      </c>
      <c r="D176" s="783"/>
      <c r="E176" s="1021" t="s">
        <v>808</v>
      </c>
      <c r="F176" s="1022" t="s">
        <v>1292</v>
      </c>
      <c r="J176" s="796"/>
    </row>
    <row r="177" spans="1:10" x14ac:dyDescent="0.2">
      <c r="B177" s="787" t="str">
        <f>GetFailureDomain(3)</f>
        <v>Server 3 Secondary Site Failure Domain 1</v>
      </c>
      <c r="C177" s="824" t="s">
        <v>1868</v>
      </c>
      <c r="D177" s="783"/>
      <c r="E177" s="26"/>
      <c r="F177" s="19"/>
      <c r="J177" s="796"/>
    </row>
    <row r="178" spans="1:10" x14ac:dyDescent="0.2">
      <c r="B178" s="787" t="str">
        <f>GetFailureDomain(4)</f>
        <v>Server 4 Secondary Site Failure Domain 1</v>
      </c>
      <c r="C178" s="824" t="s">
        <v>1869</v>
      </c>
      <c r="D178" s="783"/>
      <c r="F178" s="421"/>
      <c r="J178" s="796"/>
    </row>
    <row r="179" spans="1:10" x14ac:dyDescent="0.2">
      <c r="B179" s="787" t="str">
        <f>GetFailureDomain(5)</f>
        <v>Server 5</v>
      </c>
      <c r="C179" s="825" t="s">
        <v>1725</v>
      </c>
      <c r="D179" s="783"/>
      <c r="F179" s="421"/>
      <c r="J179" s="796"/>
    </row>
    <row r="180" spans="1:10" x14ac:dyDescent="0.2">
      <c r="B180" s="787" t="str">
        <f>GetFailureDomain(6)</f>
        <v>Server 6</v>
      </c>
      <c r="C180" s="824" t="s">
        <v>1726</v>
      </c>
      <c r="D180" s="783"/>
      <c r="F180" s="421"/>
      <c r="J180" s="796"/>
    </row>
    <row r="181" spans="1:10" x14ac:dyDescent="0.2">
      <c r="A181" s="13"/>
      <c r="B181" s="787" t="str">
        <f>GetFailureDomain(7)</f>
        <v>Server 7</v>
      </c>
      <c r="C181" s="824" t="s">
        <v>1727</v>
      </c>
      <c r="D181" s="783"/>
      <c r="F181" s="17"/>
      <c r="J181" s="796"/>
    </row>
    <row r="182" spans="1:10" x14ac:dyDescent="0.2">
      <c r="A182" s="13"/>
      <c r="B182" s="787" t="str">
        <f>GetFailureDomain(8)</f>
        <v>Server 8</v>
      </c>
      <c r="C182" s="825" t="s">
        <v>1728</v>
      </c>
      <c r="D182" s="783"/>
      <c r="F182" s="17"/>
    </row>
    <row r="183" spans="1:10" x14ac:dyDescent="0.2">
      <c r="A183" s="13"/>
      <c r="B183" s="787" t="str">
        <f>GetFailureDomain(9)</f>
        <v>Server 9</v>
      </c>
      <c r="C183" s="824" t="s">
        <v>1729</v>
      </c>
      <c r="D183" s="783"/>
      <c r="F183" s="17"/>
    </row>
    <row r="184" spans="1:10" x14ac:dyDescent="0.2">
      <c r="A184" s="13"/>
      <c r="B184" s="787" t="str">
        <f>GetFailureDomain(10)</f>
        <v>Server 10</v>
      </c>
      <c r="C184" s="824" t="s">
        <v>1730</v>
      </c>
      <c r="D184" s="783"/>
      <c r="F184" s="17"/>
    </row>
    <row r="185" spans="1:10" x14ac:dyDescent="0.2">
      <c r="A185" s="13"/>
      <c r="B185" s="787" t="str">
        <f>GetFailureDomain(11)</f>
        <v>Server 11</v>
      </c>
      <c r="C185" s="825" t="s">
        <v>1731</v>
      </c>
      <c r="D185" s="783"/>
      <c r="F185" s="17"/>
    </row>
    <row r="186" spans="1:10" x14ac:dyDescent="0.2">
      <c r="A186" s="13"/>
      <c r="B186" s="787" t="str">
        <f>GetFailureDomain(12)</f>
        <v>Server 12</v>
      </c>
      <c r="C186" s="824" t="s">
        <v>1732</v>
      </c>
      <c r="D186" s="783"/>
      <c r="F186" s="17"/>
    </row>
    <row r="187" spans="1:10" x14ac:dyDescent="0.2">
      <c r="B187" s="787" t="str">
        <f>GetFailureDomain(13)</f>
        <v>Server 13</v>
      </c>
      <c r="C187" s="824" t="s">
        <v>1733</v>
      </c>
      <c r="D187" s="783"/>
      <c r="F187" s="17"/>
    </row>
    <row r="188" spans="1:10" x14ac:dyDescent="0.2">
      <c r="B188" s="787" t="str">
        <f>GetFailureDomain(14)</f>
        <v>Server 14</v>
      </c>
      <c r="C188" s="825" t="s">
        <v>1734</v>
      </c>
      <c r="D188" s="783"/>
      <c r="F188" s="17"/>
    </row>
    <row r="189" spans="1:10" x14ac:dyDescent="0.2">
      <c r="B189" s="787" t="str">
        <f>GetFailureDomain(15)</f>
        <v>Server 15</v>
      </c>
      <c r="C189" s="824" t="s">
        <v>1735</v>
      </c>
      <c r="D189" s="783"/>
      <c r="F189" s="17"/>
    </row>
    <row r="190" spans="1:10" x14ac:dyDescent="0.2">
      <c r="B190" s="787" t="str">
        <f>GetFailureDomain(16)</f>
        <v>Server 16</v>
      </c>
      <c r="C190" s="824" t="s">
        <v>1736</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2</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2</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2</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2</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2</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2</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210"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250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1828</v>
      </c>
      <c r="C19" s="518">
        <f>IF(calcTier1MBX&lt;&gt;0,Tier1InitialMBXSize,0)</f>
        <v>2048</v>
      </c>
      <c r="D19" s="643"/>
      <c r="E19" s="25"/>
      <c r="F19" s="25"/>
      <c r="G19" s="25"/>
      <c r="H19" s="1063" t="s">
        <v>1828</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33.5</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20.099999999999998</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13.4</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1828</v>
      </c>
      <c r="C45" s="518">
        <f>IF(calcTier3MBX&lt;&gt;0,Tier3InitialMBXSize,0)</f>
        <v>0</v>
      </c>
      <c r="D45" s="328"/>
      <c r="E45" s="5"/>
      <c r="F45" s="5"/>
      <c r="G45" s="5"/>
      <c r="H45" s="1063" t="s">
        <v>1828</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100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40.199999999999996</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40.199999999999996</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24.119999999999997</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16.079999999999998</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8.0399999999999991</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4</v>
      </c>
      <c r="D76" s="25"/>
      <c r="E76" s="917"/>
      <c r="F76" s="5"/>
      <c r="G76" s="5"/>
      <c r="H76" s="25" t="s">
        <v>396</v>
      </c>
      <c r="I76" s="24">
        <f>IF(HAOption="Yes",EnvPeakIOPS/RecNumDBs*(1-aggRWRatio)*0.5*0.1*calcNumDBMemSizing,0)</f>
        <v>0.40199999999999997</v>
      </c>
      <c r="J76" s="16"/>
    </row>
    <row r="77" spans="1:10" ht="15" hidden="1" customHeight="1" outlineLevel="1" x14ac:dyDescent="0.2">
      <c r="A77" s="17"/>
      <c r="B77" s="684" t="s">
        <v>745</v>
      </c>
      <c r="C77" s="686">
        <f>CEILING(calcNumDBs,PERMUT(calcNumAMBXServersDC1,calcNumDBCopyInPDC+IF(calcDedLaggedCopyServer="No",calcNumLagCopyInPDC,0)))</f>
        <v>4</v>
      </c>
      <c r="D77" s="25"/>
      <c r="E77" s="5"/>
      <c r="F77" s="5"/>
      <c r="G77" s="5"/>
      <c r="H77" s="12" t="s">
        <v>542</v>
      </c>
      <c r="I77" s="30">
        <f>EnvPeakIOPS/RecNumDBs</f>
        <v>10.049999999999999</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4</v>
      </c>
      <c r="D78" s="25"/>
      <c r="E78" s="917"/>
      <c r="F78" s="5"/>
      <c r="G78" s="5"/>
      <c r="H78" s="25" t="s">
        <v>543</v>
      </c>
      <c r="I78" s="30">
        <f>((I77*(1-aggRWRatio))*IF(HAOption="Yes",0.5,0.4))+IF(HAOption="Yes",EnvPeakIOPS/RecNumDBs*(1-aggRWRatio)*0.5*0.1,0)</f>
        <v>2.2109999999999999</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4</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2</v>
      </c>
      <c r="D85" s="25"/>
      <c r="E85" s="5"/>
      <c r="F85" s="5"/>
      <c r="G85" s="5"/>
      <c r="H85" s="350" t="s">
        <v>659</v>
      </c>
      <c r="I85" s="439">
        <f>numMBXServers</f>
        <v>2</v>
      </c>
    </row>
    <row r="86" spans="1:9" s="642" customFormat="1" ht="15" hidden="1" customHeight="1" outlineLevel="1" x14ac:dyDescent="0.2">
      <c r="A86" s="17"/>
      <c r="B86" s="25" t="s">
        <v>668</v>
      </c>
      <c r="C86" s="24">
        <f>IF(AND(HAOption="Yes",SiteResilienceEnabled="Yes",SRModel="Active/Active (Single DAG)"),RecNumDBs-RecNumDBsDC1,0)</f>
        <v>2</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4</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2</v>
      </c>
    </row>
    <row r="88" spans="1:9" s="642" customFormat="1" ht="15" hidden="1" customHeight="1" outlineLevel="1" x14ac:dyDescent="0.2">
      <c r="A88" s="17"/>
      <c r="B88" s="25" t="s">
        <v>704</v>
      </c>
      <c r="C88" s="24">
        <f>IF(AND(HAOption="Yes",SiteResilienceEnabled="Yes",SRModel="Active/Active (Single DAG)"),RecNumDBsDC2*calcNumDBCopyInPDC,0)</f>
        <v>4</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2</v>
      </c>
      <c r="D89" s="25"/>
      <c r="E89" s="643"/>
      <c r="F89" s="643"/>
      <c r="G89" s="643"/>
      <c r="H89" s="628" t="s">
        <v>660</v>
      </c>
      <c r="I89" s="439">
        <f>calcNumAMBXServersDC1+calcNumAMBXServersDC2</f>
        <v>4</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4</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4</v>
      </c>
    </row>
    <row r="91" spans="1:9" s="642" customFormat="1" ht="15" hidden="1" customHeight="1" outlineLevel="1" x14ac:dyDescent="0.2">
      <c r="A91" s="17"/>
      <c r="B91" s="25" t="s">
        <v>708</v>
      </c>
      <c r="C91" s="13">
        <f>IF(AND(HAOption="Yes",SiteResilienceEnabled="Yes",SRModel="Active/Active (Single DAG)",numDBCopiesSDC&gt;0),calcNumDBCopyInSDC*RecNumDBsDC2,0)</f>
        <v>2</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4</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1</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250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250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2</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250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2</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2</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2</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49.152000000000001</v>
      </c>
      <c r="D103" s="25"/>
      <c r="E103" s="643"/>
      <c r="F103" s="5"/>
      <c r="G103" s="5"/>
      <c r="I103" s="17"/>
    </row>
    <row r="104" spans="1:10" ht="15" hidden="1" customHeight="1" outlineLevel="1" x14ac:dyDescent="0.2">
      <c r="A104" s="17"/>
      <c r="B104" s="803" t="s">
        <v>1837</v>
      </c>
      <c r="C104" s="30">
        <f>((NumTier1MBXDB*Tier1MBXSize/Tier1AvgMessageSize)+(NumTier2MBXDB*Tier2MBXSize/Tier2AvgMessageSize)+(NumTier3MBXDB*Tier3MBXSize/Tier3AvgMessageSize)+(NumTier4MBXDB*Tier4MBXSize/Tier4AvgMessageSize))*calcNumDBMemSizing</f>
        <v>18150</v>
      </c>
      <c r="D104" s="25"/>
      <c r="E104" s="5"/>
      <c r="F104" s="5"/>
      <c r="G104" s="5"/>
      <c r="H104" s="423"/>
      <c r="I104" s="445"/>
    </row>
    <row r="105" spans="1:10" s="642" customFormat="1" ht="15" hidden="1" customHeight="1" outlineLevel="1" x14ac:dyDescent="0.2">
      <c r="A105" s="17"/>
      <c r="B105" s="1074" t="s">
        <v>1838</v>
      </c>
      <c r="C105" s="439">
        <f>((NumTier1MBXDB*Tier1MBXSize/Tier1AvgMessageSize)+(NumTier2MBXDB*Tier2MBXSize/Tier2AvgMessageSize)+(NumTier3MBXDB*Tier3MBXSize/Tier3AvgMessageSize)+(NumTier4MBXDB*Tier4MBXSize/Tier4AvgMessageSize))*(TotNumDBCopiesServer-calcNumDBMemSizing)</f>
        <v>18150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2</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1</v>
      </c>
      <c r="D114" s="190">
        <f>IF(AND(HAOption="Yes",SiteResilienceEnabled="Yes",SRModel="Active/Active (Single DAG)"),IF(RecNumDBsDC2=1,RecNumDBsDC2,RecNumDBsDC2/numActMBXSvrsPerDC),"--")</f>
        <v>1</v>
      </c>
      <c r="F114" s="643"/>
      <c r="G114" s="643"/>
      <c r="H114" s="13" t="s">
        <v>664</v>
      </c>
      <c r="I114" s="655">
        <f>IF(HAOption="Yes",IF(SiteResilienceEnabled="Yes",IF(OR(SRModel="Active/Passive",SRModel="Active/Active (Multiple DAGs)"),calcTotNumHACopiesDC1inDC1,calcTotNumHACopiesDC1inDC1+calcNumHAPassCopiesDC2inDC1),calcTotNumHACopiesDC1inDC1),0)</f>
        <v>6</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2</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2</v>
      </c>
      <c r="F115" s="643"/>
      <c r="G115" s="643"/>
      <c r="H115" s="13" t="s">
        <v>665</v>
      </c>
      <c r="I115" s="655">
        <f>IF(AND(HAOption="Yes",SiteResilienceEnabled="Yes"),IF(OR(SRModel="Active/Passive",SRModel="Active/Active (Multiple DAGs)"),calcNumHAPassCopiesDC1inDC2,calcTotNumHACopiesDC2inDC2+calcNumHAPassCopiesDC1inDC2),0)</f>
        <v>6</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2</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2</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t="str">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19" s="643"/>
      <c r="G119" s="643"/>
      <c r="I119" s="17"/>
    </row>
    <row r="120" spans="1:11" s="642" customFormat="1" ht="15" hidden="1" customHeight="1" outlineLevel="1" x14ac:dyDescent="0.2">
      <c r="A120" s="13"/>
      <c r="B120" s="579" t="s">
        <v>604</v>
      </c>
      <c r="C120" s="540" t="str">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1</v>
      </c>
      <c r="F120" s="643"/>
      <c r="G120" s="643"/>
      <c r="I120" s="17"/>
    </row>
    <row r="121" spans="1:11" s="642" customFormat="1" ht="15" hidden="1" customHeight="1" outlineLevel="1" x14ac:dyDescent="0.2">
      <c r="A121" s="13"/>
      <c r="B121" s="410" t="s">
        <v>639</v>
      </c>
      <c r="C121" s="540" t="str">
        <f>IF(calcNumActiveDBsPDCSFinSDC="--","--",RecNumDBsDC1-(IF(ROUNDUP((calcNumActiveDBs/(numActMBXSvrsPerDC-1)),0)*2&gt;=RecNumDBsDC1,RecNumDBsDC1,ROUNDUP((calcNumActiveDBs/(numActMBXSvrsPerDC-1)),0)*2)))</f>
        <v>--</v>
      </c>
      <c r="D121" s="550">
        <f>IF(calcNumActiveDBsPDCSFinSDCDC2="--","--",RecNumDBsDC2-(IF(ROUNDUP((calcNumActiveDBsDC2/(numActMBXSvrsPerDC-1)),0)*2&gt;=RecNumDBsDC2,RecNumDBsDC2,ROUNDUP((calcNumActiveDBsDC2/(numActMBXSvrsPerDC-1)),0)*2)))</f>
        <v>0</v>
      </c>
      <c r="F121" s="643"/>
      <c r="G121" s="643"/>
      <c r="I121" s="17"/>
    </row>
    <row r="122" spans="1:11" s="642" customFormat="1" ht="15" hidden="1" customHeight="1" outlineLevel="1" x14ac:dyDescent="0.2">
      <c r="A122" s="13"/>
      <c r="B122" s="579" t="s">
        <v>638</v>
      </c>
      <c r="C122" s="540" t="str">
        <f>IF(calcNumActiveDBsPDCSFinSDC="--","--",ROUNDUP((calcNumActiveDBs/(numActMBXSvrsPerDC-1)),0)*2)</f>
        <v>--</v>
      </c>
      <c r="D122" s="550">
        <f>IF(calcNumActiveDBsPDCSFinSDCDC2="--","--",ROUNDUP((calcNumActiveDBsDC2/(numActMBXSvrsPerDC-1)),0)*2)</f>
        <v>2</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2</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2</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8</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2</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2</v>
      </c>
      <c r="D132" s="5"/>
      <c r="E132" s="5"/>
      <c r="F132" s="5"/>
      <c r="G132" s="5"/>
      <c r="H132" s="628" t="s">
        <v>796</v>
      </c>
      <c r="I132" s="650">
        <f>IF(AND(OR(calcNumAMBXServersDC2&lt;&gt;0,calcNumPMBXServersDC2&gt;0),SiteResilienceEnabled="Yes",ValidationCheck=FALSE,calcNumActiveDBsSiteF&lt;&gt;"--"),minDBCacheMemMBXSDC*1024*1024*1024/32768,"--")</f>
        <v>65536</v>
      </c>
      <c r="J132" s="13"/>
    </row>
    <row r="133" spans="1:10" s="642" customFormat="1" ht="15" hidden="1" customHeight="1" outlineLevel="1" x14ac:dyDescent="0.2">
      <c r="A133" s="17"/>
      <c r="B133" s="628" t="s">
        <v>796</v>
      </c>
      <c r="C133" s="550">
        <f>minDBCacheMemMBX*1024*1024*1024/32768</f>
        <v>65536</v>
      </c>
      <c r="D133" s="5"/>
      <c r="E133" s="863"/>
      <c r="F133" s="5"/>
      <c r="G133" s="987"/>
      <c r="H133" s="1075" t="s">
        <v>1837</v>
      </c>
      <c r="I133" s="30">
        <f>((NumTier1MBXDB*Tier1MBXSize/Tier1AvgMessageSize)+(NumTier2MBXDB*Tier2MBXSize/Tier2AvgMessageSize)+(NumTier3MBXDB*Tier3MBXSize/Tier3AvgMessageSize)+(NumTier4MBXDB*Tier4MBXSize/Tier4AvgMessageSize))*calcNumDBMemSizingSDC</f>
        <v>18150</v>
      </c>
      <c r="J133" s="13"/>
    </row>
    <row r="134" spans="1:10" s="642" customFormat="1" ht="15" hidden="1" customHeight="1" outlineLevel="1" x14ac:dyDescent="0.2">
      <c r="A134" s="17"/>
      <c r="B134" s="25" t="s">
        <v>794</v>
      </c>
      <c r="C134" s="190">
        <f>CachePages/((calcNumDBMemSizing*0.8)+(IF(HAOption="Yes",TotNumDBCopiesServer,RecNumDBs)*0.2))</f>
        <v>27306.666666666664</v>
      </c>
      <c r="D134" s="643"/>
      <c r="E134" s="643"/>
      <c r="F134" s="643"/>
      <c r="G134" s="987"/>
      <c r="H134" s="1076" t="s">
        <v>1838</v>
      </c>
      <c r="I134" s="439">
        <f>((NumTier1MBXDB*Tier1MBXSize/Tier1AvgMessageSize)+(NumTier2MBXDB*Tier2MBXSize/Tier2AvgMessageSize)+(NumTier3MBXDB*Tier3MBXSize/Tier3AvgMessageSize)+(NumTier4MBXDB*Tier4MBXSize/Tier4AvgMessageSize))*(TotNumDBCopiesServer-calcNumDBMemSizingSDC)</f>
        <v>18150</v>
      </c>
      <c r="J134" s="13"/>
    </row>
    <row r="135" spans="1:10" s="642" customFormat="1" ht="15" hidden="1" customHeight="1" outlineLevel="1" x14ac:dyDescent="0.2">
      <c r="A135" s="17"/>
      <c r="B135" s="25" t="s">
        <v>795</v>
      </c>
      <c r="C135" s="190">
        <f>IF(HAOption="No",0,CachePages/(((calcNumDBMemSizing*0.8)+(IF(HAOption="Yes",TotNumDBCopiesServer,RecNumDBs)*0.2))*5))</f>
        <v>5461.3333333333321</v>
      </c>
      <c r="D135" s="643"/>
      <c r="E135" s="643"/>
      <c r="F135" s="643"/>
      <c r="G135" s="643"/>
      <c r="H135" s="25" t="s">
        <v>827</v>
      </c>
      <c r="I135" s="1077">
        <f>7+((calcItemsPerServerActiveSDC*110)+(calcItemsPerServerPassiveSDC*24))/1073741824</f>
        <v>7.0022650696337223</v>
      </c>
      <c r="J135" s="13"/>
    </row>
    <row r="136" spans="1:10" s="642" customFormat="1" ht="15" hidden="1" customHeight="1" outlineLevel="1" x14ac:dyDescent="0.2">
      <c r="A136" s="17"/>
      <c r="B136" s="628" t="s">
        <v>1313</v>
      </c>
      <c r="C136" s="202">
        <f>MAX(minReqMemory,((100*CachePages*32768/25)/1024/1024/1024)+IF(MultiRoleEnabled="Yes",calcCASMemReq,0))</f>
        <v>16.399999999999999</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16.399999999999999</v>
      </c>
      <c r="J136" s="13"/>
    </row>
    <row r="137" spans="1:10" s="642" customFormat="1" ht="15" hidden="1" customHeight="1" outlineLevel="1" x14ac:dyDescent="0.2">
      <c r="A137" s="17"/>
      <c r="B137" s="25" t="s">
        <v>827</v>
      </c>
      <c r="C137" s="267">
        <f>7+((calcItemsPerServerActive*110)+(calcItemsPerServerPassive*24))/1073741824</f>
        <v>7.0022650696337223</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16.399999999999999</v>
      </c>
      <c r="J138" s="13"/>
    </row>
    <row r="139" spans="1:10" ht="15" hidden="1" customHeight="1" outlineLevel="1" x14ac:dyDescent="0.2">
      <c r="A139" s="17"/>
      <c r="B139" s="628" t="s">
        <v>865</v>
      </c>
      <c r="C139" s="194">
        <f>IF((0.25*calcServerRAM)+calcCIMemReq&gt;calcServerRAM,calcServerRAM+calcCIMemReq,calcServerRAM)</f>
        <v>16.399999999999999</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24</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24</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6</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v>
      </c>
      <c r="D145" s="270"/>
      <c r="H145" s="25" t="s">
        <v>385</v>
      </c>
      <c r="I145" s="357">
        <f>DBSizeOverhead*RecNumDBs</f>
        <v>2658.69140625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10634.765625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7" s="5"/>
      <c r="E147" s="25"/>
      <c r="F147" s="25"/>
      <c r="G147" s="25"/>
      <c r="H147" s="12" t="s">
        <v>383</v>
      </c>
      <c r="I147" s="409">
        <f>IF(HAOption="Yes",DBSizeOverhead*TotNumDBCopiesServer,"--")</f>
        <v>2658.69140625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48" s="5"/>
      <c r="E148" s="25"/>
      <c r="F148" s="25"/>
      <c r="G148" s="25"/>
      <c r="H148" s="25" t="s">
        <v>387</v>
      </c>
      <c r="I148" s="409">
        <f>(LogDiskSpaceReqBackup+LogDiskSpaceReqMove)</f>
        <v>94.9462890625</v>
      </c>
    </row>
    <row r="149" spans="1:10" ht="15" hidden="1" customHeight="1" outlineLevel="1" x14ac:dyDescent="0.2">
      <c r="B149" s="23" t="s">
        <v>310</v>
      </c>
      <c r="C149" s="24">
        <f>LogDiskSpaceReqMove*1024</f>
        <v>27225</v>
      </c>
      <c r="D149" s="5"/>
      <c r="E149" s="345"/>
      <c r="F149" s="515"/>
      <c r="G149" s="515"/>
      <c r="H149" s="12" t="s">
        <v>388</v>
      </c>
      <c r="I149" s="409">
        <f>IF(HAOption="Yes",TotLogDiskSpace*(calcTotNumHACopies+calcTotNumLagCopies),"--")</f>
        <v>379.78515625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94.9462890625</v>
      </c>
    </row>
    <row r="151" spans="1:10" ht="15" hidden="1" customHeight="1" outlineLevel="1" x14ac:dyDescent="0.2">
      <c r="B151" s="23" t="s">
        <v>311</v>
      </c>
      <c r="C151" s="24">
        <f>NumMoveMBXTLogPerWk/7</f>
        <v>3889.2857142857142</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13889.285714285714</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1062.5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342.5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1062.5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796.875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398.4375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398.4375</v>
      </c>
      <c r="D170" s="857"/>
      <c r="E170" s="857"/>
      <c r="F170" s="857"/>
      <c r="G170" s="857"/>
      <c r="H170" s="642" t="s">
        <v>1738</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2</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2</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2</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2</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2</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2</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8</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50000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25000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50000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450000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32.186508178710938</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1</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125</v>
      </c>
      <c r="D211" s="993">
        <f>IF(AND(HAOption="Yes",ValidationCheck=FALSE),IF(SiteResilienceEnabled="Yes",IF(SRModel="Active/Passive","--",TotalMBX*(1-PercentUsersinDC1)),"--"),"--")</f>
        <v>125</v>
      </c>
      <c r="E211" s="995">
        <f>IF(ValidationCheck=FALSE,IF(HAOption="Yes",TotMBXPerDAG,"--"),"--")</f>
        <v>250</v>
      </c>
      <c r="F211" s="995">
        <f>IF(ValidationCheck=FALSE,TotalMBX,"--")</f>
        <v>250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2</v>
      </c>
      <c r="D212" s="994">
        <f>IF(AND(HAOption="Yes",SiteResilienceEnabled="Yes",ValidationCheck=FALSE),IF(SRModel="Active/Active (Multiple DAGs)",calcNumPMBXServersDC2,(calcNumPMBXServersDC2+calcNumAMBXServersDC2)),"--")</f>
        <v>2</v>
      </c>
      <c r="E212" s="995">
        <f>IF(HAOption="Yes",SUM(Table24[[#This Row],[ / Primary Datacenter]:[/ Secondary Datacenter]]),"--")</f>
        <v>4</v>
      </c>
      <c r="F212" s="994">
        <f>IF(HAOption="Yes",calcNumDAGs*Table24[[#This Row],[/ DAG]],Table24[[#This Row],[ / Primary Datacenter]])</f>
        <v>4</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2</v>
      </c>
      <c r="D214" s="547">
        <f>IF(HAOption="Yes",SUM(D212,D213),"--")</f>
        <v>2</v>
      </c>
      <c r="E214" s="547">
        <f>IF(HAOption="Yes",SUM(E212,E213),"--")</f>
        <v>4</v>
      </c>
      <c r="F214" s="547">
        <f>SUM(F212,F213)</f>
        <v>4</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250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4</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49.152000000000001</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4</v>
      </c>
      <c r="D235" s="190">
        <f>IF(AND(HAOption="Yes",ValidationCheck=FALSE),(TotNumDBCopiesDC1+TotNumLagDBCopiesDC1+TotNumLagDBCopiesDC2+TotNumDBCopiesDC2),"--")</f>
        <v>16</v>
      </c>
      <c r="E235" s="190">
        <f>IF(ValidationCheck=FALSE,IF(HAOption="Yes",Table2421[[#This Row],[/ DAG]]*calcNumDAGs,Table2421 Table2421[ / Server] *numMBXServers),"--")</f>
        <v>16</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24</v>
      </c>
      <c r="D240" s="385">
        <f>IF(AND(HAOption="Yes",SiteResilienceEnabled="Yes",numDBCopiesSDC&lt;&gt;0,ValidationCheck=FALSE),MBXSDCRAM,"--")</f>
        <v>24</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1803.4375</v>
      </c>
      <c r="D243" s="190">
        <f>IF(AND(OR(calcNumAMBXServersDC2&lt;&gt;0,calcNumPMBXServersDC2&lt;&gt;0),ValidationCheck=FALSE),calcMBXServerACPUSDC+calcMBXServerPCPUSDC+IF(MultiRoleEnabled="Yes",calcCASCPUSDC,0),"--")</f>
        <v>1803.4375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2500</v>
      </c>
      <c r="E251" s="356">
        <f>IF(AND(HAOption="Yes",ValidationCheck=FALSE),CalcNumUserTLogs,"--")</f>
        <v>10000</v>
      </c>
      <c r="F251" s="623">
        <f>IF(ValidationCheck=FALSE,IF(HAOption="Yes",CalcNumUserTLogs*calcNumDAGs,CalcNumUserTLogs*numMBXServers),"--")</f>
        <v>10000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972.32142857142856</v>
      </c>
      <c r="E252" s="356">
        <f>IF(AND(HAOption="Yes",ValidationCheck=FALSE),NumMoveMBXTLogs,"--")</f>
        <v>3889.2857142857142</v>
      </c>
      <c r="F252" s="623">
        <f>IF(ValidationCheck=FALSE,IF(HAOption="Yes",NumMoveMBXTLogs*calcNumDAGs,NumMoveMBXTLogs*numMBXServers),"--")</f>
        <v>3889.2857142857142</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3472.3214285714284</v>
      </c>
      <c r="E253" s="190">
        <f>IF(AND(HAOption="Yes",ValidationCheck=FALSE),TotTLogsGenerated,"--")</f>
        <v>13889.285714285714</v>
      </c>
      <c r="F253" s="24">
        <f>IF(ValidationCheck=FALSE,IF(HAOption="Yes",TotTLogsGenerated*calcNumDAGs,TotTLogsGenerated*numMBXServers),"--")</f>
        <v>13889.285714285714</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32.186508178710938</v>
      </c>
      <c r="E256" s="290">
        <f>IF(AND(HAOption="Yes",ValidationCheck=FALSE),TotNumMBXServersinDAG*calcTransportDBSize,"--")</f>
        <v>128.74603271484375</v>
      </c>
      <c r="F256" s="290">
        <f>IF(ValidationCheck=FALSE,IF(HAOption="Yes",Table28[[#This Row],[/ DAG]]*calcNumDAGs,Table28[[#This Row],[ / Server]]*numMBXServers),"--")</f>
        <v>128.74603271484375</v>
      </c>
      <c r="G256" s="31"/>
      <c r="I256" s="17"/>
    </row>
    <row r="257" spans="1:10" ht="15" customHeight="1" x14ac:dyDescent="0.2">
      <c r="A257" s="17"/>
      <c r="B257" s="25" t="s">
        <v>329</v>
      </c>
      <c r="C257" s="290">
        <f>DBSizeOverhead</f>
        <v>664.6728515625</v>
      </c>
      <c r="D257" s="290">
        <f>IF(HAOption="Yes",TotDBDiskSpaceReqDAGMember,TotDBDiskSpaceReq)</f>
        <v>2658.69140625</v>
      </c>
      <c r="E257" s="290">
        <f>IF(AND(HAOption="Yes",ValidationCheck=FALSE),TotDBCopiesDiskSpaceReq,"--")</f>
        <v>10634.765625</v>
      </c>
      <c r="F257" s="290">
        <f>IF(ValidationCheck=FALSE,IF(HAOption="Yes",Table28[[#This Row],[/ DAG]]*calcNumDAGs,TotDBDiskSpaceReq*numMBXServers),"--")</f>
        <v>10634.765625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94.9462890625</v>
      </c>
      <c r="E258" s="290">
        <f>IF(AND(HAOption="Yes",ValidationCheck=FALSE),TotLogCopiesDiskSpace,"--")</f>
        <v>379.78515625</v>
      </c>
      <c r="F258" s="290">
        <f>IF(ValidationCheck=FALSE,IF(HAOption="Yes",Table28[[#This Row],[/ DAG]]*calcNumDAGs,TotLogDiskSpace*numMBXServers),"--")</f>
        <v>379.78515625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3598.2216282894738</v>
      </c>
      <c r="E259" s="290">
        <f>IF(AND(HAOption="Yes",ValidationCheck=FALSE),TotDBVolSpaceDAG,"--")</f>
        <v>14392.886513157895</v>
      </c>
      <c r="F259" s="290">
        <f>IF(ValidationCheck=FALSE,TotDBVolSpaceEnv,"--")</f>
        <v>14392.886513157895</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11594.263980263158</v>
      </c>
      <c r="F261" s="290">
        <f>IF(ValidationCheck=FALSE,IF(HAOption="Yes",Table28[[#This Row],[/ DAG]]*calcNumDAGs,IF(RestoreVolSize="0","--",RestoreVolSize)*numMBXServers),"--")</f>
        <v>11594.263980263158</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10.049999999999999</v>
      </c>
      <c r="D264" s="190">
        <f>IF(ValidationCheck=FALSE,PeakIOPS,"--")</f>
        <v>40.199999999999996</v>
      </c>
      <c r="E264" s="190">
        <f>IF(AND(HAOption="Yes",ValidationCheck=FALSE),DBIOPSReplicaSS*totNumMBXServersPerDag,"--")</f>
        <v>160.79999999999998</v>
      </c>
      <c r="F264" s="190">
        <f>IF(ValidationCheck=FALSE,IF(HAOption="Yes",Table76[[#This Row],[/ DAG]]*calcNumDAGs,EnvPeakIOPS*numMBXServers),"--")</f>
        <v>160.79999999999998</v>
      </c>
      <c r="G264" s="190"/>
      <c r="H264" s="25"/>
      <c r="I264" s="17"/>
    </row>
    <row r="265" spans="1:10" x14ac:dyDescent="0.2">
      <c r="A265" s="13"/>
      <c r="B265" s="25" t="s">
        <v>332</v>
      </c>
      <c r="C265" s="190">
        <f>IF(ValidationCheck=FALSE,calcIOPSPerLog,"--")</f>
        <v>2.2109999999999999</v>
      </c>
      <c r="D265" s="190">
        <f>IF(ValidationCheck=FALSE,LogWriteTransfers+LogReadTransfers,"--")</f>
        <v>8.4419999999999984</v>
      </c>
      <c r="E265" s="190">
        <f>IF(AND(HAOption="Yes",ValidationCheck=FALSE),LogIOPSReplicaSS*totNumMBXServersPerDag,"--")</f>
        <v>33.767999999999994</v>
      </c>
      <c r="F265" s="190">
        <f>IF(ValidationCheck=FALSE,IF(HAOption="Yes",Table76[[#This Row],[/ DAG]]*calcNumDAGs,(LogWriteTransfers+LogReadTransfers)*numMBXServers),"--")</f>
        <v>33.767999999999994</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4</v>
      </c>
      <c r="E267" s="716">
        <f>IF(AND(HAOption="Yes",ValidationCheck=FALSE),Table76[[#This Row],[ / Server]]*totNumMBXServersPerDag,"--")</f>
        <v>16</v>
      </c>
      <c r="F267" s="716">
        <f>IF(ValidationCheck=FALSE,IF(HAOption="Yes",Table76[[#This Row],[/ DAG]]*calcNumDAGs,Table76[[#This Row],[ / Server]]*numMBXServers),"--")</f>
        <v>16</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2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2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2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2</v>
      </c>
      <c r="D27" s="602">
        <f>IF(AND(HAOption="Yes",SiteResilienceEnabled="Yes",ValidationCheck=FALSE,SRModel&lt;&gt;"Active/Passive"),calcNumAMBXServersDC2,"--")</f>
        <v>2</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1</v>
      </c>
      <c r="D32" s="553" t="s">
        <v>25</v>
      </c>
      <c r="E32" s="384">
        <f>IF(AND(HAOption="Yes",SiteResilienceEnabled="Yes",ValidationCheck=FALSE,SRModel&lt;&gt;"Active/Passive"),MBXPerDB*calcNumActiveDBs,"--")</f>
        <v>62.5</v>
      </c>
      <c r="F32" s="606">
        <f>IF(AND(HAOption="Yes",SiteResilienceEnabled="Yes",ValidationCheck=FALSE,SRModel&lt;&gt;"Active/Passive"),RecNumDBsDC1,"--")</f>
        <v>2</v>
      </c>
      <c r="G32" s="580" t="s">
        <v>25</v>
      </c>
      <c r="H32" s="580"/>
      <c r="I32" s="593"/>
    </row>
    <row r="33" spans="1:9" s="592" customFormat="1" ht="15" customHeight="1" x14ac:dyDescent="0.2">
      <c r="A33" s="593"/>
      <c r="B33" s="350" t="s">
        <v>609</v>
      </c>
      <c r="C33" s="382">
        <f>IF(AND(HAOption="Yes",SiteResilienceEnabled="Yes",ValidationCheck=FALSE,SRModel&lt;&gt;"Active/Passive"),calcNumActiveDBsFF,"--")</f>
        <v>2</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125</v>
      </c>
      <c r="F33" s="581">
        <f>IF(AND(HAOption="Yes",SiteResilienceEnabled="Yes",ValidationCheck=FALSE,SRModel&lt;&gt;"Active/Passive"),IF(calcNumActiveDBsFF="--","--",IF(calcTotActiveDBsPDCFFinPDC="--",RecNumDBsDC1,calcTotActiveDBsPDCFFinPDC)),"--")</f>
        <v>2</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t="str">
        <f>IF(AND(HAOption="Yes",SiteResilienceEnabled="Yes",ValidationCheck=FALSE,SRModel&lt;&gt;"Active/Passive"),calcNumActiveDBsSF,"--")</f>
        <v>--</v>
      </c>
      <c r="D34" s="544" t="str">
        <f>IF(AND(HAOption="Yes",SiteResilienceEnabled="Yes",ValidationCheck=FALSE,SRModel&lt;&gt;"Active/Passive"),calcNumActiveDBsPDCSFinSDC,"--")</f>
        <v>--</v>
      </c>
      <c r="E34" s="384" t="str">
        <f>IF(AND(HAOption="Yes",SiteResilienceEnabled="Yes",ValidationCheck=FALSE,SRModel&lt;&gt;"Active/Passive"),IF(calcNumActiveDBsSF&lt;&gt;"--",MBXPerDB*calcNumActiveDBsSF,"--"),"--")</f>
        <v>--</v>
      </c>
      <c r="F34" s="581" t="str">
        <f>IF(AND(HAOption="Yes",SiteResilienceEnabled="Yes",ValidationCheck=FALSE,SRModel&lt;&gt;"Active/Passive"),IF(calcNumActiveDBsSF="--","--",IF(calcTotActiveDBsPDCSFinPDC="--",RecNumDBsDC1,calcTotActiveDBsPDCSFinPDC)),"--")</f>
        <v>--</v>
      </c>
      <c r="G34" s="581" t="str">
        <f>IF(AND(HAOption="Yes",SiteResilienceEnabled="Yes",ValidationCheck=FALSE,SRModel&lt;&gt;"Active/Passive"),IF(calcTotActiveDBsPDCSFinSDC="--","--",calcTotActiveDBsPDCSFinSDC),"--")</f>
        <v>--</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2</v>
      </c>
      <c r="D37" s="384">
        <f>IF(AND(HAOption="Yes",SiteResilienceEnabled="Yes",ValidationCheck=FALSE,SRModel&lt;&gt;"Active/Passive"),IF(Table242140799597[[#This Row],[/ Datacenter 2 DR Server]]&lt;&gt;"--",MBXPerDB*calcNumActiveDBsSiteF,"--"),"--")</f>
        <v>125</v>
      </c>
      <c r="E37" s="190">
        <f>IF(AND(HAOption="Yes",SiteResilienceEnabled="Yes",ValidationCheck=FALSE,SRModel&lt;&gt;"Active/Passive"),IF(Table242140799597[[#This Row],[/ Datacenter 2 DR Server]]&lt;&gt;"--",RecNumDBs,"--"),"--")</f>
        <v>4</v>
      </c>
      <c r="F37" s="384">
        <f>IF(AND(HAOption="Yes",SiteResilienceEnabled="Yes",ValidationCheck=FALSE,SRModel&lt;&gt;"Active/Passive"),IF(Table242140799597[[#This Row],[/ Datacenter 2 DR Server]]&lt;&gt;"--",TotMBXPerDAG,"--"),"--")</f>
        <v>250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2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2</v>
      </c>
      <c r="D42" s="602">
        <f>IF(AND(HAOption="Yes",SiteResilienceEnabled="Yes",ValidationCheck=FALSE),IF(SRModel="Active/Active (Multiple DAGs)",calcNumAMBXServersDC2,IF(SRModel="Active/Active (Single DAG)",calcNumAMBXServersDC1,"--")),"--")</f>
        <v>2</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1</v>
      </c>
      <c r="D47" s="553" t="s">
        <v>25</v>
      </c>
      <c r="E47" s="384">
        <f>IF(AND(HAOption="Yes",SiteResilienceEnabled="Yes",ValidationCheck=FALSE,SRModel&lt;&gt;"Active/Passive"),MBXPerDB*IF(SRModel="Active/Active (Single DAG)",calcNumActiveDBsDC2,calcNumActiveDBs),"--")</f>
        <v>62.5</v>
      </c>
      <c r="F47" s="606">
        <f>IF(AND(HAOption="Yes",SiteResilienceEnabled="Yes",ValidationCheck=FALSE,SRModel&lt;&gt;"Active/Passive"),IF(SRModel="Active/Active (Single DAG)",RecNumDBsDC2,RecNumDBsDC1),"--")</f>
        <v>2</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2</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125</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0</v>
      </c>
      <c r="D49" s="544">
        <f>IF(AND(HAOption="Yes",SiteResilienceEnabled="Yes",ValidationCheck=FALSE,SRModel&lt;&gt;"Active/Passive"),IF(SRModel="Active/Active (Single DAG)",calcNumActiveDBsPDCSFinSDCDC2,calcNumActiveDBsPDCSFinSDC),"--")</f>
        <v>1</v>
      </c>
      <c r="E49" s="384" t="str">
        <f>IF(AND(HAOption="Yes",SiteResilienceEnabled="Yes",ValidationCheck=FALSE,SRModel&lt;&gt;"Active/Passive"),IF(calcNumActiveDBsSF&lt;&gt;"--",MBXPerDB*IF(SRModel="Active/Active (Single DAG)",calcNumActiveDBsSFDC2,calcNumActiveDBsSF),"--"),"--")</f>
        <v>--</v>
      </c>
      <c r="F49"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49" s="581">
        <f>IF(AND(HAOption="Yes",SiteResilienceEnabled="Yes",ValidationCheck=FALSE,SRModel&lt;&gt;"Active/Passive"),IF(SRModel="Active/Active (Single DAG)",IF(calcTotActiveDBsPDCSFinSDCDC2="--","--",calcTotActiveDBsPDCSFinSDCDC2),IF(calcTotActiveDBsPDCSFinSDC="--","--",calcTotActiveDBsPDCSFinSDC)),"--")</f>
        <v>2</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2</v>
      </c>
      <c r="D52" s="384">
        <f>IF(AND(HAOption="Yes",SiteResilienceEnabled="Yes",ValidationCheck=FALSE,SRModel&lt;&gt;"Active/Passive"),IF(Table2421407995[[#This Row],[/ Datacenter 1 DR Server]]&lt;&gt;"--",MBXPerDB*calcNumActiveDBsSiteF,"--"),"--")</f>
        <v>125</v>
      </c>
      <c r="E52" s="190">
        <f>IF(AND(HAOption="Yes",SiteResilienceEnabled="Yes",ValidationCheck=FALSE,SRModel&lt;&gt;"Active/Passive"),IF(Table2421407995[[#This Row],[/ Datacenter 1 DR Server]]&lt;&gt;"--",RecNumDBs,"--"),"--")</f>
        <v>4</v>
      </c>
      <c r="F52" s="384">
        <f>IF(AND(HAOption="Yes",SiteResilienceEnabled="Yes",ValidationCheck=FALSE,SRModel&lt;&gt;"Active/Passive"),IF(Table2421407995[[#This Row],[/ Datacenter 1 DR Server]]&lt;&gt;"--",TotMBXPerDAG,"--"),"--")</f>
        <v>250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E24" sqref="E24"/>
    </sheetView>
  </sheetViews>
  <sheetFormatPr defaultColWidth="9.140625" defaultRowHeight="12.75" x14ac:dyDescent="0.2"/>
  <cols>
    <col min="1" max="2" width="3.42578125" style="1086" customWidth="1"/>
    <col min="3" max="3" width="13.7109375" style="1086" customWidth="1"/>
    <col min="4" max="4" width="12.7109375" style="1086" customWidth="1"/>
    <col min="5" max="39" width="4.42578125" style="1086" customWidth="1"/>
    <col min="40" max="16384" width="9.140625" style="1086"/>
  </cols>
  <sheetData>
    <row r="1" spans="1:40" ht="15.75" thickBot="1" x14ac:dyDescent="0.3">
      <c r="B1" s="1086" t="s">
        <v>748</v>
      </c>
      <c r="C1" s="1088"/>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7"/>
      <c r="J3" s="1177" t="s">
        <v>825</v>
      </c>
      <c r="K3" s="1177"/>
      <c r="N3" s="708"/>
      <c r="O3" s="708"/>
      <c r="P3" s="708"/>
      <c r="AN3" s="271"/>
    </row>
    <row r="4" spans="1:40" x14ac:dyDescent="0.2">
      <c r="A4" s="1087"/>
      <c r="J4" s="1177"/>
      <c r="K4" s="1177"/>
      <c r="N4" s="708"/>
      <c r="O4" s="708"/>
      <c r="P4" s="708"/>
      <c r="AN4" s="271"/>
    </row>
    <row r="5" spans="1:40" x14ac:dyDescent="0.2">
      <c r="A5" s="1087"/>
      <c r="J5" s="1177"/>
      <c r="K5" s="1177"/>
      <c r="N5" s="708"/>
      <c r="O5" s="708"/>
      <c r="P5" s="708"/>
      <c r="AN5" s="271"/>
    </row>
    <row r="6" spans="1:40" x14ac:dyDescent="0.2">
      <c r="A6" s="1087"/>
      <c r="J6" s="1177"/>
      <c r="K6" s="1177"/>
      <c r="AN6" s="271"/>
    </row>
    <row r="7" spans="1:40" x14ac:dyDescent="0.2">
      <c r="A7" s="1087"/>
      <c r="AN7" s="271"/>
    </row>
    <row r="8" spans="1:40" x14ac:dyDescent="0.2">
      <c r="A8" s="1087"/>
      <c r="C8" s="1178" t="s">
        <v>1862</v>
      </c>
      <c r="D8" s="1178"/>
      <c r="E8" s="1178"/>
      <c r="F8" s="1178"/>
      <c r="G8" s="1178"/>
      <c r="H8" s="1178"/>
      <c r="I8" s="1178"/>
      <c r="J8" s="1178"/>
      <c r="K8" s="1178"/>
      <c r="L8" s="1178"/>
      <c r="M8" s="1178"/>
      <c r="N8" s="1178"/>
      <c r="O8" s="1178"/>
      <c r="P8" s="1178"/>
      <c r="Q8" s="1178"/>
      <c r="R8" s="1178"/>
      <c r="S8" s="1178"/>
      <c r="T8" s="1178"/>
      <c r="U8" s="1178"/>
      <c r="V8" s="1178"/>
      <c r="W8" s="1178"/>
      <c r="X8" s="1178"/>
      <c r="Y8" s="1178"/>
      <c r="Z8" s="1178"/>
      <c r="AA8" s="1178"/>
      <c r="AB8" s="1178"/>
      <c r="AC8" s="1178"/>
      <c r="AD8" s="1178"/>
      <c r="AE8" s="1178"/>
      <c r="AF8" s="1178"/>
      <c r="AG8" s="1178"/>
      <c r="AH8" s="1178"/>
      <c r="AI8" s="1178"/>
      <c r="AN8" s="271"/>
    </row>
    <row r="9" spans="1:40" x14ac:dyDescent="0.2">
      <c r="A9" s="1087"/>
      <c r="C9" s="1086" t="s">
        <v>1839</v>
      </c>
      <c r="AN9" s="271"/>
    </row>
    <row r="10" spans="1:40" x14ac:dyDescent="0.2">
      <c r="A10" s="1087"/>
      <c r="AN10" s="271"/>
    </row>
    <row r="11" spans="1:40" x14ac:dyDescent="0.2">
      <c r="A11" s="1087"/>
      <c r="AN11" s="271"/>
    </row>
    <row r="12" spans="1:40" x14ac:dyDescent="0.2">
      <c r="A12" s="1087"/>
      <c r="AN12" s="271"/>
    </row>
    <row r="13" spans="1:40" x14ac:dyDescent="0.2">
      <c r="A13" s="1087"/>
      <c r="AN13" s="271"/>
    </row>
    <row r="14" spans="1:40" x14ac:dyDescent="0.2">
      <c r="A14" s="1087"/>
      <c r="AN14" s="271"/>
    </row>
    <row r="15" spans="1:40" x14ac:dyDescent="0.2">
      <c r="A15" s="1087"/>
      <c r="D15" s="708" t="s">
        <v>1319</v>
      </c>
      <c r="AN15" s="271"/>
    </row>
    <row r="16" spans="1:40" x14ac:dyDescent="0.2">
      <c r="A16" s="1087"/>
      <c r="D16" s="708" t="str">
        <f ca="1">CONCATENATE(4,"/",SUM(E19:AK19))</f>
        <v>4/4</v>
      </c>
      <c r="AN16" s="271"/>
    </row>
    <row r="17" spans="1:44" x14ac:dyDescent="0.2">
      <c r="A17" s="1087"/>
      <c r="AN17" s="271"/>
    </row>
    <row r="18" spans="1:44" x14ac:dyDescent="0.2">
      <c r="A18" s="1087"/>
      <c r="D18" s="887" t="s">
        <v>1320</v>
      </c>
      <c r="E18" s="720">
        <f ca="1">COUNTIF(OFFSET(E21,0,0):OFFSET(E21,1600,0),"&lt;&gt;")</f>
        <v>4</v>
      </c>
      <c r="F18" s="720">
        <f ca="1">COUNTIF(OFFSET(F21,0,0):OFFSET(F21,1600,0),"&lt;&gt;")</f>
        <v>4</v>
      </c>
      <c r="V18" s="720">
        <f ca="1">COUNTIF(OFFSET(V21,0,0):OFFSET(V21,1600,0),"&lt;&gt;")</f>
        <v>4</v>
      </c>
      <c r="W18" s="720">
        <f ca="1">COUNTIF(OFFSET(W21,0,0):OFFSET(W21,1600,0),"&lt;&gt;")</f>
        <v>4</v>
      </c>
      <c r="AN18" s="271"/>
    </row>
    <row r="19" spans="1:44" s="720" customFormat="1" x14ac:dyDescent="0.2">
      <c r="A19" s="698"/>
      <c r="C19" s="1086"/>
      <c r="D19" s="887" t="s">
        <v>1321</v>
      </c>
      <c r="E19" s="720">
        <f ca="1">COUNTIF(OFFSET(E21,0,-1):OFFSET(E21,1600,-1),"=E15-1")</f>
        <v>1</v>
      </c>
      <c r="F19" s="720">
        <f ca="1">COUNTIF(OFFSET(E21,0,-1):OFFSET(E21,1600,-1),"=E15-3")</f>
        <v>1</v>
      </c>
      <c r="G19" s="1086"/>
      <c r="H19" s="1086"/>
      <c r="I19" s="1086"/>
      <c r="J19" s="1086"/>
      <c r="K19" s="1086"/>
      <c r="L19" s="1086"/>
      <c r="M19" s="1086"/>
      <c r="N19" s="1086"/>
      <c r="O19" s="1086"/>
      <c r="P19" s="1086"/>
      <c r="Q19" s="1086"/>
      <c r="R19" s="1086"/>
      <c r="S19" s="1086"/>
      <c r="T19" s="1086"/>
      <c r="U19" s="1086"/>
      <c r="V19" s="720">
        <f ca="1">COUNTIF(OFFSET(E21,0,-1):OFFSET(E21,1600,-1),"=E15-2")</f>
        <v>1</v>
      </c>
      <c r="W19" s="720">
        <f ca="1">COUNTIF(OFFSET(E21,0,-1):OFFSET(E21,1600,-1),"=E15-4")</f>
        <v>1</v>
      </c>
      <c r="X19" s="1086"/>
      <c r="Y19" s="1086"/>
      <c r="Z19" s="1086"/>
      <c r="AA19" s="1086"/>
      <c r="AB19" s="1086"/>
      <c r="AC19" s="1086"/>
      <c r="AD19" s="1086"/>
      <c r="AE19" s="1086"/>
      <c r="AF19" s="1086"/>
      <c r="AG19" s="1086"/>
      <c r="AH19" s="1086"/>
      <c r="AI19" s="1086"/>
      <c r="AJ19" s="1086"/>
      <c r="AK19" s="1086"/>
      <c r="AL19" s="1086"/>
      <c r="AM19" s="1086"/>
      <c r="AN19" s="893"/>
    </row>
    <row r="20" spans="1:44" ht="80.099999999999994" customHeight="1" thickBot="1" x14ac:dyDescent="0.25">
      <c r="A20" s="1087"/>
      <c r="B20" s="907"/>
      <c r="C20" s="1005" t="s">
        <v>1436</v>
      </c>
      <c r="D20" s="892" t="s">
        <v>1322</v>
      </c>
      <c r="E20" s="890" t="s">
        <v>1866</v>
      </c>
      <c r="F20" s="890" t="s">
        <v>1867</v>
      </c>
      <c r="V20" s="890" t="s">
        <v>1868</v>
      </c>
      <c r="W20" s="890" t="s">
        <v>1869</v>
      </c>
      <c r="AN20" s="271"/>
    </row>
    <row r="21" spans="1:44" ht="12.75" customHeight="1" x14ac:dyDescent="0.2">
      <c r="A21" s="1087"/>
      <c r="B21" s="1179" t="s">
        <v>1863</v>
      </c>
      <c r="C21" s="888" t="s">
        <v>1872</v>
      </c>
      <c r="D21" s="889" t="str">
        <f>IF(OR(DAGQuroumStatus="DAG Quorum Failed",ISNA(MATCH(MIN(E21:AK21),E21:AK21,0))),"FAILED", IF(OR(MATCH(MIN(E21:AK21),E21:AK21,0)&lt;17,AND(MIN(E21:AK21)&lt;17,IsSecSiteActive())),GetServer(MATCH(MIN(E21:AK21),E21:AK21,0)),"FAILED"))</f>
        <v>E15-1</v>
      </c>
      <c r="E21" s="891">
        <v>1</v>
      </c>
      <c r="F21" s="891">
        <v>2</v>
      </c>
      <c r="G21" s="886"/>
      <c r="H21" s="886"/>
      <c r="I21" s="886"/>
      <c r="J21" s="886"/>
      <c r="K21" s="886"/>
      <c r="L21" s="886"/>
      <c r="M21" s="886"/>
      <c r="N21" s="886"/>
      <c r="O21" s="886"/>
      <c r="P21" s="886"/>
      <c r="Q21" s="886"/>
      <c r="R21" s="886"/>
      <c r="S21" s="886"/>
      <c r="T21" s="886"/>
      <c r="U21" s="886"/>
      <c r="V21" s="891">
        <v>3</v>
      </c>
      <c r="W21" s="891">
        <v>4</v>
      </c>
      <c r="X21" s="886"/>
      <c r="Y21" s="886"/>
      <c r="Z21" s="886"/>
      <c r="AA21" s="886"/>
      <c r="AB21" s="886"/>
      <c r="AC21" s="886"/>
      <c r="AD21" s="886"/>
      <c r="AE21" s="886"/>
      <c r="AF21" s="886"/>
      <c r="AG21" s="886"/>
      <c r="AH21" s="886"/>
      <c r="AI21" s="886"/>
      <c r="AJ21" s="886"/>
      <c r="AK21" s="886"/>
      <c r="AL21" s="886"/>
      <c r="AM21" s="886"/>
      <c r="AN21" s="271"/>
      <c r="AR21" s="797"/>
    </row>
    <row r="22" spans="1:44" x14ac:dyDescent="0.2">
      <c r="A22" s="1087"/>
      <c r="B22" s="1180"/>
      <c r="C22" s="888" t="s">
        <v>1873</v>
      </c>
      <c r="D22" s="889" t="str">
        <f>IF(OR(DAGQuroumStatus="DAG Quorum Failed",ISNA(MATCH(MIN(E22:AK22),E22:AK22,0))),"FAILED", IF(OR(MATCH(MIN(E22:AK22),E22:AK22,0)&lt;17,AND(MIN(E22:AK22)&lt;17,IsSecSiteActive())),GetServer(MATCH(MIN(E22:AK22),E22:AK22,0)),"FAILED"))</f>
        <v>E15-3</v>
      </c>
      <c r="E22" s="891">
        <v>2</v>
      </c>
      <c r="F22" s="891">
        <v>1</v>
      </c>
      <c r="V22" s="891">
        <v>4</v>
      </c>
      <c r="W22" s="891">
        <v>3</v>
      </c>
      <c r="AN22" s="271"/>
    </row>
    <row r="23" spans="1:44" ht="12.75" customHeight="1" x14ac:dyDescent="0.2">
      <c r="A23" s="1087"/>
      <c r="B23" s="1180"/>
      <c r="C23" s="888" t="s">
        <v>1874</v>
      </c>
      <c r="D23" s="889" t="str">
        <f>IF(OR(DAGQuroumStatus="DAG Quorum Failed",ISNA(MATCH(MIN(E23:AK23),E23:AK23,0))),"FAILED", IF(OR(MATCH(MIN(E23:AK23),E23:AK23,0)&lt;17,AND(MIN(E23:AK23)&lt;17,IsSecSiteActive())),GetServer(MATCH(MIN(E23:AK23),E23:AK23,0)),"FAILED"))</f>
        <v>E15-2</v>
      </c>
      <c r="E23" s="891">
        <v>3</v>
      </c>
      <c r="F23" s="891">
        <v>4</v>
      </c>
      <c r="V23" s="891">
        <v>1</v>
      </c>
      <c r="W23" s="891">
        <v>2</v>
      </c>
      <c r="AN23" s="271"/>
    </row>
    <row r="24" spans="1:44" x14ac:dyDescent="0.2">
      <c r="A24" s="1087"/>
      <c r="B24" s="1180"/>
      <c r="C24" s="888" t="s">
        <v>1875</v>
      </c>
      <c r="D24" s="889" t="str">
        <f>IF(OR(DAGQuroumStatus="DAG Quorum Failed",ISNA(MATCH(MIN(E24:AK24),E24:AK24,0))),"FAILED", IF(OR(MATCH(MIN(E24:AK24),E24:AK24,0)&lt;17,AND(MIN(E24:AK24)&lt;17,IsSecSiteActive())),GetServer(MATCH(MIN(E24:AK24),E24:AK24,0)),"FAILED"))</f>
        <v>E15-4</v>
      </c>
      <c r="E24" s="891">
        <v>4</v>
      </c>
      <c r="F24" s="891">
        <v>3</v>
      </c>
      <c r="V24" s="891">
        <v>2</v>
      </c>
      <c r="W24" s="891">
        <v>1</v>
      </c>
      <c r="AN24" s="271"/>
    </row>
    <row r="25" spans="1:44" ht="12.75" customHeight="1" thickBot="1" x14ac:dyDescent="0.25">
      <c r="B25" s="1085"/>
      <c r="C25" s="897"/>
      <c r="D25" s="897"/>
      <c r="E25" s="897"/>
      <c r="F25" s="897"/>
      <c r="G25" s="897"/>
      <c r="H25" s="897"/>
      <c r="I25" s="897"/>
      <c r="J25" s="897"/>
      <c r="K25" s="897"/>
      <c r="L25" s="897"/>
      <c r="M25" s="897"/>
      <c r="N25" s="897"/>
      <c r="O25" s="897"/>
      <c r="P25" s="897"/>
      <c r="Q25" s="897"/>
      <c r="R25" s="897"/>
      <c r="S25" s="897"/>
      <c r="T25" s="897"/>
      <c r="U25" s="897"/>
      <c r="V25" s="897"/>
      <c r="W25" s="897"/>
      <c r="X25" s="897"/>
      <c r="Y25" s="897"/>
      <c r="Z25" s="897"/>
      <c r="AA25" s="897"/>
      <c r="AB25" s="897"/>
      <c r="AC25" s="897"/>
      <c r="AD25" s="897"/>
      <c r="AE25" s="897"/>
      <c r="AF25" s="897"/>
      <c r="AG25" s="897"/>
      <c r="AH25" s="897"/>
      <c r="AI25" s="897"/>
      <c r="AJ25" s="897"/>
      <c r="AK25" s="897"/>
      <c r="AL25" s="897"/>
      <c r="AM25" s="911"/>
    </row>
    <row r="26" spans="1:44" ht="12.75" customHeight="1" x14ac:dyDescent="0.2">
      <c r="B26" s="907"/>
    </row>
    <row r="27" spans="1:44" ht="12.75" customHeight="1" x14ac:dyDescent="0.2">
      <c r="B27" s="907"/>
    </row>
    <row r="28" spans="1:44" ht="12.75" customHeight="1" x14ac:dyDescent="0.2">
      <c r="B28" s="907"/>
    </row>
    <row r="29" spans="1:44" ht="12.75" customHeight="1" x14ac:dyDescent="0.2">
      <c r="B29" s="907"/>
    </row>
    <row r="30" spans="1:44" x14ac:dyDescent="0.2">
      <c r="B30" s="907"/>
    </row>
    <row r="31" spans="1:44" ht="12.75" customHeight="1" x14ac:dyDescent="0.2">
      <c r="B31" s="907"/>
    </row>
    <row r="32" spans="1:44" ht="12.75" customHeight="1" x14ac:dyDescent="0.2">
      <c r="B32" s="907"/>
    </row>
    <row r="33" spans="2:2" ht="12.75" customHeight="1" x14ac:dyDescent="0.2">
      <c r="B33" s="907"/>
    </row>
    <row r="34" spans="2:2" ht="12.75" customHeight="1" x14ac:dyDescent="0.2">
      <c r="B34" s="907"/>
    </row>
    <row r="35" spans="2:2" ht="12.75" customHeight="1" x14ac:dyDescent="0.2">
      <c r="B35" s="907"/>
    </row>
    <row r="36" spans="2:2" ht="12.75" customHeight="1" x14ac:dyDescent="0.2">
      <c r="B36" s="907"/>
    </row>
    <row r="37" spans="2:2" ht="12.75" customHeight="1" x14ac:dyDescent="0.2">
      <c r="B37" s="907"/>
    </row>
    <row r="38" spans="2:2" ht="12.75" customHeight="1" x14ac:dyDescent="0.2">
      <c r="B38" s="907"/>
    </row>
    <row r="39" spans="2:2" ht="12.75" customHeight="1" x14ac:dyDescent="0.2">
      <c r="B39" s="907"/>
    </row>
    <row r="40" spans="2:2" x14ac:dyDescent="0.2">
      <c r="B40" s="907"/>
    </row>
    <row r="41" spans="2:2" ht="12.75" customHeight="1" x14ac:dyDescent="0.2">
      <c r="B41" s="907"/>
    </row>
    <row r="42" spans="2:2" ht="12.75" customHeight="1" x14ac:dyDescent="0.2">
      <c r="B42" s="907"/>
    </row>
    <row r="43" spans="2:2" ht="12.75" customHeight="1" x14ac:dyDescent="0.2">
      <c r="B43" s="907"/>
    </row>
    <row r="44" spans="2:2" ht="12.75" customHeight="1" x14ac:dyDescent="0.2">
      <c r="B44" s="907"/>
    </row>
    <row r="45" spans="2:2" ht="12.75" customHeight="1" x14ac:dyDescent="0.2">
      <c r="B45" s="907"/>
    </row>
    <row r="46" spans="2:2" ht="12.75" customHeight="1" x14ac:dyDescent="0.2">
      <c r="B46" s="907"/>
    </row>
    <row r="47" spans="2:2" ht="12.75" customHeight="1" x14ac:dyDescent="0.2">
      <c r="B47" s="907"/>
    </row>
    <row r="48" spans="2:2" x14ac:dyDescent="0.2">
      <c r="B48" s="907"/>
    </row>
    <row r="49" spans="2:2" ht="12.75" customHeight="1" x14ac:dyDescent="0.2">
      <c r="B49" s="907"/>
    </row>
    <row r="50" spans="2:2" ht="12.75" customHeight="1" x14ac:dyDescent="0.2">
      <c r="B50" s="907"/>
    </row>
    <row r="51" spans="2:2" ht="12.75" customHeight="1" x14ac:dyDescent="0.2">
      <c r="B51" s="907"/>
    </row>
    <row r="52" spans="2:2" x14ac:dyDescent="0.2">
      <c r="B52" s="907"/>
    </row>
    <row r="53" spans="2:2" ht="12.75" customHeight="1" x14ac:dyDescent="0.2">
      <c r="B53" s="907"/>
    </row>
    <row r="54" spans="2:2" ht="12.75" customHeight="1" x14ac:dyDescent="0.2">
      <c r="B54" s="907"/>
    </row>
    <row r="55" spans="2:2" ht="12.75" customHeight="1" x14ac:dyDescent="0.2">
      <c r="B55" s="907"/>
    </row>
    <row r="56" spans="2:2" ht="12.75" customHeight="1" x14ac:dyDescent="0.2">
      <c r="B56" s="907"/>
    </row>
    <row r="57" spans="2:2" ht="12.75" customHeight="1" x14ac:dyDescent="0.2">
      <c r="B57" s="907"/>
    </row>
    <row r="58" spans="2:2" x14ac:dyDescent="0.2">
      <c r="B58" s="907"/>
    </row>
    <row r="59" spans="2:2" ht="12.75" customHeight="1" x14ac:dyDescent="0.2">
      <c r="B59" s="907"/>
    </row>
    <row r="60" spans="2:2" ht="12.75" customHeight="1" x14ac:dyDescent="0.2">
      <c r="B60" s="907"/>
    </row>
    <row r="61" spans="2:2" ht="12.75" customHeight="1" x14ac:dyDescent="0.2">
      <c r="B61" s="907"/>
    </row>
    <row r="62" spans="2:2" ht="12.75" customHeight="1" x14ac:dyDescent="0.2">
      <c r="B62" s="907"/>
    </row>
    <row r="63" spans="2:2" ht="12.75" customHeight="1" x14ac:dyDescent="0.2">
      <c r="B63" s="907"/>
    </row>
    <row r="64" spans="2:2" x14ac:dyDescent="0.2">
      <c r="B64" s="907"/>
    </row>
    <row r="65" spans="2:2" ht="12.75" customHeight="1" x14ac:dyDescent="0.2">
      <c r="B65" s="907"/>
    </row>
    <row r="66" spans="2:2" ht="12.75" customHeight="1" x14ac:dyDescent="0.2">
      <c r="B66" s="907"/>
    </row>
    <row r="67" spans="2:2" ht="12.75" customHeight="1" x14ac:dyDescent="0.2">
      <c r="B67" s="907"/>
    </row>
    <row r="68" spans="2:2" ht="12.75" customHeight="1" x14ac:dyDescent="0.2">
      <c r="B68" s="907"/>
    </row>
    <row r="69" spans="2:2" ht="12.75" customHeight="1" x14ac:dyDescent="0.2">
      <c r="B69" s="907"/>
    </row>
    <row r="70" spans="2:2" ht="12.75" customHeight="1" x14ac:dyDescent="0.2">
      <c r="B70" s="907"/>
    </row>
    <row r="71" spans="2:2" ht="12.75" customHeight="1" x14ac:dyDescent="0.2">
      <c r="B71" s="907"/>
    </row>
    <row r="72" spans="2:2" x14ac:dyDescent="0.2">
      <c r="B72" s="907"/>
    </row>
    <row r="73" spans="2:2" ht="12.75" customHeight="1" x14ac:dyDescent="0.2">
      <c r="B73" s="907"/>
    </row>
    <row r="74" spans="2:2" ht="12.75" customHeight="1" x14ac:dyDescent="0.2">
      <c r="B74" s="907"/>
    </row>
    <row r="75" spans="2:2" ht="12.75" customHeight="1" x14ac:dyDescent="0.2">
      <c r="B75" s="907"/>
    </row>
    <row r="76" spans="2:2" ht="12.75" customHeight="1" x14ac:dyDescent="0.2">
      <c r="B76" s="907"/>
    </row>
    <row r="77" spans="2:2" ht="12.75" customHeight="1" x14ac:dyDescent="0.2">
      <c r="B77" s="907"/>
    </row>
    <row r="78" spans="2:2" x14ac:dyDescent="0.2">
      <c r="B78" s="907"/>
    </row>
    <row r="79" spans="2:2" ht="12.75" customHeight="1" x14ac:dyDescent="0.2">
      <c r="B79" s="907"/>
    </row>
    <row r="80" spans="2:2" ht="12.75" customHeight="1" x14ac:dyDescent="0.2">
      <c r="B80" s="907"/>
    </row>
    <row r="81" spans="2:2" ht="12.75" customHeight="1" x14ac:dyDescent="0.2">
      <c r="B81" s="907"/>
    </row>
    <row r="82" spans="2:2" x14ac:dyDescent="0.2">
      <c r="B82" s="907"/>
    </row>
    <row r="83" spans="2:2" ht="12.75" customHeight="1" x14ac:dyDescent="0.2">
      <c r="B83" s="907"/>
    </row>
    <row r="84" spans="2:2" ht="12.75" customHeight="1" x14ac:dyDescent="0.2">
      <c r="B84" s="907"/>
    </row>
    <row r="85" spans="2:2" ht="12.75" customHeight="1" x14ac:dyDescent="0.2">
      <c r="B85" s="907"/>
    </row>
    <row r="86" spans="2:2" ht="12.75" customHeight="1" x14ac:dyDescent="0.2">
      <c r="B86" s="907"/>
    </row>
    <row r="87" spans="2:2" ht="12.75" customHeight="1" x14ac:dyDescent="0.2">
      <c r="B87" s="907"/>
    </row>
    <row r="88" spans="2:2" x14ac:dyDescent="0.2">
      <c r="B88" s="907"/>
    </row>
    <row r="89" spans="2:2" ht="12.75" customHeight="1" x14ac:dyDescent="0.2">
      <c r="B89" s="907"/>
    </row>
    <row r="90" spans="2:2" x14ac:dyDescent="0.2">
      <c r="B90" s="907"/>
    </row>
    <row r="91" spans="2:2" ht="12.75" customHeight="1" x14ac:dyDescent="0.2">
      <c r="B91" s="907"/>
    </row>
    <row r="92" spans="2:2" ht="12.75" customHeight="1" x14ac:dyDescent="0.2">
      <c r="B92" s="907"/>
    </row>
    <row r="93" spans="2:2" ht="12.75" customHeight="1" x14ac:dyDescent="0.2">
      <c r="B93" s="907"/>
    </row>
    <row r="94" spans="2:2" x14ac:dyDescent="0.2">
      <c r="B94" s="907"/>
    </row>
    <row r="95" spans="2:2" ht="12.75" customHeight="1" x14ac:dyDescent="0.2">
      <c r="B95" s="907"/>
    </row>
    <row r="96" spans="2:2"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3">
    <mergeCell ref="J3:K6"/>
    <mergeCell ref="C8:AI8"/>
    <mergeCell ref="B21:B24"/>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IF(SUM(E19:AK19)&lt;4,1,0)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169"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170"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171" r:id="rId19" name="WAN Link 1">
              <controlPr defaultSize="0" print="0" autoFill="0" autoPict="0" macro="[0]!'FailWAN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294172" r:id="rId20" name="Server 3">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173" r:id="rId21" name="Server 4">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174" r:id="rId22" name="WAN Link 2">
              <controlPr defaultSize="0" print="0" autoFill="0" autoPict="0" macro="[0]!'FailWAN &quot;2&quot;'">
                <anchor moveWithCells="1" sizeWithCells="1">
                  <from>
                    <xdr:col>21</xdr:col>
                    <xdr:colOff>0</xdr:colOff>
                    <xdr:row>9</xdr:row>
                    <xdr:rowOff>0</xdr:rowOff>
                  </from>
                  <to>
                    <xdr:col>23</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H130" sqref="H130"/>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t="str">
        <f t="shared" si="0"/>
        <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t="str">
        <f t="shared" si="0"/>
        <v/>
      </c>
      <c r="E8" s="39"/>
      <c r="F8" s="39"/>
      <c r="G8" s="39"/>
      <c r="H8" s="59" t="s">
        <v>849</v>
      </c>
      <c r="I8" s="59">
        <f>MIN(IF(VolDesign="1/7",VLOOKUP(TotNumDBCopiesServer,tblVolBackupSet,2,TRUE),IF(VolDesign="MultDBs",TotNumDBCopiesServer/RecDBperVolume,1)),IF(calcDiskLimitOverride="No",NumDisksPerServer,99999))</f>
        <v>1</v>
      </c>
      <c r="J8" s="42"/>
      <c r="K8" s="53"/>
      <c r="L8" s="35">
        <f>IF(VolDesign="1/7",VLOOKUP(TotNumDBCopiesServer,tblVolBackupSet,2,TRUE),IF(VolDesign="MultDBs",TotNumDBCopiesServer/RecDBperVolume,1))</f>
        <v>1</v>
      </c>
      <c r="N8" s="35">
        <f>IF(calcDiskLimitOverride="Yes",IF(VolDesign="1/7",VLOOKUP(TotNumDBCopiesServer,tblVolBackupSet,2,TRUE),IF(VolDesign="MultDBs",TotNumDBCopiesServer/RecDBperVolume,1)),NumDisksPerServer)</f>
        <v>1</v>
      </c>
    </row>
    <row r="9" spans="1:14" hidden="1" outlineLevel="1" x14ac:dyDescent="0.2">
      <c r="A9" s="42"/>
      <c r="B9" s="45">
        <f t="shared" si="1"/>
        <v>4</v>
      </c>
      <c r="C9" s="263">
        <f>IF(B126="--","",ROUNDUP(Table30[[#This Row],[DB Number]]/NumDBPerVol,0))</f>
        <v>1</v>
      </c>
      <c r="D9" s="263" t="str">
        <f t="shared" si="0"/>
        <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t="str">
        <f t="shared" si="1"/>
        <v/>
      </c>
      <c r="C10" s="263" t="str">
        <f>IF(B127="--","",ROUNDUP(Table30[[#This Row],[DB Number]]/NumDBPerVol,0))</f>
        <v/>
      </c>
      <c r="D10" s="263" t="str">
        <f t="shared" si="0"/>
        <v/>
      </c>
      <c r="E10" s="38"/>
      <c r="F10" s="38"/>
      <c r="G10" s="39"/>
      <c r="H10" s="58" t="s">
        <v>1335</v>
      </c>
      <c r="I10" s="58">
        <f>IF(DBLogIsolation="Yes",0,IF(calcMultipleDBVolume="Yes",AutoReseedVolumes,0))</f>
        <v>1</v>
      </c>
      <c r="J10" s="40"/>
      <c r="K10" s="53"/>
    </row>
    <row r="11" spans="1:14" hidden="1" outlineLevel="1" x14ac:dyDescent="0.2">
      <c r="A11" s="42"/>
      <c r="B11" s="45" t="str">
        <f t="shared" si="1"/>
        <v/>
      </c>
      <c r="C11" s="263" t="str">
        <f>IF(B128="--","",ROUNDUP(Table30[[#This Row],[DB Number]]/NumDBPerVol,0))</f>
        <v/>
      </c>
      <c r="D11" s="263" t="str">
        <f t="shared" si="0"/>
        <v/>
      </c>
      <c r="E11" s="38"/>
      <c r="F11" s="38"/>
      <c r="G11" s="39"/>
      <c r="H11" s="39"/>
      <c r="I11" s="39"/>
      <c r="J11" s="40"/>
      <c r="K11" s="53"/>
    </row>
    <row r="12" spans="1:14" hidden="1" outlineLevel="1" x14ac:dyDescent="0.2">
      <c r="A12" s="42"/>
      <c r="B12" s="45" t="str">
        <f t="shared" si="1"/>
        <v/>
      </c>
      <c r="C12" s="263" t="str">
        <f>IF(B129="--","",ROUNDUP(Table30[[#This Row],[DB Number]]/NumDBPerVol,0))</f>
        <v/>
      </c>
      <c r="D12" s="263" t="str">
        <f t="shared" si="0"/>
        <v/>
      </c>
      <c r="E12" s="38"/>
      <c r="F12" s="38"/>
      <c r="G12" s="39"/>
      <c r="H12" s="39"/>
      <c r="I12" s="39"/>
      <c r="J12" s="40"/>
      <c r="K12" s="53"/>
    </row>
    <row r="13" spans="1:14" hidden="1" outlineLevel="1" x14ac:dyDescent="0.2">
      <c r="A13" s="42"/>
      <c r="B13" s="45" t="str">
        <f t="shared" si="1"/>
        <v/>
      </c>
      <c r="C13" s="263" t="str">
        <f>IF(B130="--","",ROUNDUP(Table30[[#This Row],[DB Number]]/NumDBPerVol,0))</f>
        <v/>
      </c>
      <c r="D13" s="263" t="str">
        <f t="shared" si="0"/>
        <v/>
      </c>
      <c r="E13" s="38"/>
      <c r="F13" s="38"/>
      <c r="G13" s="39"/>
      <c r="H13" s="39"/>
      <c r="I13" s="33"/>
      <c r="J13" s="40"/>
      <c r="K13" s="53"/>
    </row>
    <row r="14" spans="1:14" hidden="1" outlineLevel="1" x14ac:dyDescent="0.2">
      <c r="A14" s="42"/>
      <c r="B14" s="45" t="str">
        <f t="shared" si="1"/>
        <v/>
      </c>
      <c r="C14" s="263" t="str">
        <f>IF(B131="--","",ROUNDUP(Table30[[#This Row],[DB Number]]/NumDBPerVol,0))</f>
        <v/>
      </c>
      <c r="D14" s="263" t="str">
        <f t="shared" si="0"/>
        <v/>
      </c>
      <c r="E14" s="38"/>
      <c r="F14" s="38"/>
      <c r="G14" s="39"/>
      <c r="H14" s="39"/>
      <c r="I14" s="33"/>
      <c r="J14" s="40"/>
      <c r="K14" s="53"/>
    </row>
    <row r="15" spans="1:14" hidden="1" outlineLevel="1" x14ac:dyDescent="0.2">
      <c r="A15" s="42"/>
      <c r="B15" s="45" t="str">
        <f t="shared" si="1"/>
        <v/>
      </c>
      <c r="C15" s="263" t="str">
        <f>IF(B132="--","",ROUNDUP(Table30[[#This Row],[DB Number]]/NumDBPerVol,0))</f>
        <v/>
      </c>
      <c r="D15" s="263" t="str">
        <f t="shared" ref="D15:D46" si="2">IF(H132="--","",ROUNDUP(VALUE(IF(LEFT(RIGHT(H132,2),1)="B",RIGHT(H132,1),IF(LEN(H132)&gt;=10,RIGHT(H132,3),RIGHT(H132,2))))/NumDBPerVol,0))</f>
        <v/>
      </c>
      <c r="E15" s="38"/>
      <c r="F15" s="38"/>
      <c r="G15" s="39"/>
      <c r="H15" s="39"/>
      <c r="I15" s="33"/>
      <c r="J15" s="40"/>
      <c r="K15" s="53"/>
    </row>
    <row r="16" spans="1:14" hidden="1" outlineLevel="1" x14ac:dyDescent="0.2">
      <c r="A16" s="42"/>
      <c r="B16" s="45" t="str">
        <f t="shared" si="1"/>
        <v/>
      </c>
      <c r="C16" s="263" t="str">
        <f>IF(B133="--","",ROUNDUP(Table30[[#This Row],[DB Number]]/NumDBPerVol,0))</f>
        <v/>
      </c>
      <c r="D16" s="263" t="str">
        <f t="shared" si="2"/>
        <v/>
      </c>
      <c r="E16" s="38"/>
      <c r="F16" s="38"/>
      <c r="G16" s="39"/>
      <c r="J16" s="40"/>
      <c r="K16" s="53"/>
    </row>
    <row r="17" spans="1:11" hidden="1" outlineLevel="1" x14ac:dyDescent="0.2">
      <c r="A17" s="42"/>
      <c r="B17" s="45" t="str">
        <f t="shared" si="1"/>
        <v/>
      </c>
      <c r="C17" s="263" t="str">
        <f>IF(B134="--","",ROUNDUP(Table30[[#This Row],[DB Number]]/NumDBPerVol,0))</f>
        <v/>
      </c>
      <c r="D17" s="263" t="str">
        <f t="shared" si="2"/>
        <v/>
      </c>
      <c r="E17" s="38"/>
      <c r="F17" s="38"/>
      <c r="G17" s="39"/>
      <c r="H17" s="855"/>
      <c r="I17" s="33"/>
      <c r="J17" s="40"/>
      <c r="K17" s="53"/>
    </row>
    <row r="18" spans="1:11" hidden="1" outlineLevel="1" x14ac:dyDescent="0.2">
      <c r="A18" s="42"/>
      <c r="B18" s="45" t="str">
        <f t="shared" si="1"/>
        <v/>
      </c>
      <c r="C18" s="263" t="str">
        <f>IF(B135="--","",ROUNDUP(Table30[[#This Row],[DB Number]]/NumDBPerVol,0))</f>
        <v/>
      </c>
      <c r="D18" s="263" t="str">
        <f t="shared" si="2"/>
        <v/>
      </c>
      <c r="E18" s="38"/>
      <c r="F18" s="38"/>
      <c r="G18" s="39"/>
      <c r="H18" s="36"/>
      <c r="I18" s="34"/>
      <c r="J18" s="37"/>
      <c r="K18" s="53"/>
    </row>
    <row r="19" spans="1:11" hidden="1" outlineLevel="1" x14ac:dyDescent="0.2">
      <c r="A19" s="42"/>
      <c r="B19" s="45" t="str">
        <f t="shared" si="1"/>
        <v/>
      </c>
      <c r="C19" s="263" t="str">
        <f>IF(B136="--","",ROUNDUP(Table30[[#This Row],[DB Number]]/NumDBPerVol,0))</f>
        <v/>
      </c>
      <c r="D19" s="263" t="str">
        <f t="shared" si="2"/>
        <v/>
      </c>
      <c r="E19" s="38"/>
      <c r="F19" s="38"/>
      <c r="G19" s="39"/>
      <c r="H19" s="36"/>
      <c r="I19" s="34"/>
      <c r="J19" s="37"/>
      <c r="K19" s="53"/>
    </row>
    <row r="20" spans="1:11" hidden="1" outlineLevel="1" x14ac:dyDescent="0.2">
      <c r="A20" s="42"/>
      <c r="B20" s="45" t="str">
        <f t="shared" si="1"/>
        <v/>
      </c>
      <c r="C20" s="263" t="str">
        <f>IF(B137="--","",ROUNDUP(Table30[[#This Row],[DB Number]]/NumDBPerVol,0))</f>
        <v/>
      </c>
      <c r="D20" s="263" t="str">
        <f t="shared" si="2"/>
        <v/>
      </c>
      <c r="E20" s="38"/>
      <c r="F20" s="38"/>
      <c r="G20" s="39"/>
      <c r="H20" s="381"/>
      <c r="I20" s="34"/>
      <c r="J20" s="37"/>
      <c r="K20" s="53"/>
    </row>
    <row r="21" spans="1:11" hidden="1" outlineLevel="1" x14ac:dyDescent="0.2">
      <c r="A21" s="42"/>
      <c r="B21" s="45" t="str">
        <f t="shared" si="1"/>
        <v/>
      </c>
      <c r="C21" s="263" t="str">
        <f>IF(B138="--","",ROUNDUP(Table30[[#This Row],[DB Number]]/NumDBPerVol,0))</f>
        <v/>
      </c>
      <c r="D21" s="263" t="str">
        <f t="shared" si="2"/>
        <v/>
      </c>
      <c r="E21" s="38"/>
      <c r="F21" s="38"/>
      <c r="G21" s="39"/>
      <c r="H21" s="381"/>
      <c r="I21" s="34"/>
      <c r="J21" s="37"/>
      <c r="K21" s="53"/>
    </row>
    <row r="22" spans="1:11" hidden="1" outlineLevel="1" x14ac:dyDescent="0.2">
      <c r="A22" s="42"/>
      <c r="B22" s="45" t="str">
        <f t="shared" si="1"/>
        <v/>
      </c>
      <c r="C22" s="263" t="str">
        <f>IF(B139="--","",ROUNDUP(Table30[[#This Row],[DB Number]]/NumDBPerVol,0))</f>
        <v/>
      </c>
      <c r="D22" s="263" t="str">
        <f t="shared" si="2"/>
        <v/>
      </c>
      <c r="E22" s="38"/>
      <c r="F22" s="38"/>
      <c r="G22" s="39"/>
      <c r="H22" s="381"/>
      <c r="I22" s="34"/>
      <c r="J22" s="37"/>
      <c r="K22" s="53"/>
    </row>
    <row r="23" spans="1:11" hidden="1" outlineLevel="1" x14ac:dyDescent="0.2">
      <c r="A23" s="42"/>
      <c r="B23" s="45" t="str">
        <f t="shared" si="1"/>
        <v/>
      </c>
      <c r="C23" s="263" t="str">
        <f>IF(B140="--","",ROUNDUP(Table30[[#This Row],[DB Number]]/NumDBPerVol,0))</f>
        <v/>
      </c>
      <c r="D23" s="263" t="str">
        <f t="shared" si="2"/>
        <v/>
      </c>
      <c r="E23" s="38"/>
      <c r="F23" s="38"/>
      <c r="G23" s="39"/>
      <c r="H23" s="381"/>
      <c r="I23" s="34"/>
      <c r="J23" s="37"/>
      <c r="K23" s="53"/>
    </row>
    <row r="24" spans="1:11" hidden="1" outlineLevel="1" x14ac:dyDescent="0.2">
      <c r="A24" s="42"/>
      <c r="B24" s="45" t="str">
        <f t="shared" si="1"/>
        <v/>
      </c>
      <c r="C24" s="263" t="str">
        <f>IF(B141="--","",ROUNDUP(Table30[[#This Row],[DB Number]]/NumDBPerVol,0))</f>
        <v/>
      </c>
      <c r="D24" s="263" t="str">
        <f t="shared" si="2"/>
        <v/>
      </c>
      <c r="E24" s="38"/>
      <c r="F24" s="38"/>
      <c r="G24" s="39"/>
      <c r="H24" s="381"/>
      <c r="I24" s="34"/>
      <c r="J24" s="37"/>
      <c r="K24" s="53"/>
    </row>
    <row r="25" spans="1:11" hidden="1" outlineLevel="1" x14ac:dyDescent="0.2">
      <c r="A25" s="42"/>
      <c r="B25" s="45" t="str">
        <f t="shared" si="1"/>
        <v/>
      </c>
      <c r="C25" s="263" t="str">
        <f>IF(B142="--","",ROUNDUP(Table30[[#This Row],[DB Number]]/NumDBPerVol,0))</f>
        <v/>
      </c>
      <c r="D25" s="263" t="str">
        <f t="shared" si="2"/>
        <v/>
      </c>
      <c r="E25" s="38"/>
      <c r="F25" s="38"/>
      <c r="G25" s="39"/>
      <c r="H25" s="381"/>
      <c r="I25" s="34"/>
      <c r="J25" s="37"/>
      <c r="K25" s="53"/>
    </row>
    <row r="26" spans="1:11" hidden="1" outlineLevel="1" x14ac:dyDescent="0.2">
      <c r="A26" s="42"/>
      <c r="B26" s="45" t="str">
        <f t="shared" si="1"/>
        <v/>
      </c>
      <c r="C26" s="263" t="str">
        <f>IF(B143="--","",ROUNDUP(Table30[[#This Row],[DB Number]]/NumDBPerVol,0))</f>
        <v/>
      </c>
      <c r="D26" s="263" t="str">
        <f t="shared" si="2"/>
        <v/>
      </c>
      <c r="E26" s="38"/>
      <c r="F26" s="38"/>
      <c r="G26" s="39"/>
      <c r="H26" s="36"/>
      <c r="I26" s="34"/>
      <c r="J26" s="37"/>
      <c r="K26" s="53"/>
    </row>
    <row r="27" spans="1:11" hidden="1" outlineLevel="1" x14ac:dyDescent="0.2">
      <c r="A27" s="42"/>
      <c r="B27" s="45" t="str">
        <f t="shared" si="1"/>
        <v/>
      </c>
      <c r="C27" s="263" t="str">
        <f>IF(B144="--","",ROUNDUP(Table30[[#This Row],[DB Number]]/NumDBPerVol,0))</f>
        <v/>
      </c>
      <c r="D27" s="263" t="str">
        <f t="shared" si="2"/>
        <v/>
      </c>
      <c r="E27" s="38"/>
      <c r="F27" s="38"/>
      <c r="G27" s="39"/>
      <c r="H27" s="36"/>
      <c r="I27" s="34"/>
      <c r="J27" s="37"/>
      <c r="K27" s="53"/>
    </row>
    <row r="28" spans="1:11" hidden="1" outlineLevel="1" x14ac:dyDescent="0.2">
      <c r="A28" s="42"/>
      <c r="B28" s="45" t="str">
        <f t="shared" si="1"/>
        <v/>
      </c>
      <c r="C28" s="263" t="str">
        <f>IF(B145="--","",ROUNDUP(Table30[[#This Row],[DB Number]]/NumDBPerVol,0))</f>
        <v/>
      </c>
      <c r="D28" s="263" t="str">
        <f t="shared" si="2"/>
        <v/>
      </c>
      <c r="E28" s="38"/>
      <c r="F28" s="38"/>
      <c r="G28" s="39"/>
      <c r="H28" s="36"/>
      <c r="I28" s="34"/>
      <c r="J28" s="37"/>
      <c r="K28" s="53"/>
    </row>
    <row r="29" spans="1:11" hidden="1" outlineLevel="1" x14ac:dyDescent="0.2">
      <c r="A29" s="42"/>
      <c r="B29" s="45" t="str">
        <f t="shared" si="1"/>
        <v/>
      </c>
      <c r="C29" s="263" t="str">
        <f>IF(B146="--","",ROUNDUP(Table30[[#This Row],[DB Number]]/NumDBPerVol,0))</f>
        <v/>
      </c>
      <c r="D29" s="263" t="str">
        <f t="shared" si="2"/>
        <v/>
      </c>
      <c r="E29" s="38"/>
      <c r="F29" s="38"/>
      <c r="G29" s="39"/>
      <c r="H29" s="36"/>
      <c r="I29" s="34"/>
      <c r="J29" s="37"/>
      <c r="K29" s="53"/>
    </row>
    <row r="30" spans="1:11" hidden="1" outlineLevel="1" x14ac:dyDescent="0.2">
      <c r="A30" s="42"/>
      <c r="B30" s="45" t="str">
        <f t="shared" si="1"/>
        <v/>
      </c>
      <c r="C30" s="263" t="str">
        <f>IF(B147="--","",ROUNDUP(Table30[[#This Row],[DB Number]]/NumDBPerVol,0))</f>
        <v/>
      </c>
      <c r="D30" s="263" t="str">
        <f t="shared" si="2"/>
        <v/>
      </c>
      <c r="E30" s="38"/>
      <c r="F30" s="38"/>
      <c r="G30" s="39"/>
      <c r="H30" s="36"/>
      <c r="I30" s="34"/>
      <c r="J30" s="37"/>
      <c r="K30" s="53"/>
    </row>
    <row r="31" spans="1:11" hidden="1" outlineLevel="1" x14ac:dyDescent="0.2">
      <c r="A31" s="42"/>
      <c r="B31" s="45" t="str">
        <f t="shared" si="1"/>
        <v/>
      </c>
      <c r="C31" s="263" t="str">
        <f>IF(B148="--","",ROUNDUP(Table30[[#This Row],[DB Number]]/NumDBPerVol,0))</f>
        <v/>
      </c>
      <c r="D31" s="263" t="str">
        <f t="shared" si="2"/>
        <v/>
      </c>
      <c r="E31" s="38"/>
      <c r="F31" s="38"/>
      <c r="G31" s="39"/>
      <c r="H31" s="36"/>
      <c r="I31" s="34"/>
      <c r="J31" s="37"/>
      <c r="K31" s="53"/>
    </row>
    <row r="32" spans="1:11" hidden="1" outlineLevel="1" x14ac:dyDescent="0.2">
      <c r="A32" s="42"/>
      <c r="B32" s="45" t="str">
        <f t="shared" si="1"/>
        <v/>
      </c>
      <c r="C32" s="263" t="str">
        <f>IF(B149="--","",ROUNDUP(Table30[[#This Row],[DB Number]]/NumDBPerVol,0))</f>
        <v/>
      </c>
      <c r="D32" s="263" t="str">
        <f t="shared" si="2"/>
        <v/>
      </c>
      <c r="E32" s="38"/>
      <c r="F32" s="38"/>
      <c r="G32" s="39"/>
      <c r="H32" s="36"/>
      <c r="I32" s="34"/>
      <c r="J32" s="37"/>
      <c r="K32" s="53"/>
    </row>
    <row r="33" spans="1:11" hidden="1" outlineLevel="1" x14ac:dyDescent="0.2">
      <c r="A33" s="42"/>
      <c r="B33" s="45" t="str">
        <f t="shared" si="1"/>
        <v/>
      </c>
      <c r="C33" s="263" t="str">
        <f>IF(B150="--","",ROUNDUP(Table30[[#This Row],[DB Number]]/NumDBPerVol,0))</f>
        <v/>
      </c>
      <c r="D33" s="263" t="str">
        <f t="shared" si="2"/>
        <v/>
      </c>
      <c r="E33" s="38"/>
      <c r="F33" s="38"/>
      <c r="G33" s="39"/>
      <c r="H33" s="36"/>
      <c r="I33" s="34"/>
      <c r="J33" s="37"/>
      <c r="K33" s="53"/>
    </row>
    <row r="34" spans="1:11" hidden="1" outlineLevel="1" x14ac:dyDescent="0.2">
      <c r="A34" s="42"/>
      <c r="B34" s="45" t="str">
        <f t="shared" si="1"/>
        <v/>
      </c>
      <c r="C34" s="263" t="str">
        <f>IF(B151="--","",ROUNDUP(Table30[[#This Row],[DB Number]]/NumDBPerVol,0))</f>
        <v/>
      </c>
      <c r="D34" s="263" t="str">
        <f t="shared" si="2"/>
        <v/>
      </c>
      <c r="E34" s="38"/>
      <c r="F34" s="38"/>
      <c r="G34" s="39"/>
      <c r="H34" s="36"/>
      <c r="I34" s="34"/>
      <c r="J34" s="37"/>
      <c r="K34" s="53"/>
    </row>
    <row r="35" spans="1:11" hidden="1" outlineLevel="1" x14ac:dyDescent="0.2">
      <c r="A35" s="42"/>
      <c r="B35" s="45" t="str">
        <f t="shared" si="1"/>
        <v/>
      </c>
      <c r="C35" s="263" t="str">
        <f>IF(B152="--","",ROUNDUP(Table30[[#This Row],[DB Number]]/NumDBPerVol,0))</f>
        <v/>
      </c>
      <c r="D35" s="263" t="str">
        <f t="shared" si="2"/>
        <v/>
      </c>
      <c r="E35" s="38"/>
      <c r="F35" s="38"/>
      <c r="G35" s="39"/>
      <c r="H35" s="36"/>
      <c r="I35" s="34"/>
      <c r="J35" s="37"/>
      <c r="K35" s="53"/>
    </row>
    <row r="36" spans="1:11" hidden="1" outlineLevel="1" x14ac:dyDescent="0.2">
      <c r="A36" s="42"/>
      <c r="B36" s="45" t="str">
        <f t="shared" si="1"/>
        <v/>
      </c>
      <c r="C36" s="263" t="str">
        <f>IF(B153="--","",ROUNDUP(Table30[[#This Row],[DB Number]]/NumDBPerVol,0))</f>
        <v/>
      </c>
      <c r="D36" s="263" t="str">
        <f t="shared" si="2"/>
        <v/>
      </c>
      <c r="E36" s="38"/>
      <c r="F36" s="38"/>
      <c r="G36" s="39"/>
      <c r="H36" s="36"/>
      <c r="I36" s="34"/>
      <c r="J36" s="37"/>
      <c r="K36" s="53"/>
    </row>
    <row r="37" spans="1:11" hidden="1" outlineLevel="1" x14ac:dyDescent="0.2">
      <c r="A37" s="42"/>
      <c r="B37" s="45" t="str">
        <f t="shared" si="1"/>
        <v/>
      </c>
      <c r="C37" s="263" t="str">
        <f>IF(B154="--","",ROUNDUP(Table30[[#This Row],[DB Number]]/NumDBPerVol,0))</f>
        <v/>
      </c>
      <c r="D37" s="263" t="str">
        <f t="shared" si="2"/>
        <v/>
      </c>
      <c r="E37" s="38"/>
      <c r="F37" s="38"/>
      <c r="G37" s="39"/>
      <c r="H37" s="36"/>
      <c r="I37" s="34"/>
      <c r="J37" s="37"/>
      <c r="K37" s="53"/>
    </row>
    <row r="38" spans="1:11" hidden="1" outlineLevel="1" x14ac:dyDescent="0.2">
      <c r="A38" s="42"/>
      <c r="B38" s="45" t="str">
        <f t="shared" si="1"/>
        <v/>
      </c>
      <c r="C38" s="263" t="str">
        <f>IF(B155="--","",ROUNDUP(Table30[[#This Row],[DB Number]]/NumDBPerVol,0))</f>
        <v/>
      </c>
      <c r="D38" s="263" t="str">
        <f t="shared" si="2"/>
        <v/>
      </c>
      <c r="E38" s="38"/>
      <c r="F38" s="38"/>
      <c r="G38" s="39"/>
      <c r="H38" s="36"/>
      <c r="I38" s="34"/>
      <c r="J38" s="37"/>
      <c r="K38" s="53"/>
    </row>
    <row r="39" spans="1:11" hidden="1" outlineLevel="1" x14ac:dyDescent="0.2">
      <c r="A39" s="42"/>
      <c r="B39" s="45" t="str">
        <f t="shared" ref="B39:B70" si="3">IF(B156&lt;&gt;"--",IF(B156="DB-x",B38+1,B156),"")</f>
        <v/>
      </c>
      <c r="C39" s="263" t="str">
        <f>IF(B156="--","",ROUNDUP(Table30[[#This Row],[DB Number]]/NumDBPerVol,0))</f>
        <v/>
      </c>
      <c r="D39" s="263" t="str">
        <f t="shared" si="2"/>
        <v/>
      </c>
      <c r="E39" s="38"/>
      <c r="F39" s="38"/>
      <c r="G39" s="39"/>
      <c r="H39" s="36"/>
      <c r="I39" s="34"/>
      <c r="J39" s="37"/>
      <c r="K39" s="53"/>
    </row>
    <row r="40" spans="1:11" hidden="1" outlineLevel="1" x14ac:dyDescent="0.2">
      <c r="A40" s="42"/>
      <c r="B40" s="45" t="str">
        <f t="shared" si="3"/>
        <v/>
      </c>
      <c r="C40" s="263" t="str">
        <f>IF(B157="--","",ROUNDUP(Table30[[#This Row],[DB Number]]/NumDBPerVol,0))</f>
        <v/>
      </c>
      <c r="D40" s="263" t="str">
        <f t="shared" si="2"/>
        <v/>
      </c>
      <c r="E40" s="38"/>
      <c r="F40" s="38"/>
      <c r="G40" s="39"/>
      <c r="H40" s="36"/>
      <c r="I40" s="34"/>
      <c r="J40" s="37"/>
      <c r="K40" s="53"/>
    </row>
    <row r="41" spans="1:11" hidden="1" outlineLevel="1" x14ac:dyDescent="0.2">
      <c r="A41" s="42"/>
      <c r="B41" s="45" t="str">
        <f t="shared" si="3"/>
        <v/>
      </c>
      <c r="C41" s="263" t="str">
        <f>IF(B158="--","",ROUNDUP(Table30[[#This Row],[DB Number]]/NumDBPerVol,0))</f>
        <v/>
      </c>
      <c r="D41" s="263" t="str">
        <f t="shared" si="2"/>
        <v/>
      </c>
      <c r="E41" s="38"/>
      <c r="F41" s="38"/>
      <c r="G41" s="39"/>
      <c r="H41" s="36"/>
      <c r="I41" s="34"/>
      <c r="J41" s="37"/>
      <c r="K41" s="53"/>
    </row>
    <row r="42" spans="1:11" hidden="1" outlineLevel="1" x14ac:dyDescent="0.2">
      <c r="A42" s="42"/>
      <c r="B42" s="45" t="str">
        <f t="shared" si="3"/>
        <v/>
      </c>
      <c r="C42" s="263" t="str">
        <f>IF(B159="--","",ROUNDUP(Table30[[#This Row],[DB Number]]/NumDBPerVol,0))</f>
        <v/>
      </c>
      <c r="D42" s="263" t="str">
        <f t="shared" si="2"/>
        <v/>
      </c>
      <c r="E42" s="38"/>
      <c r="F42" s="38"/>
      <c r="G42" s="39"/>
      <c r="H42" s="36"/>
      <c r="I42" s="34"/>
      <c r="J42" s="37"/>
      <c r="K42" s="53"/>
    </row>
    <row r="43" spans="1:11" hidden="1" outlineLevel="1" x14ac:dyDescent="0.2">
      <c r="A43" s="42"/>
      <c r="B43" s="45" t="str">
        <f t="shared" si="3"/>
        <v/>
      </c>
      <c r="C43" s="263" t="str">
        <f>IF(B160="--","",ROUNDUP(Table30[[#This Row],[DB Number]]/NumDBPerVol,0))</f>
        <v/>
      </c>
      <c r="D43" s="263" t="str">
        <f t="shared" si="2"/>
        <v/>
      </c>
      <c r="E43" s="38"/>
      <c r="F43" s="38"/>
      <c r="G43" s="39"/>
      <c r="H43" s="36"/>
      <c r="I43" s="34"/>
      <c r="J43" s="37"/>
      <c r="K43" s="53"/>
    </row>
    <row r="44" spans="1:11" hidden="1" outlineLevel="1" x14ac:dyDescent="0.2">
      <c r="A44" s="42"/>
      <c r="B44" s="45" t="str">
        <f t="shared" si="3"/>
        <v/>
      </c>
      <c r="C44" s="263" t="str">
        <f>IF(B161="--","",ROUNDUP(Table30[[#This Row],[DB Number]]/NumDBPerVol,0))</f>
        <v/>
      </c>
      <c r="D44" s="263" t="str">
        <f t="shared" si="2"/>
        <v/>
      </c>
      <c r="E44" s="38"/>
      <c r="F44" s="38"/>
      <c r="G44" s="39"/>
      <c r="H44" s="36"/>
      <c r="I44" s="34"/>
      <c r="J44" s="37"/>
      <c r="K44" s="53"/>
    </row>
    <row r="45" spans="1:11" hidden="1" outlineLevel="1" x14ac:dyDescent="0.2">
      <c r="A45" s="42"/>
      <c r="B45" s="45" t="str">
        <f t="shared" si="3"/>
        <v/>
      </c>
      <c r="C45" s="263" t="str">
        <f>IF(B162="--","",ROUNDUP(Table30[[#This Row],[DB Number]]/NumDBPerVol,0))</f>
        <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1</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1</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3</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v>
      </c>
      <c r="I124" s="323">
        <f t="shared" si="9"/>
        <v>0</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v>
      </c>
      <c r="I125" s="324">
        <f t="shared" si="9"/>
        <v>0</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v>
      </c>
      <c r="I126" s="323">
        <f t="shared" si="9"/>
        <v>0</v>
      </c>
      <c r="J126" s="302">
        <f t="shared" si="10"/>
        <v>0</v>
      </c>
    </row>
    <row r="127" spans="1:13" x14ac:dyDescent="0.2">
      <c r="A127" s="42"/>
      <c r="B127" s="207" t="str">
        <f>IF(AND(TotNumDBCopiesServer&gt;COUNTA(B$123:B126),ValidationCheck=FALSE),IF(HAOption="Yes","DB-x",B126+1),"--")</f>
        <v>--</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0</v>
      </c>
      <c r="D127" s="286">
        <f t="shared" si="11"/>
        <v>0</v>
      </c>
      <c r="E127" s="286">
        <f t="shared" si="12"/>
        <v>0</v>
      </c>
      <c r="F127" s="286">
        <f t="shared" si="13"/>
        <v>0</v>
      </c>
      <c r="G127" s="36"/>
      <c r="H127" s="829" t="str">
        <f t="shared" si="8"/>
        <v>--</v>
      </c>
      <c r="I127" s="324">
        <f t="shared" si="9"/>
        <v>0</v>
      </c>
      <c r="J127" s="303">
        <f t="shared" si="10"/>
        <v>0</v>
      </c>
      <c r="M127" s="52"/>
    </row>
    <row r="128" spans="1:13" x14ac:dyDescent="0.2">
      <c r="A128" s="42"/>
      <c r="B128" s="207" t="str">
        <f>IF(AND(TotNumDBCopiesServer&gt;COUNTA(B$123:B127),ValidationCheck=FALSE),IF(HAOption="Yes","DB-x",B127+1),"--")</f>
        <v>--</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0</v>
      </c>
      <c r="D128" s="286">
        <f t="shared" si="11"/>
        <v>0</v>
      </c>
      <c r="E128" s="286">
        <f t="shared" si="12"/>
        <v>0</v>
      </c>
      <c r="F128" s="286">
        <f t="shared" si="13"/>
        <v>0</v>
      </c>
      <c r="G128" s="36"/>
      <c r="H128" s="828" t="str">
        <f t="shared" si="8"/>
        <v>--</v>
      </c>
      <c r="I128" s="323">
        <f t="shared" si="9"/>
        <v>0</v>
      </c>
      <c r="J128" s="302">
        <f t="shared" si="10"/>
        <v>0</v>
      </c>
    </row>
    <row r="129" spans="1:10" x14ac:dyDescent="0.2">
      <c r="A129" s="42"/>
      <c r="B129" s="207" t="str">
        <f>IF(AND(TotNumDBCopiesServer&gt;COUNTA(B$123:B128),ValidationCheck=FALSE),IF(HAOption="Yes","DB-x",B128+1),"--")</f>
        <v>--</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0</v>
      </c>
      <c r="D129" s="286">
        <f t="shared" si="11"/>
        <v>0</v>
      </c>
      <c r="E129" s="286">
        <f t="shared" si="12"/>
        <v>0</v>
      </c>
      <c r="F129" s="286">
        <f t="shared" si="13"/>
        <v>0</v>
      </c>
      <c r="G129" s="36"/>
      <c r="H129" s="829" t="str">
        <f t="shared" si="8"/>
        <v>--</v>
      </c>
      <c r="I129" s="324">
        <f t="shared" si="9"/>
        <v>0</v>
      </c>
      <c r="J129" s="303">
        <f t="shared" si="10"/>
        <v>0</v>
      </c>
    </row>
    <row r="130" spans="1:10" x14ac:dyDescent="0.2">
      <c r="A130" s="42"/>
      <c r="B130" s="207" t="str">
        <f>IF(AND(TotNumDBCopiesServer&gt;COUNTA(B$123:B129),ValidationCheck=FALSE),IF(HAOption="Yes","DB-x",B129+1),"--")</f>
        <v>--</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0</v>
      </c>
      <c r="D130" s="286">
        <f t="shared" si="11"/>
        <v>0</v>
      </c>
      <c r="E130" s="286">
        <f t="shared" si="12"/>
        <v>0</v>
      </c>
      <c r="F130" s="286">
        <f t="shared" si="13"/>
        <v>0</v>
      </c>
      <c r="G130" s="36"/>
      <c r="H130" s="828" t="str">
        <f t="shared" si="8"/>
        <v>--</v>
      </c>
      <c r="I130" s="323">
        <f t="shared" si="9"/>
        <v>0</v>
      </c>
      <c r="J130" s="302">
        <f t="shared" si="10"/>
        <v>0</v>
      </c>
    </row>
    <row r="131" spans="1:10" x14ac:dyDescent="0.2">
      <c r="A131" s="42"/>
      <c r="B131" s="207" t="str">
        <f>IF(AND(TotNumDBCopiesServer&gt;COUNTA(B$123:B130),ValidationCheck=FALSE),IF(HAOption="Yes","DB-x",B130+1),"--")</f>
        <v>--</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0</v>
      </c>
      <c r="D131" s="286">
        <f t="shared" si="11"/>
        <v>0</v>
      </c>
      <c r="E131" s="286">
        <f t="shared" si="12"/>
        <v>0</v>
      </c>
      <c r="F131" s="286">
        <f t="shared" si="13"/>
        <v>0</v>
      </c>
      <c r="G131" s="36"/>
      <c r="H131" s="829" t="str">
        <f t="shared" si="8"/>
        <v>--</v>
      </c>
      <c r="I131" s="324">
        <f t="shared" si="9"/>
        <v>0</v>
      </c>
      <c r="J131" s="303">
        <f t="shared" si="10"/>
        <v>0</v>
      </c>
    </row>
    <row r="132" spans="1:10" x14ac:dyDescent="0.2">
      <c r="A132" s="42"/>
      <c r="B132" s="207" t="str">
        <f>IF(AND(TotNumDBCopiesServer&gt;COUNTA(B$123:B131),ValidationCheck=FALSE),IF(HAOption="Yes","DB-x",B131+1),"--")</f>
        <v>--</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0</v>
      </c>
      <c r="D132" s="286">
        <f t="shared" si="11"/>
        <v>0</v>
      </c>
      <c r="E132" s="286">
        <f t="shared" si="12"/>
        <v>0</v>
      </c>
      <c r="F132" s="286">
        <f t="shared" si="13"/>
        <v>0</v>
      </c>
      <c r="G132" s="36"/>
      <c r="H132" s="828" t="str">
        <f t="shared" si="8"/>
        <v>--</v>
      </c>
      <c r="I132" s="323">
        <f t="shared" si="9"/>
        <v>0</v>
      </c>
      <c r="J132" s="302">
        <f t="shared" si="10"/>
        <v>0</v>
      </c>
    </row>
    <row r="133" spans="1:10" x14ac:dyDescent="0.2">
      <c r="A133" s="42"/>
      <c r="B133" s="207" t="str">
        <f>IF(AND(TotNumDBCopiesServer&gt;COUNTA(B$123:B132),ValidationCheck=FALSE),IF(HAOption="Yes","DB-x",B132+1),"--")</f>
        <v>--</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0</v>
      </c>
      <c r="D133" s="286">
        <f t="shared" si="11"/>
        <v>0</v>
      </c>
      <c r="E133" s="286">
        <f t="shared" si="12"/>
        <v>0</v>
      </c>
      <c r="F133" s="286">
        <f t="shared" si="13"/>
        <v>0</v>
      </c>
      <c r="G133" s="36"/>
      <c r="H133" s="829" t="str">
        <f t="shared" si="8"/>
        <v>--</v>
      </c>
      <c r="I133" s="324">
        <f t="shared" si="9"/>
        <v>0</v>
      </c>
      <c r="J133" s="303">
        <f t="shared" si="10"/>
        <v>0</v>
      </c>
    </row>
    <row r="134" spans="1:10" x14ac:dyDescent="0.2">
      <c r="A134" s="42"/>
      <c r="B134" s="207" t="str">
        <f>IF(AND(TotNumDBCopiesServer&gt;COUNTA(B$123:B133),ValidationCheck=FALSE),IF(HAOption="Yes","DB-x",B133+1),"--")</f>
        <v>--</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0</v>
      </c>
      <c r="D134" s="286">
        <f t="shared" si="11"/>
        <v>0</v>
      </c>
      <c r="E134" s="286">
        <f t="shared" si="12"/>
        <v>0</v>
      </c>
      <c r="F134" s="286">
        <f t="shared" si="13"/>
        <v>0</v>
      </c>
      <c r="G134" s="36"/>
      <c r="H134" s="828" t="str">
        <f t="shared" si="8"/>
        <v>--</v>
      </c>
      <c r="I134" s="323">
        <f t="shared" si="9"/>
        <v>0</v>
      </c>
      <c r="J134" s="302">
        <f t="shared" si="10"/>
        <v>0</v>
      </c>
    </row>
    <row r="135" spans="1:10" x14ac:dyDescent="0.2">
      <c r="A135" s="42"/>
      <c r="B135" s="207" t="str">
        <f>IF(AND(TotNumDBCopiesServer&gt;COUNTA(B$123:B134),ValidationCheck=FALSE),IF(HAOption="Yes","DB-x",B134+1),"--")</f>
        <v>--</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0</v>
      </c>
      <c r="D135" s="286">
        <f t="shared" si="11"/>
        <v>0</v>
      </c>
      <c r="E135" s="286">
        <f t="shared" si="12"/>
        <v>0</v>
      </c>
      <c r="F135" s="286">
        <f t="shared" si="13"/>
        <v>0</v>
      </c>
      <c r="G135" s="36"/>
      <c r="H135" s="829" t="str">
        <f t="shared" si="8"/>
        <v>--</v>
      </c>
      <c r="I135" s="324">
        <f t="shared" si="9"/>
        <v>0</v>
      </c>
      <c r="J135" s="303">
        <f t="shared" si="10"/>
        <v>0</v>
      </c>
    </row>
    <row r="136" spans="1:10" x14ac:dyDescent="0.2">
      <c r="A136" s="42"/>
      <c r="B136" s="207" t="str">
        <f>IF(AND(TotNumDBCopiesServer&gt;COUNTA(B$123:B135),ValidationCheck=FALSE),IF(HAOption="Yes","DB-x",B135+1),"--")</f>
        <v>--</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0</v>
      </c>
      <c r="D136" s="286">
        <f t="shared" si="11"/>
        <v>0</v>
      </c>
      <c r="E136" s="286">
        <f t="shared" si="12"/>
        <v>0</v>
      </c>
      <c r="F136" s="286">
        <f t="shared" si="13"/>
        <v>0</v>
      </c>
      <c r="G136" s="36"/>
      <c r="H136" s="828" t="str">
        <f t="shared" si="8"/>
        <v>--</v>
      </c>
      <c r="I136" s="323">
        <f t="shared" si="9"/>
        <v>0</v>
      </c>
      <c r="J136" s="302">
        <f t="shared" si="10"/>
        <v>0</v>
      </c>
    </row>
    <row r="137" spans="1:10" x14ac:dyDescent="0.2">
      <c r="A137" s="42"/>
      <c r="B137" s="207" t="str">
        <f>IF(AND(TotNumDBCopiesServer&gt;COUNTA(B$123:B136),ValidationCheck=FALSE),IF(HAOption="Yes","DB-x",B136+1),"--")</f>
        <v>--</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0</v>
      </c>
      <c r="D137" s="286">
        <f t="shared" si="11"/>
        <v>0</v>
      </c>
      <c r="E137" s="286">
        <f t="shared" si="12"/>
        <v>0</v>
      </c>
      <c r="F137" s="286">
        <f t="shared" si="13"/>
        <v>0</v>
      </c>
      <c r="G137" s="36"/>
      <c r="H137" s="829" t="str">
        <f t="shared" si="8"/>
        <v>--</v>
      </c>
      <c r="I137" s="324">
        <f t="shared" si="9"/>
        <v>0</v>
      </c>
      <c r="J137" s="303">
        <f t="shared" si="10"/>
        <v>0</v>
      </c>
    </row>
    <row r="138" spans="1:10" x14ac:dyDescent="0.2">
      <c r="A138" s="42"/>
      <c r="B138" s="207" t="str">
        <f>IF(AND(TotNumDBCopiesServer&gt;COUNTA(B$123:B137),ValidationCheck=FALSE),IF(HAOption="Yes","DB-x",B137+1),"--")</f>
        <v>--</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0</v>
      </c>
      <c r="D138" s="286">
        <f t="shared" si="11"/>
        <v>0</v>
      </c>
      <c r="E138" s="286">
        <f t="shared" si="12"/>
        <v>0</v>
      </c>
      <c r="F138" s="286">
        <f t="shared" si="13"/>
        <v>0</v>
      </c>
      <c r="G138" s="36"/>
      <c r="H138" s="828" t="str">
        <f t="shared" si="8"/>
        <v>--</v>
      </c>
      <c r="I138" s="800">
        <f t="shared" si="9"/>
        <v>0</v>
      </c>
      <c r="J138" s="302">
        <f t="shared" si="10"/>
        <v>0</v>
      </c>
    </row>
    <row r="139" spans="1:10" x14ac:dyDescent="0.2">
      <c r="A139" s="42"/>
      <c r="B139" s="207" t="str">
        <f>IF(AND(TotNumDBCopiesServer&gt;COUNTA(B$123:B138),ValidationCheck=FALSE),IF(HAOption="Yes","DB-x",B138+1),"--")</f>
        <v>--</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0</v>
      </c>
      <c r="D139" s="286">
        <f t="shared" si="11"/>
        <v>0</v>
      </c>
      <c r="E139" s="286">
        <f t="shared" si="12"/>
        <v>0</v>
      </c>
      <c r="F139" s="286">
        <f t="shared" si="13"/>
        <v>0</v>
      </c>
      <c r="G139" s="36"/>
      <c r="H139" s="829" t="str">
        <f t="shared" si="8"/>
        <v>--</v>
      </c>
      <c r="I139" s="801">
        <f t="shared" si="9"/>
        <v>0</v>
      </c>
      <c r="J139" s="303">
        <f t="shared" si="10"/>
        <v>0</v>
      </c>
    </row>
    <row r="140" spans="1:10" x14ac:dyDescent="0.2">
      <c r="A140" s="42"/>
      <c r="B140" s="207" t="str">
        <f>IF(AND(TotNumDBCopiesServer&gt;COUNTA(B$123:B139),ValidationCheck=FALSE),IF(HAOption="Yes","DB-x",B139+1),"--")</f>
        <v>--</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0</v>
      </c>
      <c r="D140" s="286">
        <f t="shared" si="11"/>
        <v>0</v>
      </c>
      <c r="E140" s="286">
        <f t="shared" si="12"/>
        <v>0</v>
      </c>
      <c r="F140" s="286">
        <f t="shared" si="13"/>
        <v>0</v>
      </c>
      <c r="G140" s="36"/>
      <c r="H140" s="828" t="str">
        <f t="shared" si="8"/>
        <v>--</v>
      </c>
      <c r="I140" s="800">
        <f t="shared" si="9"/>
        <v>0</v>
      </c>
      <c r="J140" s="302">
        <f t="shared" si="10"/>
        <v>0</v>
      </c>
    </row>
    <row r="141" spans="1:10" x14ac:dyDescent="0.2">
      <c r="A141" s="42"/>
      <c r="B141" s="207" t="str">
        <f>IF(AND(TotNumDBCopiesServer&gt;COUNTA(B$123:B140),ValidationCheck=FALSE),IF(HAOption="Yes","DB-x",B140+1),"--")</f>
        <v>--</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0</v>
      </c>
      <c r="D141" s="286">
        <f t="shared" si="11"/>
        <v>0</v>
      </c>
      <c r="E141" s="286">
        <f t="shared" si="12"/>
        <v>0</v>
      </c>
      <c r="F141" s="286">
        <f t="shared" si="13"/>
        <v>0</v>
      </c>
      <c r="G141" s="36"/>
      <c r="H141" s="829" t="str">
        <f t="shared" si="8"/>
        <v>--</v>
      </c>
      <c r="I141" s="801">
        <f t="shared" si="9"/>
        <v>0</v>
      </c>
      <c r="J141" s="303">
        <f t="shared" si="10"/>
        <v>0</v>
      </c>
    </row>
    <row r="142" spans="1:10" x14ac:dyDescent="0.2">
      <c r="A142" s="42"/>
      <c r="B142" s="207" t="str">
        <f>IF(AND(TotNumDBCopiesServer&gt;COUNTA(B$123:B141),ValidationCheck=FALSE),IF(HAOption="Yes","DB-x",B141+1),"--")</f>
        <v>--</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0</v>
      </c>
      <c r="D142" s="286">
        <f t="shared" si="11"/>
        <v>0</v>
      </c>
      <c r="E142" s="286">
        <f t="shared" si="12"/>
        <v>0</v>
      </c>
      <c r="F142" s="286">
        <f t="shared" si="13"/>
        <v>0</v>
      </c>
      <c r="G142" s="36"/>
      <c r="H142" s="828" t="str">
        <f t="shared" si="8"/>
        <v>--</v>
      </c>
      <c r="I142" s="800">
        <f t="shared" si="9"/>
        <v>0</v>
      </c>
      <c r="J142" s="302">
        <f t="shared" si="10"/>
        <v>0</v>
      </c>
    </row>
    <row r="143" spans="1:10" x14ac:dyDescent="0.2">
      <c r="A143" s="42"/>
      <c r="B143" s="207" t="str">
        <f>IF(AND(TotNumDBCopiesServer&gt;COUNTA(B$123:B142),ValidationCheck=FALSE),IF(HAOption="Yes","DB-x",B142+1),"--")</f>
        <v>--</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0</v>
      </c>
      <c r="D143" s="286">
        <f t="shared" si="11"/>
        <v>0</v>
      </c>
      <c r="E143" s="286">
        <f t="shared" si="12"/>
        <v>0</v>
      </c>
      <c r="F143" s="286">
        <f t="shared" si="13"/>
        <v>0</v>
      </c>
      <c r="G143" s="36"/>
      <c r="H143" s="829" t="str">
        <f t="shared" si="8"/>
        <v>--</v>
      </c>
      <c r="I143" s="801">
        <f t="shared" si="9"/>
        <v>0</v>
      </c>
      <c r="J143" s="303">
        <f t="shared" si="10"/>
        <v>0</v>
      </c>
    </row>
    <row r="144" spans="1:10" x14ac:dyDescent="0.2">
      <c r="A144" s="42"/>
      <c r="B144" s="207" t="str">
        <f>IF(AND(TotNumDBCopiesServer&gt;COUNTA(B$123:B143),ValidationCheck=FALSE),IF(HAOption="Yes","DB-x",B143+1),"--")</f>
        <v>--</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0</v>
      </c>
      <c r="D144" s="286">
        <f t="shared" si="11"/>
        <v>0</v>
      </c>
      <c r="E144" s="286">
        <f t="shared" si="12"/>
        <v>0</v>
      </c>
      <c r="F144" s="286">
        <f t="shared" si="13"/>
        <v>0</v>
      </c>
      <c r="G144" s="36"/>
      <c r="H144" s="828" t="str">
        <f t="shared" si="8"/>
        <v>--</v>
      </c>
      <c r="I144" s="800">
        <f t="shared" si="9"/>
        <v>0</v>
      </c>
      <c r="J144" s="302">
        <f t="shared" si="10"/>
        <v>0</v>
      </c>
    </row>
    <row r="145" spans="1:10" x14ac:dyDescent="0.2">
      <c r="A145" s="42"/>
      <c r="B145" s="207" t="str">
        <f>IF(AND(TotNumDBCopiesServer&gt;COUNTA(B$123:B144),ValidationCheck=FALSE),IF(HAOption="Yes","DB-x",B144+1),"--")</f>
        <v>--</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0</v>
      </c>
      <c r="D145" s="286">
        <f t="shared" si="11"/>
        <v>0</v>
      </c>
      <c r="E145" s="286">
        <f t="shared" si="12"/>
        <v>0</v>
      </c>
      <c r="F145" s="286">
        <f t="shared" si="13"/>
        <v>0</v>
      </c>
      <c r="G145" s="36"/>
      <c r="H145" s="829" t="str">
        <f t="shared" si="8"/>
        <v>--</v>
      </c>
      <c r="I145" s="801">
        <f t="shared" si="9"/>
        <v>0</v>
      </c>
      <c r="J145" s="303">
        <f t="shared" si="10"/>
        <v>0</v>
      </c>
    </row>
    <row r="146" spans="1:10" x14ac:dyDescent="0.2">
      <c r="A146" s="42"/>
      <c r="B146" s="207" t="str">
        <f>IF(AND(TotNumDBCopiesServer&gt;COUNTA(B$123:B145),ValidationCheck=FALSE),IF(HAOption="Yes","DB-x",B145+1),"--")</f>
        <v>--</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0</v>
      </c>
      <c r="D146" s="286">
        <f t="shared" si="11"/>
        <v>0</v>
      </c>
      <c r="E146" s="286">
        <f t="shared" si="12"/>
        <v>0</v>
      </c>
      <c r="F146" s="286">
        <f t="shared" si="13"/>
        <v>0</v>
      </c>
      <c r="G146" s="36"/>
      <c r="H146" s="828" t="str">
        <f t="shared" si="8"/>
        <v>--</v>
      </c>
      <c r="I146" s="800">
        <f t="shared" si="9"/>
        <v>0</v>
      </c>
      <c r="J146" s="302">
        <f t="shared" si="10"/>
        <v>0</v>
      </c>
    </row>
    <row r="147" spans="1:10" x14ac:dyDescent="0.2">
      <c r="A147" s="42"/>
      <c r="B147" s="207" t="str">
        <f>IF(AND(TotNumDBCopiesServer&gt;COUNTA(B$123:B146),ValidationCheck=FALSE),IF(HAOption="Yes","DB-x",B146+1),"--")</f>
        <v>--</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0</v>
      </c>
      <c r="D147" s="286">
        <f t="shared" si="11"/>
        <v>0</v>
      </c>
      <c r="E147" s="286">
        <f t="shared" si="12"/>
        <v>0</v>
      </c>
      <c r="F147" s="286">
        <f t="shared" si="13"/>
        <v>0</v>
      </c>
      <c r="G147" s="36"/>
      <c r="H147" s="829" t="str">
        <f t="shared" si="8"/>
        <v>--</v>
      </c>
      <c r="I147" s="801">
        <f t="shared" si="9"/>
        <v>0</v>
      </c>
      <c r="J147" s="303">
        <f t="shared" si="10"/>
        <v>0</v>
      </c>
    </row>
    <row r="148" spans="1:10" x14ac:dyDescent="0.2">
      <c r="A148" s="42"/>
      <c r="B148" s="207" t="str">
        <f>IF(AND(TotNumDBCopiesServer&gt;COUNTA(B$123:B147),ValidationCheck=FALSE),IF(HAOption="Yes","DB-x",B147+1),"--")</f>
        <v>--</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0</v>
      </c>
      <c r="D148" s="286">
        <f t="shared" si="11"/>
        <v>0</v>
      </c>
      <c r="E148" s="286">
        <f t="shared" si="12"/>
        <v>0</v>
      </c>
      <c r="F148" s="286">
        <f t="shared" si="13"/>
        <v>0</v>
      </c>
      <c r="G148" s="36"/>
      <c r="H148" s="828" t="str">
        <f t="shared" si="8"/>
        <v>--</v>
      </c>
      <c r="I148" s="800">
        <f t="shared" si="9"/>
        <v>0</v>
      </c>
      <c r="J148" s="302">
        <f t="shared" si="10"/>
        <v>0</v>
      </c>
    </row>
    <row r="149" spans="1:10" x14ac:dyDescent="0.2">
      <c r="A149" s="42"/>
      <c r="B149" s="207" t="str">
        <f>IF(AND(TotNumDBCopiesServer&gt;COUNTA(B$123:B148),ValidationCheck=FALSE),IF(HAOption="Yes","DB-x",B148+1),"--")</f>
        <v>--</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0</v>
      </c>
      <c r="D149" s="286">
        <f t="shared" si="11"/>
        <v>0</v>
      </c>
      <c r="E149" s="286">
        <f t="shared" si="12"/>
        <v>0</v>
      </c>
      <c r="F149" s="286">
        <f t="shared" si="13"/>
        <v>0</v>
      </c>
      <c r="G149" s="36"/>
      <c r="H149" s="829" t="str">
        <f t="shared" si="8"/>
        <v>--</v>
      </c>
      <c r="I149" s="801">
        <f t="shared" si="9"/>
        <v>0</v>
      </c>
      <c r="J149" s="303">
        <f t="shared" si="10"/>
        <v>0</v>
      </c>
    </row>
    <row r="150" spans="1:10" x14ac:dyDescent="0.2">
      <c r="A150" s="42"/>
      <c r="B150" s="207" t="str">
        <f>IF(AND(TotNumDBCopiesServer&gt;COUNTA(B$123:B149),ValidationCheck=FALSE),IF(HAOption="Yes","DB-x",B149+1),"--")</f>
        <v>--</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0</v>
      </c>
      <c r="D150" s="286">
        <f t="shared" si="11"/>
        <v>0</v>
      </c>
      <c r="E150" s="286">
        <f t="shared" si="12"/>
        <v>0</v>
      </c>
      <c r="F150" s="286">
        <f t="shared" si="13"/>
        <v>0</v>
      </c>
      <c r="G150" s="36"/>
      <c r="H150" s="828" t="str">
        <f t="shared" si="8"/>
        <v>--</v>
      </c>
      <c r="I150" s="800">
        <f t="shared" si="9"/>
        <v>0</v>
      </c>
      <c r="J150" s="302">
        <f t="shared" si="10"/>
        <v>0</v>
      </c>
    </row>
    <row r="151" spans="1:10" x14ac:dyDescent="0.2">
      <c r="A151" s="42"/>
      <c r="B151" s="207" t="str">
        <f>IF(AND(TotNumDBCopiesServer&gt;COUNTA(B$123:B150),ValidationCheck=FALSE),IF(HAOption="Yes","DB-x",B150+1),"--")</f>
        <v>--</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0</v>
      </c>
      <c r="D151" s="286">
        <f t="shared" si="11"/>
        <v>0</v>
      </c>
      <c r="E151" s="286">
        <f t="shared" si="12"/>
        <v>0</v>
      </c>
      <c r="F151" s="286">
        <f t="shared" si="13"/>
        <v>0</v>
      </c>
      <c r="G151" s="36"/>
      <c r="H151" s="829" t="str">
        <f t="shared" si="8"/>
        <v>--</v>
      </c>
      <c r="I151" s="801">
        <f t="shared" si="9"/>
        <v>0</v>
      </c>
      <c r="J151" s="303">
        <f t="shared" si="10"/>
        <v>0</v>
      </c>
    </row>
    <row r="152" spans="1:10" x14ac:dyDescent="0.2">
      <c r="A152" s="42"/>
      <c r="B152" s="207" t="str">
        <f>IF(AND(TotNumDBCopiesServer&gt;COUNTA(B$123:B151),ValidationCheck=FALSE),IF(HAOption="Yes","DB-x",B151+1),"--")</f>
        <v>--</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0</v>
      </c>
      <c r="D152" s="286">
        <f t="shared" si="11"/>
        <v>0</v>
      </c>
      <c r="E152" s="286">
        <f t="shared" si="12"/>
        <v>0</v>
      </c>
      <c r="F152" s="286">
        <f t="shared" si="13"/>
        <v>0</v>
      </c>
      <c r="G152" s="36"/>
      <c r="H152" s="828" t="str">
        <f t="shared" si="8"/>
        <v>--</v>
      </c>
      <c r="I152" s="800">
        <f t="shared" si="9"/>
        <v>0</v>
      </c>
      <c r="J152" s="302">
        <f t="shared" si="10"/>
        <v>0</v>
      </c>
    </row>
    <row r="153" spans="1:10" x14ac:dyDescent="0.2">
      <c r="A153" s="42"/>
      <c r="B153" s="207" t="str">
        <f>IF(AND(TotNumDBCopiesServer&gt;COUNTA(B$123:B152),ValidationCheck=FALSE),IF(HAOption="Yes","DB-x",B152+1),"--")</f>
        <v>--</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0</v>
      </c>
      <c r="D153" s="286">
        <f t="shared" si="11"/>
        <v>0</v>
      </c>
      <c r="E153" s="286">
        <f t="shared" si="12"/>
        <v>0</v>
      </c>
      <c r="F153" s="286">
        <f t="shared" si="13"/>
        <v>0</v>
      </c>
      <c r="G153" s="36"/>
      <c r="H153" s="829" t="str">
        <f t="shared" si="8"/>
        <v>--</v>
      </c>
      <c r="I153" s="801">
        <f t="shared" si="9"/>
        <v>0</v>
      </c>
      <c r="J153" s="303">
        <f t="shared" si="10"/>
        <v>0</v>
      </c>
    </row>
    <row r="154" spans="1:10" x14ac:dyDescent="0.2">
      <c r="A154" s="42"/>
      <c r="B154" s="207" t="str">
        <f>IF(AND(TotNumDBCopiesServer&gt;COUNTA(B$123:B153),ValidationCheck=FALSE),IF(HAOption="Yes","DB-x",B153+1),"--")</f>
        <v>--</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0</v>
      </c>
      <c r="D154" s="286">
        <f t="shared" si="11"/>
        <v>0</v>
      </c>
      <c r="E154" s="286">
        <f t="shared" si="12"/>
        <v>0</v>
      </c>
      <c r="F154" s="286">
        <f t="shared" si="13"/>
        <v>0</v>
      </c>
      <c r="G154" s="36"/>
      <c r="H154" s="828" t="str">
        <f t="shared" si="8"/>
        <v>--</v>
      </c>
      <c r="I154" s="800">
        <f t="shared" si="9"/>
        <v>0</v>
      </c>
      <c r="J154" s="302">
        <f t="shared" si="10"/>
        <v>0</v>
      </c>
    </row>
    <row r="155" spans="1:10" x14ac:dyDescent="0.2">
      <c r="A155" s="42"/>
      <c r="B155" s="207" t="str">
        <f>IF(AND(TotNumDBCopiesServer&gt;COUNTA(B$123:B154),ValidationCheck=FALSE),IF(HAOption="Yes","DB-x",B154+1),"--")</f>
        <v>--</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0</v>
      </c>
      <c r="D155" s="286">
        <f t="shared" si="11"/>
        <v>0</v>
      </c>
      <c r="E155" s="286">
        <f t="shared" si="12"/>
        <v>0</v>
      </c>
      <c r="F155" s="286">
        <f t="shared" si="13"/>
        <v>0</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0</v>
      </c>
      <c r="D156" s="286">
        <f t="shared" ref="D156:D187" si="17">IF(C156=0,0,(C156*((Tier1MBXRatio*Tier1MBXSize)+(Tier3MBXRatio*Tier3MBXSize)+(Tier2MBXRatio*Tier2MBXSize)+(Tier4MBXRatio*Tier4MBXSize)))/1024)</f>
        <v>0</v>
      </c>
      <c r="E156" s="286">
        <f t="shared" ref="E156:E187" si="18">IF(B156&lt;&gt;"--",D156*(1+DataGrowth),0)</f>
        <v>0</v>
      </c>
      <c r="F156" s="286">
        <f t="shared" ref="F156:F187" si="19">IF(B156="--",0,TotLogDiskSpace/RecNumDBs)</f>
        <v>0</v>
      </c>
      <c r="G156" s="36"/>
      <c r="H156" s="828" t="str">
        <f t="shared" si="14"/>
        <v>--</v>
      </c>
      <c r="I156" s="800">
        <f t="shared" si="15"/>
        <v>0</v>
      </c>
      <c r="J156" s="302">
        <f t="shared" si="16"/>
        <v>0</v>
      </c>
    </row>
    <row r="157" spans="1:10" x14ac:dyDescent="0.2">
      <c r="A157" s="42"/>
      <c r="B157" s="207" t="str">
        <f>IF(AND(TotNumDBCopiesServer&gt;COUNTA(B$123:B156),ValidationCheck=FALSE),IF(HAOption="Yes","DB-x",B156+1),"--")</f>
        <v>--</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0</v>
      </c>
      <c r="D157" s="286">
        <f t="shared" si="17"/>
        <v>0</v>
      </c>
      <c r="E157" s="286">
        <f t="shared" si="18"/>
        <v>0</v>
      </c>
      <c r="F157" s="286">
        <f t="shared" si="19"/>
        <v>0</v>
      </c>
      <c r="G157" s="36"/>
      <c r="H157" s="829" t="str">
        <f t="shared" si="14"/>
        <v>--</v>
      </c>
      <c r="I157" s="801">
        <f t="shared" si="15"/>
        <v>0</v>
      </c>
      <c r="J157" s="303">
        <f t="shared" si="16"/>
        <v>0</v>
      </c>
    </row>
    <row r="158" spans="1:10" x14ac:dyDescent="0.2">
      <c r="A158" s="42"/>
      <c r="B158" s="207" t="str">
        <f>IF(AND(TotNumDBCopiesServer&gt;COUNTA(B$123:B157),ValidationCheck=FALSE),IF(HAOption="Yes","DB-x",B157+1),"--")</f>
        <v>--</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0</v>
      </c>
      <c r="D158" s="286">
        <f t="shared" si="17"/>
        <v>0</v>
      </c>
      <c r="E158" s="286">
        <f t="shared" si="18"/>
        <v>0</v>
      </c>
      <c r="F158" s="286">
        <f t="shared" si="19"/>
        <v>0</v>
      </c>
      <c r="G158" s="36"/>
      <c r="H158" s="828" t="str">
        <f t="shared" si="14"/>
        <v>--</v>
      </c>
      <c r="I158" s="800">
        <f t="shared" si="15"/>
        <v>0</v>
      </c>
      <c r="J158" s="302">
        <f t="shared" si="16"/>
        <v>0</v>
      </c>
    </row>
    <row r="159" spans="1:10" x14ac:dyDescent="0.2">
      <c r="A159" s="42"/>
      <c r="B159" s="207" t="str">
        <f>IF(AND(TotNumDBCopiesServer&gt;COUNTA(B$123:B158),ValidationCheck=FALSE),IF(HAOption="Yes","DB-x",B158+1),"--")</f>
        <v>--</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0</v>
      </c>
      <c r="D159" s="286">
        <f t="shared" si="17"/>
        <v>0</v>
      </c>
      <c r="E159" s="286">
        <f t="shared" si="18"/>
        <v>0</v>
      </c>
      <c r="F159" s="286">
        <f t="shared" si="19"/>
        <v>0</v>
      </c>
      <c r="G159" s="36"/>
      <c r="H159" s="829" t="str">
        <f t="shared" si="14"/>
        <v>--</v>
      </c>
      <c r="I159" s="801">
        <f t="shared" si="15"/>
        <v>0</v>
      </c>
      <c r="J159" s="303">
        <f t="shared" si="16"/>
        <v>0</v>
      </c>
    </row>
    <row r="160" spans="1:10" x14ac:dyDescent="0.2">
      <c r="A160" s="42"/>
      <c r="B160" s="207" t="str">
        <f>IF(AND(TotNumDBCopiesServer&gt;COUNTA(B$123:B159),ValidationCheck=FALSE),IF(HAOption="Yes","DB-x",B159+1),"--")</f>
        <v>--</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0</v>
      </c>
      <c r="D160" s="286">
        <f t="shared" si="17"/>
        <v>0</v>
      </c>
      <c r="E160" s="286">
        <f t="shared" si="18"/>
        <v>0</v>
      </c>
      <c r="F160" s="286">
        <f t="shared" si="19"/>
        <v>0</v>
      </c>
      <c r="G160" s="36"/>
      <c r="H160" s="828" t="str">
        <f t="shared" si="14"/>
        <v>--</v>
      </c>
      <c r="I160" s="800">
        <f t="shared" si="15"/>
        <v>0</v>
      </c>
      <c r="J160" s="302">
        <f t="shared" si="16"/>
        <v>0</v>
      </c>
    </row>
    <row r="161" spans="1:11" x14ac:dyDescent="0.2">
      <c r="A161" s="42"/>
      <c r="B161" s="207" t="str">
        <f>IF(AND(TotNumDBCopiesServer&gt;COUNTA(B$123:B160),ValidationCheck=FALSE),IF(HAOption="Yes","DB-x",B160+1),"--")</f>
        <v>--</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0</v>
      </c>
      <c r="D161" s="286">
        <f t="shared" si="17"/>
        <v>0</v>
      </c>
      <c r="E161" s="286">
        <f t="shared" si="18"/>
        <v>0</v>
      </c>
      <c r="F161" s="286">
        <f t="shared" si="19"/>
        <v>0</v>
      </c>
      <c r="G161" s="36"/>
      <c r="H161" s="829" t="str">
        <f t="shared" si="14"/>
        <v>--</v>
      </c>
      <c r="I161" s="801">
        <f t="shared" si="15"/>
        <v>0</v>
      </c>
      <c r="J161" s="303">
        <f t="shared" si="16"/>
        <v>0</v>
      </c>
    </row>
    <row r="162" spans="1:11" x14ac:dyDescent="0.2">
      <c r="A162" s="42"/>
      <c r="B162" s="207" t="str">
        <f>IF(AND(TotNumDBCopiesServer&gt;COUNTA(B$123:B161),ValidationCheck=FALSE),IF(HAOption="Yes","DB-x",B161+1),"--")</f>
        <v>--</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0</v>
      </c>
      <c r="D162" s="286">
        <f t="shared" si="17"/>
        <v>0</v>
      </c>
      <c r="E162" s="286">
        <f t="shared" si="18"/>
        <v>0</v>
      </c>
      <c r="F162" s="286">
        <f t="shared" si="19"/>
        <v>0</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3598.2216282894738</v>
      </c>
      <c r="J223" s="492">
        <f>SUM(J123:J222)</f>
        <v>0</v>
      </c>
      <c r="K223" s="53"/>
    </row>
    <row r="224" spans="1:11" x14ac:dyDescent="0.2">
      <c r="A224" s="42"/>
      <c r="B224" s="488" t="s">
        <v>555</v>
      </c>
      <c r="C224" s="486">
        <f>IF(AND(HAOption="Yes",ValidationCheck=FALSE),TotMBXPerDAG,"--")</f>
        <v>250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14392.886513157895</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250</v>
      </c>
      <c r="D225" s="489">
        <f>IF(ValidationCheck=FALSE,IF(HAOption="Yes", D224*calcNumDAGs,D223*numMBXServers),"--")</f>
        <v>10634.765625</v>
      </c>
      <c r="E225" s="489">
        <f>IF(ValidationCheck=FALSE,IF(HAOption="Yes", E224*calcNumDAGs,E223*numMBXServers),"--")</f>
        <v>10634.765625</v>
      </c>
      <c r="F225" s="489">
        <f>IF(ValidationCheck=FALSE,IF(HAOption="Yes", F224*calcNumDAGs,F223*numMBXServers),"--")</f>
        <v>379.78515625</v>
      </c>
      <c r="G225" s="209"/>
      <c r="H225" s="490" t="s">
        <v>556</v>
      </c>
      <c r="I225" s="738">
        <f>IF(ValidationCheck=FALSE,IF(HAOption="Yes", I224*calcNumDAGs,I223*numMBXServers),"--")</f>
        <v>14392.886513157895</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f>IF(AND(SiteResilienceEnabled="Yes",HAOption="Yes",ValidationCheck=FALSE,SUM(LogH1:LogH24)&lt;&gt;0),(LARGE(tblLogReplication,1)*(CalcNumDBUserTLogs+NumDBMoveMbxTLogs)*8)/3600*IF(NetworkCompression="Enabled",1-varLogCompressionFactor,1),"--")</f>
        <v>0.48612499999999992</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f>IF(AND(SiteResilienceEnabled="Yes",HAOption="Yes",ValidationCheck=FALSE,SUM(LogH1:LogH24)&lt;&gt;0),(LARGE(tblLogReplication,1)*(CalcNumDBUserTLogs+NumDBMoveMbxTLogs)*8)/3600,"--")</f>
        <v>0.69446428571428565</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f>IF(DBLogBandwidth&lt;&gt;"--",DBLogBandwidth*calcLogStreamsBtwnDCs,"--")</f>
        <v>3.8889999999999993</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f>IF(DBLogBandwidth&lt;&gt;"--",PeakCIBandwidth*calcLogStreamsBtwnDCs,"--")</f>
        <v>5.5557142857142852</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0.02</v>
      </c>
      <c r="D19" s="231">
        <f t="shared" si="0"/>
        <v>69.446428571428569</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0.02</v>
      </c>
      <c r="D20" s="228">
        <f t="shared" si="0"/>
        <v>69.446428571428569</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0.02</v>
      </c>
      <c r="D21" s="235">
        <f t="shared" si="0"/>
        <v>69.446428571428569</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0.03</v>
      </c>
      <c r="D22" s="228">
        <f t="shared" si="0"/>
        <v>104.16964285714285</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0.02</v>
      </c>
      <c r="D23" s="235">
        <f t="shared" si="0"/>
        <v>69.446428571428569</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0.05</v>
      </c>
      <c r="D24" s="228">
        <f t="shared" si="0"/>
        <v>173.61607142857144</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0.04</v>
      </c>
      <c r="D25" s="235">
        <f t="shared" si="0"/>
        <v>138.89285714285714</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0.08</v>
      </c>
      <c r="D26" s="228">
        <f t="shared" si="0"/>
        <v>277.78571428571428</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0.08</v>
      </c>
      <c r="D27" s="235">
        <f t="shared" si="0"/>
        <v>277.78571428571428</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0.09</v>
      </c>
      <c r="D28" s="228">
        <f t="shared" si="0"/>
        <v>312.50892857142856</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0.06</v>
      </c>
      <c r="D29" s="235">
        <f t="shared" si="0"/>
        <v>208.33928571428569</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7.0000000000000007E-2</v>
      </c>
      <c r="D30" s="228">
        <f t="shared" si="0"/>
        <v>243.0625</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7.0000000000000007E-2</v>
      </c>
      <c r="D31" s="235">
        <f t="shared" si="0"/>
        <v>243.0625</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7.0000000000000007E-2</v>
      </c>
      <c r="D32" s="228">
        <f t="shared" si="0"/>
        <v>243.0625</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0.05</v>
      </c>
      <c r="D33" s="235">
        <f t="shared" si="0"/>
        <v>173.61607142857144</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0.06</v>
      </c>
      <c r="D34" s="228">
        <f t="shared" si="0"/>
        <v>208.33928571428569</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0.03</v>
      </c>
      <c r="D35" s="235">
        <f t="shared" si="0"/>
        <v>104.16964285714285</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0.02</v>
      </c>
      <c r="D36" s="228">
        <f t="shared" si="0"/>
        <v>69.446428571428569</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0.04</v>
      </c>
      <c r="D37" s="235">
        <f t="shared" si="0"/>
        <v>138.89285714285714</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0.01</v>
      </c>
      <c r="D38" s="228">
        <f t="shared" si="0"/>
        <v>34.723214285714285</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0.02</v>
      </c>
      <c r="D39" s="235">
        <f t="shared" si="0"/>
        <v>69.446428571428569</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0.02</v>
      </c>
      <c r="D40" s="228">
        <f t="shared" si="0"/>
        <v>69.446428571428569</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0.01</v>
      </c>
      <c r="D41" s="235">
        <f t="shared" si="0"/>
        <v>34.723214285714285</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0.02</v>
      </c>
      <c r="D42" s="228">
        <f t="shared" si="0"/>
        <v>69.446428571428569</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0.02</v>
      </c>
      <c r="D43" s="279">
        <f t="shared" ref="D43:D66" si="1">C43*(CalcNumDBUserTLogs+NumDBMoveMbxTLogs)</f>
        <v>69.446428571428569</v>
      </c>
      <c r="E43" s="368">
        <f t="shared" ref="E43:E66" si="2">((AVERAGE($D43))*8)/3600</f>
        <v>0.15432539682539681</v>
      </c>
      <c r="F43" s="368">
        <f t="shared" ref="F43:F66" si="3">((AVERAGE($D42:$D43))*8)/3600</f>
        <v>0.15432539682539681</v>
      </c>
      <c r="G43" s="368">
        <f t="shared" ref="G43:G66" si="4">((AVERAGE($D41:$D43))*8)/3600</f>
        <v>0.12860449735449736</v>
      </c>
      <c r="H43" s="368">
        <f t="shared" ref="H43:I66" si="5">((AVERAGE($D39:$D43))*8)/3600</f>
        <v>0.13889285714285712</v>
      </c>
      <c r="I43" s="368">
        <f t="shared" si="5"/>
        <v>0.13889285714285712</v>
      </c>
      <c r="J43" s="368">
        <f t="shared" ref="J43:J66" si="6">((AVERAGE($D38:$D43))*8)/3600</f>
        <v>0.12860449735449733</v>
      </c>
      <c r="K43" s="368">
        <f t="shared" ref="K43:K66" si="7">((AVERAGE($D37:$D43))*8)/3600</f>
        <v>0.15432539682539681</v>
      </c>
      <c r="L43" s="368">
        <f t="shared" ref="L43:L66" si="8">((AVERAGE($D36:$D43))*8)/3600</f>
        <v>0.15432539682539681</v>
      </c>
      <c r="M43" s="368">
        <f t="shared" ref="M43:M66" si="9">((AVERAGE($D35:$D43))*8)/3600</f>
        <v>0.16289902998236327</v>
      </c>
      <c r="N43" s="368">
        <f t="shared" ref="N43:N66" si="10">((AVERAGE($D34:$D43))*8)/3600</f>
        <v>0.19290674603174601</v>
      </c>
      <c r="O43" s="368">
        <f t="shared" ref="O43:O66" si="11">((AVERAGE($D33:$D43))*8)/3600</f>
        <v>0.21044372294372299</v>
      </c>
      <c r="P43" s="368">
        <f t="shared" ref="P43:P66" si="12">((AVERAGE($D32:$D43))*8)/3600</f>
        <v>0.23791832010582017</v>
      </c>
      <c r="Q43" s="368">
        <f t="shared" ref="Q43:Q66" si="13">((AVERAGE($D31:$D43))*8)/3600</f>
        <v>0.2611660561660562</v>
      </c>
      <c r="R43" s="368">
        <f t="shared" ref="R43:R66" si="14">((AVERAGE($D30:$D43))*8)/3600</f>
        <v>0.28109268707482998</v>
      </c>
      <c r="S43" s="368">
        <f t="shared" ref="S43:S66" si="15">((AVERAGE($D29:$D43))*8)/3600</f>
        <v>0.29321825396825402</v>
      </c>
      <c r="T43" s="368">
        <f t="shared" ref="T43:T66" si="16">((AVERAGE($D28:$D43))*8)/3600</f>
        <v>0.31829613095238091</v>
      </c>
      <c r="U43" s="368">
        <f t="shared" ref="U43:U66" si="17">((AVERAGE($D27:$D43))*8)/3600</f>
        <v>0.33588468720821657</v>
      </c>
      <c r="V43" s="368">
        <f t="shared" ref="V43:V66" si="18">((AVERAGE($D26:$D43))*8)/3600</f>
        <v>0.351518959435626</v>
      </c>
      <c r="W43" s="368">
        <f t="shared" ref="W43:W66" si="19">((AVERAGE($D25:$D43))*8)/3600</f>
        <v>0.34926274018379272</v>
      </c>
      <c r="X43" s="368">
        <f t="shared" ref="X43:X66" si="20">((AVERAGE($D24:$D43))*8)/3600</f>
        <v>0.35109027777777768</v>
      </c>
      <c r="Y43" s="368">
        <f t="shared" ref="Y43:Y66" si="21">((AVERAGE($D23:$D43))*8)/3600</f>
        <v>0.3417205215419501</v>
      </c>
      <c r="Z43" s="368">
        <f t="shared" ref="Z43:Z66" si="22">((AVERAGE($D22:$D43))*8)/3600</f>
        <v>0.33670995670995663</v>
      </c>
      <c r="AA43" s="368">
        <f t="shared" ref="AA43:AA66" si="23">((AVERAGE($D21:$D43))*8)/3600</f>
        <v>0.32878019323671492</v>
      </c>
      <c r="AB43" s="369">
        <f t="shared" ref="AB43:AB66" si="24">((AVERAGE($D20:$D43))*8)/3600</f>
        <v>0.32151124338624332</v>
      </c>
    </row>
    <row r="44" spans="1:28" s="35" customFormat="1" hidden="1" outlineLevel="1" x14ac:dyDescent="0.2">
      <c r="A44" s="42"/>
      <c r="B44" s="226">
        <v>2</v>
      </c>
      <c r="C44" s="227">
        <f>LogH2</f>
        <v>0.02</v>
      </c>
      <c r="D44" s="280">
        <f t="shared" si="1"/>
        <v>69.446428571428569</v>
      </c>
      <c r="E44" s="370">
        <f t="shared" si="2"/>
        <v>0.15432539682539681</v>
      </c>
      <c r="F44" s="370">
        <f t="shared" si="3"/>
        <v>0.15432539682539681</v>
      </c>
      <c r="G44" s="370">
        <f t="shared" si="4"/>
        <v>0.15432539682539681</v>
      </c>
      <c r="H44" s="370">
        <f t="shared" si="5"/>
        <v>0.13889285714285712</v>
      </c>
      <c r="I44" s="370">
        <f t="shared" si="5"/>
        <v>0.13889285714285712</v>
      </c>
      <c r="J44" s="370">
        <f t="shared" si="6"/>
        <v>0.14146494708994709</v>
      </c>
      <c r="K44" s="370">
        <f t="shared" si="7"/>
        <v>0.13227891156462585</v>
      </c>
      <c r="L44" s="370">
        <f t="shared" si="8"/>
        <v>0.15432539682539681</v>
      </c>
      <c r="M44" s="370">
        <f t="shared" si="9"/>
        <v>0.15432539682539681</v>
      </c>
      <c r="N44" s="370">
        <f t="shared" si="10"/>
        <v>0.16204166666666664</v>
      </c>
      <c r="O44" s="370">
        <f t="shared" si="11"/>
        <v>0.18939935064935065</v>
      </c>
      <c r="P44" s="370">
        <f t="shared" si="12"/>
        <v>0.20576719576719582</v>
      </c>
      <c r="Q44" s="370">
        <f t="shared" si="13"/>
        <v>0.2314880952380953</v>
      </c>
      <c r="R44" s="370">
        <f t="shared" si="14"/>
        <v>0.25353458049886629</v>
      </c>
      <c r="S44" s="370">
        <f t="shared" si="15"/>
        <v>0.27264153439153443</v>
      </c>
      <c r="T44" s="370">
        <f t="shared" si="16"/>
        <v>0.28453745039682543</v>
      </c>
      <c r="U44" s="370">
        <f t="shared" si="17"/>
        <v>0.30865079365079356</v>
      </c>
      <c r="V44" s="370">
        <f t="shared" si="18"/>
        <v>0.32579805996472655</v>
      </c>
      <c r="W44" s="370">
        <f t="shared" si="19"/>
        <v>0.34114035087719285</v>
      </c>
      <c r="X44" s="370">
        <f t="shared" si="20"/>
        <v>0.33951587301587294</v>
      </c>
      <c r="Y44" s="370">
        <f t="shared" si="21"/>
        <v>0.3417205215419501</v>
      </c>
      <c r="Z44" s="370">
        <f t="shared" si="22"/>
        <v>0.33320256132756126</v>
      </c>
      <c r="AA44" s="370">
        <f t="shared" si="23"/>
        <v>0.32878019323671487</v>
      </c>
      <c r="AB44" s="371">
        <f t="shared" si="24"/>
        <v>0.32151124338624332</v>
      </c>
    </row>
    <row r="45" spans="1:28" s="35" customFormat="1" hidden="1" outlineLevel="1" x14ac:dyDescent="0.2">
      <c r="A45" s="42"/>
      <c r="B45" s="233">
        <v>3</v>
      </c>
      <c r="C45" s="234">
        <f>LogH3</f>
        <v>0.02</v>
      </c>
      <c r="D45" s="279">
        <f t="shared" si="1"/>
        <v>69.446428571428569</v>
      </c>
      <c r="E45" s="368">
        <f t="shared" si="2"/>
        <v>0.15432539682539681</v>
      </c>
      <c r="F45" s="368">
        <f t="shared" si="3"/>
        <v>0.15432539682539681</v>
      </c>
      <c r="G45" s="368">
        <f t="shared" si="4"/>
        <v>0.15432539682539681</v>
      </c>
      <c r="H45" s="368">
        <f t="shared" si="5"/>
        <v>0.13889285714285712</v>
      </c>
      <c r="I45" s="368">
        <f t="shared" si="5"/>
        <v>0.13889285714285712</v>
      </c>
      <c r="J45" s="368">
        <f t="shared" si="6"/>
        <v>0.14146494708994709</v>
      </c>
      <c r="K45" s="368">
        <f t="shared" si="7"/>
        <v>0.1433021541950113</v>
      </c>
      <c r="L45" s="368">
        <f t="shared" si="8"/>
        <v>0.13503472222222221</v>
      </c>
      <c r="M45" s="368">
        <f t="shared" si="9"/>
        <v>0.15432539682539681</v>
      </c>
      <c r="N45" s="368">
        <f t="shared" si="10"/>
        <v>0.15432539682539681</v>
      </c>
      <c r="O45" s="368">
        <f t="shared" si="11"/>
        <v>0.16134018759018756</v>
      </c>
      <c r="P45" s="368">
        <f t="shared" si="12"/>
        <v>0.18647652116402116</v>
      </c>
      <c r="Q45" s="368">
        <f t="shared" si="13"/>
        <v>0.20181013431013436</v>
      </c>
      <c r="R45" s="368">
        <f t="shared" si="14"/>
        <v>0.22597647392290257</v>
      </c>
      <c r="S45" s="368">
        <f t="shared" si="15"/>
        <v>0.24692063492063498</v>
      </c>
      <c r="T45" s="368">
        <f t="shared" si="16"/>
        <v>0.26524677579365086</v>
      </c>
      <c r="U45" s="368">
        <f t="shared" si="17"/>
        <v>0.27687791783380022</v>
      </c>
      <c r="V45" s="368">
        <f t="shared" si="18"/>
        <v>0.3000771604938271</v>
      </c>
      <c r="W45" s="368">
        <f t="shared" si="19"/>
        <v>0.31677318295739343</v>
      </c>
      <c r="X45" s="368">
        <f t="shared" si="20"/>
        <v>0.33179960317460305</v>
      </c>
      <c r="Y45" s="368">
        <f t="shared" si="21"/>
        <v>0.33069727891156453</v>
      </c>
      <c r="Z45" s="368">
        <f t="shared" si="22"/>
        <v>0.33320256132756126</v>
      </c>
      <c r="AA45" s="368">
        <f t="shared" si="23"/>
        <v>0.32542529330572806</v>
      </c>
      <c r="AB45" s="369">
        <f t="shared" si="24"/>
        <v>0.32151124338624332</v>
      </c>
    </row>
    <row r="46" spans="1:28" s="35" customFormat="1" hidden="1" outlineLevel="1" x14ac:dyDescent="0.2">
      <c r="A46" s="42"/>
      <c r="B46" s="226">
        <v>4</v>
      </c>
      <c r="C46" s="227">
        <f>LogH4</f>
        <v>0.03</v>
      </c>
      <c r="D46" s="280">
        <f t="shared" si="1"/>
        <v>104.16964285714285</v>
      </c>
      <c r="E46" s="370">
        <f t="shared" si="2"/>
        <v>0.23148809523809522</v>
      </c>
      <c r="F46" s="370">
        <f t="shared" si="3"/>
        <v>0.19290674603174601</v>
      </c>
      <c r="G46" s="370">
        <f t="shared" si="4"/>
        <v>0.18004629629629629</v>
      </c>
      <c r="H46" s="370">
        <f t="shared" si="5"/>
        <v>0.1697579365079365</v>
      </c>
      <c r="I46" s="370">
        <f t="shared" si="5"/>
        <v>0.1697579365079365</v>
      </c>
      <c r="J46" s="370">
        <f t="shared" si="6"/>
        <v>0.15432539682539681</v>
      </c>
      <c r="K46" s="370">
        <f t="shared" si="7"/>
        <v>0.15432539682539681</v>
      </c>
      <c r="L46" s="370">
        <f t="shared" si="8"/>
        <v>0.15432539682539681</v>
      </c>
      <c r="M46" s="370">
        <f t="shared" si="9"/>
        <v>0.14575176366843032</v>
      </c>
      <c r="N46" s="370">
        <f t="shared" si="10"/>
        <v>0.16204166666666667</v>
      </c>
      <c r="O46" s="370">
        <f t="shared" si="11"/>
        <v>0.16134018759018759</v>
      </c>
      <c r="P46" s="370">
        <f t="shared" si="12"/>
        <v>0.16718584656084656</v>
      </c>
      <c r="Q46" s="370">
        <f t="shared" si="13"/>
        <v>0.18993894993894994</v>
      </c>
      <c r="R46" s="370">
        <f t="shared" si="14"/>
        <v>0.20392998866213155</v>
      </c>
      <c r="S46" s="370">
        <f t="shared" si="15"/>
        <v>0.22634391534391543</v>
      </c>
      <c r="T46" s="370">
        <f t="shared" si="16"/>
        <v>0.24595610119047626</v>
      </c>
      <c r="U46" s="370">
        <f t="shared" si="17"/>
        <v>0.26326097105508878</v>
      </c>
      <c r="V46" s="370">
        <f t="shared" si="18"/>
        <v>0.27435626102292771</v>
      </c>
      <c r="W46" s="370">
        <f t="shared" si="19"/>
        <v>0.29646720969089385</v>
      </c>
      <c r="X46" s="370">
        <f t="shared" si="20"/>
        <v>0.31250892857142848</v>
      </c>
      <c r="Y46" s="370">
        <f t="shared" si="21"/>
        <v>0.32702286470143604</v>
      </c>
      <c r="Z46" s="370">
        <f t="shared" si="22"/>
        <v>0.32618777056277048</v>
      </c>
      <c r="AA46" s="370">
        <f t="shared" si="23"/>
        <v>0.32878019323671487</v>
      </c>
      <c r="AB46" s="371">
        <f t="shared" si="24"/>
        <v>0.32151124338624332</v>
      </c>
    </row>
    <row r="47" spans="1:28" s="35" customFormat="1" hidden="1" outlineLevel="1" x14ac:dyDescent="0.2">
      <c r="A47" s="42"/>
      <c r="B47" s="233">
        <v>5</v>
      </c>
      <c r="C47" s="234">
        <f>LogH5</f>
        <v>0.02</v>
      </c>
      <c r="D47" s="279">
        <f t="shared" si="1"/>
        <v>69.446428571428569</v>
      </c>
      <c r="E47" s="368">
        <f t="shared" si="2"/>
        <v>0.15432539682539681</v>
      </c>
      <c r="F47" s="368">
        <f t="shared" si="3"/>
        <v>0.19290674603174601</v>
      </c>
      <c r="G47" s="368">
        <f t="shared" si="4"/>
        <v>0.18004629629629629</v>
      </c>
      <c r="H47" s="368">
        <f t="shared" si="5"/>
        <v>0.1697579365079365</v>
      </c>
      <c r="I47" s="368">
        <f t="shared" si="5"/>
        <v>0.1697579365079365</v>
      </c>
      <c r="J47" s="368">
        <f t="shared" si="6"/>
        <v>0.16718584656084656</v>
      </c>
      <c r="K47" s="368">
        <f t="shared" si="7"/>
        <v>0.15432539682539681</v>
      </c>
      <c r="L47" s="368">
        <f t="shared" si="8"/>
        <v>0.15432539682539681</v>
      </c>
      <c r="M47" s="368">
        <f t="shared" si="9"/>
        <v>0.15432539682539681</v>
      </c>
      <c r="N47" s="368">
        <f t="shared" si="10"/>
        <v>0.14660912698412698</v>
      </c>
      <c r="O47" s="368">
        <f t="shared" si="11"/>
        <v>0.16134018759018759</v>
      </c>
      <c r="P47" s="368">
        <f t="shared" si="12"/>
        <v>0.16075562169312169</v>
      </c>
      <c r="Q47" s="368">
        <f t="shared" si="13"/>
        <v>0.16619658119658118</v>
      </c>
      <c r="R47" s="368">
        <f t="shared" si="14"/>
        <v>0.18739512471655331</v>
      </c>
      <c r="S47" s="368">
        <f t="shared" si="15"/>
        <v>0.20062301587301593</v>
      </c>
      <c r="T47" s="368">
        <f t="shared" si="16"/>
        <v>0.22184275793650804</v>
      </c>
      <c r="U47" s="368">
        <f t="shared" si="17"/>
        <v>0.24056605975723633</v>
      </c>
      <c r="V47" s="368">
        <f t="shared" si="18"/>
        <v>0.25720899470899478</v>
      </c>
      <c r="W47" s="368">
        <f t="shared" si="19"/>
        <v>0.26803884711779447</v>
      </c>
      <c r="X47" s="368">
        <f t="shared" si="20"/>
        <v>0.28936011904761894</v>
      </c>
      <c r="Y47" s="368">
        <f t="shared" si="21"/>
        <v>0.30497637944066508</v>
      </c>
      <c r="Z47" s="368">
        <f t="shared" si="22"/>
        <v>0.31917297979797965</v>
      </c>
      <c r="AA47" s="368">
        <f t="shared" si="23"/>
        <v>0.31871549344375422</v>
      </c>
      <c r="AB47" s="369">
        <f t="shared" si="24"/>
        <v>0.32151124338624332</v>
      </c>
    </row>
    <row r="48" spans="1:28" s="35" customFormat="1" hidden="1" outlineLevel="1" x14ac:dyDescent="0.2">
      <c r="A48" s="42"/>
      <c r="B48" s="226">
        <v>6</v>
      </c>
      <c r="C48" s="227">
        <f>LogH6</f>
        <v>0.05</v>
      </c>
      <c r="D48" s="280">
        <f t="shared" si="1"/>
        <v>173.61607142857144</v>
      </c>
      <c r="E48" s="370">
        <f t="shared" si="2"/>
        <v>0.38581349206349208</v>
      </c>
      <c r="F48" s="370">
        <f t="shared" si="3"/>
        <v>0.27006944444444442</v>
      </c>
      <c r="G48" s="370">
        <f t="shared" si="4"/>
        <v>0.25720899470899472</v>
      </c>
      <c r="H48" s="370">
        <f t="shared" si="5"/>
        <v>0.21605555555555556</v>
      </c>
      <c r="I48" s="370">
        <f t="shared" si="5"/>
        <v>0.21605555555555556</v>
      </c>
      <c r="J48" s="370">
        <f t="shared" si="6"/>
        <v>0.20576719576719574</v>
      </c>
      <c r="K48" s="370">
        <f t="shared" si="7"/>
        <v>0.19841836734693877</v>
      </c>
      <c r="L48" s="370">
        <f t="shared" si="8"/>
        <v>0.1832614087301587</v>
      </c>
      <c r="M48" s="370">
        <f t="shared" si="9"/>
        <v>0.18004629629629629</v>
      </c>
      <c r="N48" s="370">
        <f t="shared" si="10"/>
        <v>0.17747420634920635</v>
      </c>
      <c r="O48" s="370">
        <f t="shared" si="11"/>
        <v>0.16835497835497834</v>
      </c>
      <c r="P48" s="370">
        <f t="shared" si="12"/>
        <v>0.18004629629629629</v>
      </c>
      <c r="Q48" s="370">
        <f t="shared" si="13"/>
        <v>0.17806776556776555</v>
      </c>
      <c r="R48" s="370">
        <f t="shared" si="14"/>
        <v>0.18188350340136053</v>
      </c>
      <c r="S48" s="370">
        <f t="shared" si="15"/>
        <v>0.2006230158730159</v>
      </c>
      <c r="T48" s="370">
        <f t="shared" si="16"/>
        <v>0.21219742063492067</v>
      </c>
      <c r="U48" s="370">
        <f t="shared" si="17"/>
        <v>0.23148809523809535</v>
      </c>
      <c r="V48" s="370">
        <f t="shared" si="18"/>
        <v>0.24863536155202831</v>
      </c>
      <c r="W48" s="370">
        <f t="shared" si="19"/>
        <v>0.26397765246449467</v>
      </c>
      <c r="X48" s="370">
        <f t="shared" si="20"/>
        <v>0.27392757936507939</v>
      </c>
      <c r="Y48" s="370">
        <f t="shared" si="21"/>
        <v>0.29395313681027957</v>
      </c>
      <c r="Z48" s="370">
        <f t="shared" si="22"/>
        <v>0.30865079365079356</v>
      </c>
      <c r="AA48" s="370">
        <f t="shared" si="23"/>
        <v>0.32207039337474108</v>
      </c>
      <c r="AB48" s="371">
        <f t="shared" si="24"/>
        <v>0.32151124338624332</v>
      </c>
    </row>
    <row r="49" spans="1:28" s="35" customFormat="1" hidden="1" outlineLevel="1" x14ac:dyDescent="0.2">
      <c r="A49" s="42"/>
      <c r="B49" s="233">
        <v>7</v>
      </c>
      <c r="C49" s="234">
        <f>LogH7</f>
        <v>0.04</v>
      </c>
      <c r="D49" s="279">
        <f t="shared" si="1"/>
        <v>138.89285714285714</v>
      </c>
      <c r="E49" s="368">
        <f t="shared" si="2"/>
        <v>0.30865079365079362</v>
      </c>
      <c r="F49" s="368">
        <f t="shared" si="3"/>
        <v>0.34723214285714282</v>
      </c>
      <c r="G49" s="368">
        <f t="shared" si="4"/>
        <v>0.28292989417989417</v>
      </c>
      <c r="H49" s="368">
        <f t="shared" si="5"/>
        <v>0.24692063492063493</v>
      </c>
      <c r="I49" s="368">
        <f t="shared" si="5"/>
        <v>0.24692063492063493</v>
      </c>
      <c r="J49" s="368">
        <f t="shared" si="6"/>
        <v>0.23148809523809522</v>
      </c>
      <c r="K49" s="368">
        <f t="shared" si="7"/>
        <v>0.22046485260770973</v>
      </c>
      <c r="L49" s="368">
        <f t="shared" si="8"/>
        <v>0.21219742063492061</v>
      </c>
      <c r="M49" s="368">
        <f t="shared" si="9"/>
        <v>0.19719356261022924</v>
      </c>
      <c r="N49" s="368">
        <f t="shared" si="10"/>
        <v>0.19290674603174601</v>
      </c>
      <c r="O49" s="368">
        <f t="shared" si="11"/>
        <v>0.18939935064935065</v>
      </c>
      <c r="P49" s="368">
        <f t="shared" si="12"/>
        <v>0.18004629629629629</v>
      </c>
      <c r="Q49" s="368">
        <f t="shared" si="13"/>
        <v>0.18993894993894994</v>
      </c>
      <c r="R49" s="368">
        <f t="shared" si="14"/>
        <v>0.18739512471655326</v>
      </c>
      <c r="S49" s="368">
        <f t="shared" si="15"/>
        <v>0.19033465608465608</v>
      </c>
      <c r="T49" s="368">
        <f t="shared" si="16"/>
        <v>0.207374751984127</v>
      </c>
      <c r="U49" s="368">
        <f t="shared" si="17"/>
        <v>0.21787114845938377</v>
      </c>
      <c r="V49" s="368">
        <f t="shared" si="18"/>
        <v>0.23577491181657859</v>
      </c>
      <c r="W49" s="368">
        <f t="shared" si="19"/>
        <v>0.2517940685045949</v>
      </c>
      <c r="X49" s="368">
        <f t="shared" si="20"/>
        <v>0.26621130952380967</v>
      </c>
      <c r="Y49" s="368">
        <f t="shared" si="21"/>
        <v>0.2755810657596372</v>
      </c>
      <c r="Z49" s="368">
        <f t="shared" si="22"/>
        <v>0.29462121212121206</v>
      </c>
      <c r="AA49" s="368">
        <f t="shared" si="23"/>
        <v>0.30865079365079356</v>
      </c>
      <c r="AB49" s="369">
        <f t="shared" si="24"/>
        <v>0.32151124338624332</v>
      </c>
    </row>
    <row r="50" spans="1:28" s="35" customFormat="1" hidden="1" outlineLevel="1" x14ac:dyDescent="0.2">
      <c r="A50" s="42"/>
      <c r="B50" s="226">
        <v>8</v>
      </c>
      <c r="C50" s="227">
        <f>LogH8</f>
        <v>0.08</v>
      </c>
      <c r="D50" s="280">
        <f t="shared" si="1"/>
        <v>277.78571428571428</v>
      </c>
      <c r="E50" s="370">
        <f t="shared" si="2"/>
        <v>0.61730158730158724</v>
      </c>
      <c r="F50" s="370">
        <f t="shared" si="3"/>
        <v>0.46297619047619049</v>
      </c>
      <c r="G50" s="370">
        <f t="shared" si="4"/>
        <v>0.43725529100529104</v>
      </c>
      <c r="H50" s="370">
        <f t="shared" si="5"/>
        <v>0.33951587301587299</v>
      </c>
      <c r="I50" s="370">
        <f t="shared" si="5"/>
        <v>0.33951587301587299</v>
      </c>
      <c r="J50" s="370">
        <f t="shared" si="6"/>
        <v>0.30865079365079362</v>
      </c>
      <c r="K50" s="370">
        <f t="shared" si="7"/>
        <v>0.2866043083900226</v>
      </c>
      <c r="L50" s="370">
        <f t="shared" si="8"/>
        <v>0.27006944444444442</v>
      </c>
      <c r="M50" s="370">
        <f t="shared" si="9"/>
        <v>0.25720899470899466</v>
      </c>
      <c r="N50" s="370">
        <f t="shared" si="10"/>
        <v>0.23920436507936504</v>
      </c>
      <c r="O50" s="370">
        <f t="shared" si="11"/>
        <v>0.23148809523809522</v>
      </c>
      <c r="P50" s="370">
        <f t="shared" si="12"/>
        <v>0.22505787037037039</v>
      </c>
      <c r="Q50" s="370">
        <f t="shared" si="13"/>
        <v>0.21368131868131868</v>
      </c>
      <c r="R50" s="370">
        <f t="shared" si="14"/>
        <v>0.22046485260770973</v>
      </c>
      <c r="S50" s="370">
        <f t="shared" si="15"/>
        <v>0.2160555555555555</v>
      </c>
      <c r="T50" s="370">
        <f t="shared" si="16"/>
        <v>0.21702008928571426</v>
      </c>
      <c r="U50" s="370">
        <f t="shared" si="17"/>
        <v>0.23148809523809524</v>
      </c>
      <c r="V50" s="370">
        <f t="shared" si="18"/>
        <v>0.24006172839506174</v>
      </c>
      <c r="W50" s="370">
        <f t="shared" si="19"/>
        <v>0.25585526315789481</v>
      </c>
      <c r="X50" s="370">
        <f t="shared" si="20"/>
        <v>0.27006944444444453</v>
      </c>
      <c r="Y50" s="370">
        <f t="shared" si="21"/>
        <v>0.28292989417989428</v>
      </c>
      <c r="Z50" s="370">
        <f t="shared" si="22"/>
        <v>0.29111381673881676</v>
      </c>
      <c r="AA50" s="370">
        <f t="shared" si="23"/>
        <v>0.30865079365079356</v>
      </c>
      <c r="AB50" s="371">
        <f t="shared" si="24"/>
        <v>0.32151124338624332</v>
      </c>
    </row>
    <row r="51" spans="1:28" s="35" customFormat="1" hidden="1" outlineLevel="1" x14ac:dyDescent="0.2">
      <c r="A51" s="42"/>
      <c r="B51" s="233">
        <v>9</v>
      </c>
      <c r="C51" s="234">
        <f>LogH9</f>
        <v>0.08</v>
      </c>
      <c r="D51" s="279">
        <f t="shared" si="1"/>
        <v>277.78571428571428</v>
      </c>
      <c r="E51" s="368">
        <f t="shared" si="2"/>
        <v>0.61730158730158724</v>
      </c>
      <c r="F51" s="368">
        <f t="shared" si="3"/>
        <v>0.61730158730158724</v>
      </c>
      <c r="G51" s="368">
        <f t="shared" si="4"/>
        <v>0.51441798941798944</v>
      </c>
      <c r="H51" s="368">
        <f t="shared" si="5"/>
        <v>0.4166785714285714</v>
      </c>
      <c r="I51" s="368">
        <f t="shared" si="5"/>
        <v>0.4166785714285714</v>
      </c>
      <c r="J51" s="368">
        <f t="shared" si="6"/>
        <v>0.38581349206349203</v>
      </c>
      <c r="K51" s="368">
        <f t="shared" si="7"/>
        <v>0.35274376417233561</v>
      </c>
      <c r="L51" s="368">
        <f t="shared" si="8"/>
        <v>0.32794146825396819</v>
      </c>
      <c r="M51" s="368">
        <f t="shared" si="9"/>
        <v>0.30865079365079362</v>
      </c>
      <c r="N51" s="368">
        <f t="shared" si="10"/>
        <v>0.29321825396825396</v>
      </c>
      <c r="O51" s="368">
        <f t="shared" si="11"/>
        <v>0.27357683982683978</v>
      </c>
      <c r="P51" s="368">
        <f t="shared" si="12"/>
        <v>0.26363921957671954</v>
      </c>
      <c r="Q51" s="368">
        <f t="shared" si="13"/>
        <v>0.25523046398046395</v>
      </c>
      <c r="R51" s="368">
        <f t="shared" si="14"/>
        <v>0.2425113378684807</v>
      </c>
      <c r="S51" s="368">
        <f t="shared" si="15"/>
        <v>0.2469206349206349</v>
      </c>
      <c r="T51" s="368">
        <f t="shared" si="16"/>
        <v>0.2411334325396825</v>
      </c>
      <c r="U51" s="368">
        <f t="shared" si="17"/>
        <v>0.24056605975723619</v>
      </c>
      <c r="V51" s="368">
        <f t="shared" si="18"/>
        <v>0.25292217813051149</v>
      </c>
      <c r="W51" s="368">
        <f t="shared" si="19"/>
        <v>0.25991645781119471</v>
      </c>
      <c r="X51" s="368">
        <f t="shared" si="20"/>
        <v>0.27392757936507944</v>
      </c>
      <c r="Y51" s="368">
        <f t="shared" si="21"/>
        <v>0.28660430839002277</v>
      </c>
      <c r="Z51" s="368">
        <f t="shared" si="22"/>
        <v>0.29812860750360759</v>
      </c>
      <c r="AA51" s="368">
        <f t="shared" si="23"/>
        <v>0.30529589371980675</v>
      </c>
      <c r="AB51" s="369">
        <f t="shared" si="24"/>
        <v>0.32151124338624332</v>
      </c>
    </row>
    <row r="52" spans="1:28" s="35" customFormat="1" hidden="1" outlineLevel="1" x14ac:dyDescent="0.2">
      <c r="A52" s="42"/>
      <c r="B52" s="226">
        <v>10</v>
      </c>
      <c r="C52" s="227">
        <f>LogH10</f>
        <v>0.09</v>
      </c>
      <c r="D52" s="280">
        <f t="shared" si="1"/>
        <v>312.50892857142856</v>
      </c>
      <c r="E52" s="370">
        <f t="shared" si="2"/>
        <v>0.69446428571428565</v>
      </c>
      <c r="F52" s="370">
        <f t="shared" si="3"/>
        <v>0.6558829365079365</v>
      </c>
      <c r="G52" s="370">
        <f t="shared" si="4"/>
        <v>0.64302248677248675</v>
      </c>
      <c r="H52" s="370">
        <f t="shared" si="5"/>
        <v>0.52470634920634929</v>
      </c>
      <c r="I52" s="370">
        <f t="shared" si="5"/>
        <v>0.52470634920634929</v>
      </c>
      <c r="J52" s="370">
        <f t="shared" si="6"/>
        <v>0.46297619047619043</v>
      </c>
      <c r="K52" s="370">
        <f t="shared" si="7"/>
        <v>0.42990646258503395</v>
      </c>
      <c r="L52" s="370">
        <f t="shared" si="8"/>
        <v>0.39545882936507937</v>
      </c>
      <c r="M52" s="370">
        <f t="shared" si="9"/>
        <v>0.36866622574955904</v>
      </c>
      <c r="N52" s="370">
        <f t="shared" si="10"/>
        <v>0.34723214285714282</v>
      </c>
      <c r="O52" s="370">
        <f t="shared" si="11"/>
        <v>0.3296951659451659</v>
      </c>
      <c r="P52" s="370">
        <f t="shared" si="12"/>
        <v>0.30865079365079356</v>
      </c>
      <c r="Q52" s="370">
        <f t="shared" si="13"/>
        <v>0.29677960927960928</v>
      </c>
      <c r="R52" s="370">
        <f t="shared" si="14"/>
        <v>0.2866043083900226</v>
      </c>
      <c r="S52" s="370">
        <f t="shared" si="15"/>
        <v>0.27264153439153438</v>
      </c>
      <c r="T52" s="370">
        <f t="shared" si="16"/>
        <v>0.27489211309523809</v>
      </c>
      <c r="U52" s="370">
        <f t="shared" si="17"/>
        <v>0.26779995331465917</v>
      </c>
      <c r="V52" s="370">
        <f t="shared" si="18"/>
        <v>0.26578262786596113</v>
      </c>
      <c r="W52" s="370">
        <f t="shared" si="19"/>
        <v>0.27616123642439433</v>
      </c>
      <c r="X52" s="370">
        <f t="shared" si="20"/>
        <v>0.28164384920634922</v>
      </c>
      <c r="Y52" s="370">
        <f t="shared" si="21"/>
        <v>0.29395313681027974</v>
      </c>
      <c r="Z52" s="370">
        <f t="shared" si="22"/>
        <v>0.30514339826839837</v>
      </c>
      <c r="AA52" s="370">
        <f t="shared" si="23"/>
        <v>0.31536059351276752</v>
      </c>
      <c r="AB52" s="371">
        <f t="shared" si="24"/>
        <v>0.32151124338624337</v>
      </c>
    </row>
    <row r="53" spans="1:28" s="35" customFormat="1" hidden="1" outlineLevel="1" x14ac:dyDescent="0.2">
      <c r="A53" s="42"/>
      <c r="B53" s="233">
        <v>11</v>
      </c>
      <c r="C53" s="234">
        <f>LogH11</f>
        <v>0.06</v>
      </c>
      <c r="D53" s="279">
        <f t="shared" si="1"/>
        <v>208.33928571428569</v>
      </c>
      <c r="E53" s="368">
        <f t="shared" si="2"/>
        <v>0.46297619047619043</v>
      </c>
      <c r="F53" s="368">
        <f t="shared" si="3"/>
        <v>0.57872023809523798</v>
      </c>
      <c r="G53" s="368">
        <f t="shared" si="4"/>
        <v>0.59158068783068785</v>
      </c>
      <c r="H53" s="368">
        <f t="shared" si="5"/>
        <v>0.54013888888888884</v>
      </c>
      <c r="I53" s="368">
        <f t="shared" si="5"/>
        <v>0.54013888888888884</v>
      </c>
      <c r="J53" s="368">
        <f t="shared" si="6"/>
        <v>0.51441798941798944</v>
      </c>
      <c r="K53" s="368">
        <f t="shared" si="7"/>
        <v>0.46297619047619049</v>
      </c>
      <c r="L53" s="368">
        <f t="shared" si="8"/>
        <v>0.43404017857142851</v>
      </c>
      <c r="M53" s="368">
        <f t="shared" si="9"/>
        <v>0.40296075837742512</v>
      </c>
      <c r="N53" s="368">
        <f t="shared" si="10"/>
        <v>0.37809722222222225</v>
      </c>
      <c r="O53" s="368">
        <f t="shared" si="11"/>
        <v>0.35775432900432896</v>
      </c>
      <c r="P53" s="368">
        <f t="shared" si="12"/>
        <v>0.34080191798941795</v>
      </c>
      <c r="Q53" s="368">
        <f t="shared" si="13"/>
        <v>0.32052197802197796</v>
      </c>
      <c r="R53" s="368">
        <f t="shared" si="14"/>
        <v>0.30865079365079362</v>
      </c>
      <c r="S53" s="368">
        <f t="shared" si="15"/>
        <v>0.29836243386243383</v>
      </c>
      <c r="T53" s="368">
        <f t="shared" si="16"/>
        <v>0.28453745039682538</v>
      </c>
      <c r="U53" s="368">
        <f t="shared" si="17"/>
        <v>0.28595588235294117</v>
      </c>
      <c r="V53" s="368">
        <f t="shared" si="18"/>
        <v>0.27864307760141094</v>
      </c>
      <c r="W53" s="368">
        <f t="shared" si="19"/>
        <v>0.27616123642439427</v>
      </c>
      <c r="X53" s="368">
        <f t="shared" si="20"/>
        <v>0.28550198412698413</v>
      </c>
      <c r="Y53" s="368">
        <f t="shared" si="21"/>
        <v>0.2902787226001512</v>
      </c>
      <c r="Z53" s="368">
        <f t="shared" si="22"/>
        <v>0.30163600288600295</v>
      </c>
      <c r="AA53" s="368">
        <f t="shared" si="23"/>
        <v>0.3120056935817806</v>
      </c>
      <c r="AB53" s="369">
        <f t="shared" si="24"/>
        <v>0.32151124338624343</v>
      </c>
    </row>
    <row r="54" spans="1:28" s="35" customFormat="1" hidden="1" outlineLevel="1" x14ac:dyDescent="0.2">
      <c r="A54" s="42"/>
      <c r="B54" s="226">
        <v>12</v>
      </c>
      <c r="C54" s="227">
        <f>LogH12</f>
        <v>7.0000000000000007E-2</v>
      </c>
      <c r="D54" s="280">
        <f t="shared" si="1"/>
        <v>243.0625</v>
      </c>
      <c r="E54" s="370">
        <f t="shared" si="2"/>
        <v>0.54013888888888884</v>
      </c>
      <c r="F54" s="370">
        <f t="shared" si="3"/>
        <v>0.50155753968253958</v>
      </c>
      <c r="G54" s="370">
        <f t="shared" si="4"/>
        <v>0.56585978835978834</v>
      </c>
      <c r="H54" s="370">
        <f t="shared" si="5"/>
        <v>0.58643650793650803</v>
      </c>
      <c r="I54" s="370">
        <f t="shared" si="5"/>
        <v>0.58643650793650803</v>
      </c>
      <c r="J54" s="370">
        <f t="shared" si="6"/>
        <v>0.54013888888888884</v>
      </c>
      <c r="K54" s="370">
        <f t="shared" si="7"/>
        <v>0.51809240362811793</v>
      </c>
      <c r="L54" s="370">
        <f t="shared" si="8"/>
        <v>0.47262152777777777</v>
      </c>
      <c r="M54" s="370">
        <f t="shared" si="9"/>
        <v>0.44582892416225745</v>
      </c>
      <c r="N54" s="370">
        <f t="shared" si="10"/>
        <v>0.41667857142857145</v>
      </c>
      <c r="O54" s="370">
        <f t="shared" si="11"/>
        <v>0.39282828282828286</v>
      </c>
      <c r="P54" s="370">
        <f t="shared" si="12"/>
        <v>0.37295304232804233</v>
      </c>
      <c r="Q54" s="370">
        <f t="shared" si="13"/>
        <v>0.35613553113553109</v>
      </c>
      <c r="R54" s="370">
        <f t="shared" si="14"/>
        <v>0.33620890022675731</v>
      </c>
      <c r="S54" s="370">
        <f t="shared" si="15"/>
        <v>0.32408333333333333</v>
      </c>
      <c r="T54" s="370">
        <f t="shared" si="16"/>
        <v>0.31347346230158729</v>
      </c>
      <c r="U54" s="370">
        <f t="shared" si="17"/>
        <v>0.29957282913165267</v>
      </c>
      <c r="V54" s="370">
        <f t="shared" si="18"/>
        <v>0.30007716049382716</v>
      </c>
      <c r="W54" s="370">
        <f t="shared" si="19"/>
        <v>0.29240601503759395</v>
      </c>
      <c r="X54" s="370">
        <f t="shared" si="20"/>
        <v>0.28936011904761899</v>
      </c>
      <c r="Y54" s="370">
        <f t="shared" si="21"/>
        <v>0.29762755102040817</v>
      </c>
      <c r="Z54" s="370">
        <f t="shared" si="22"/>
        <v>0.3016360028860029</v>
      </c>
      <c r="AA54" s="370">
        <f t="shared" si="23"/>
        <v>0.3120056935817806</v>
      </c>
      <c r="AB54" s="371">
        <f t="shared" si="24"/>
        <v>0.32151124338624343</v>
      </c>
    </row>
    <row r="55" spans="1:28" s="35" customFormat="1" hidden="1" outlineLevel="1" x14ac:dyDescent="0.2">
      <c r="A55" s="42"/>
      <c r="B55" s="233">
        <v>13</v>
      </c>
      <c r="C55" s="234">
        <f>LogH13</f>
        <v>7.0000000000000007E-2</v>
      </c>
      <c r="D55" s="279">
        <f t="shared" si="1"/>
        <v>243.0625</v>
      </c>
      <c r="E55" s="368">
        <f t="shared" si="2"/>
        <v>0.54013888888888884</v>
      </c>
      <c r="F55" s="368">
        <f t="shared" si="3"/>
        <v>0.54013888888888884</v>
      </c>
      <c r="G55" s="368">
        <f t="shared" si="4"/>
        <v>0.51441798941798933</v>
      </c>
      <c r="H55" s="368">
        <f t="shared" si="5"/>
        <v>0.57100396825396815</v>
      </c>
      <c r="I55" s="368">
        <f t="shared" si="5"/>
        <v>0.57100396825396815</v>
      </c>
      <c r="J55" s="368">
        <f t="shared" si="6"/>
        <v>0.5787202380952382</v>
      </c>
      <c r="K55" s="368">
        <f t="shared" si="7"/>
        <v>0.54013888888888884</v>
      </c>
      <c r="L55" s="368">
        <f t="shared" si="8"/>
        <v>0.52084821428571437</v>
      </c>
      <c r="M55" s="368">
        <f t="shared" si="9"/>
        <v>0.48012345679012342</v>
      </c>
      <c r="N55" s="368">
        <f t="shared" si="10"/>
        <v>0.4552599206349206</v>
      </c>
      <c r="O55" s="368">
        <f t="shared" si="11"/>
        <v>0.4279022366522367</v>
      </c>
      <c r="P55" s="368">
        <f t="shared" si="12"/>
        <v>0.40510416666666665</v>
      </c>
      <c r="Q55" s="368">
        <f t="shared" si="13"/>
        <v>0.38581349206349203</v>
      </c>
      <c r="R55" s="368">
        <f t="shared" si="14"/>
        <v>0.36927862811791379</v>
      </c>
      <c r="S55" s="368">
        <f t="shared" si="15"/>
        <v>0.34980423280423273</v>
      </c>
      <c r="T55" s="368">
        <f t="shared" si="16"/>
        <v>0.33758680555555554</v>
      </c>
      <c r="U55" s="368">
        <f t="shared" si="17"/>
        <v>0.32680672268907562</v>
      </c>
      <c r="V55" s="368">
        <f t="shared" si="18"/>
        <v>0.31293761022927685</v>
      </c>
      <c r="W55" s="368">
        <f t="shared" si="19"/>
        <v>0.31271198830409358</v>
      </c>
      <c r="X55" s="368">
        <f t="shared" si="20"/>
        <v>0.30479265873015871</v>
      </c>
      <c r="Y55" s="368">
        <f t="shared" si="21"/>
        <v>0.30130196523053659</v>
      </c>
      <c r="Z55" s="368">
        <f t="shared" si="22"/>
        <v>0.30865079365079362</v>
      </c>
      <c r="AA55" s="368">
        <f t="shared" si="23"/>
        <v>0.31200569358178054</v>
      </c>
      <c r="AB55" s="369">
        <f t="shared" si="24"/>
        <v>0.32151124338624343</v>
      </c>
    </row>
    <row r="56" spans="1:28" hidden="1" outlineLevel="1" x14ac:dyDescent="0.25">
      <c r="A56" s="67"/>
      <c r="B56" s="226">
        <v>14</v>
      </c>
      <c r="C56" s="227">
        <f>LogH14</f>
        <v>7.0000000000000007E-2</v>
      </c>
      <c r="D56" s="280">
        <f t="shared" si="1"/>
        <v>243.0625</v>
      </c>
      <c r="E56" s="370">
        <f t="shared" si="2"/>
        <v>0.54013888888888884</v>
      </c>
      <c r="F56" s="370">
        <f t="shared" si="3"/>
        <v>0.54013888888888884</v>
      </c>
      <c r="G56" s="370">
        <f t="shared" si="4"/>
        <v>0.54013888888888884</v>
      </c>
      <c r="H56" s="370">
        <f t="shared" si="5"/>
        <v>0.55557142857142849</v>
      </c>
      <c r="I56" s="370">
        <f t="shared" si="5"/>
        <v>0.55557142857142849</v>
      </c>
      <c r="J56" s="370">
        <f t="shared" si="6"/>
        <v>0.56585978835978834</v>
      </c>
      <c r="K56" s="370">
        <f t="shared" si="7"/>
        <v>0.57320861678004542</v>
      </c>
      <c r="L56" s="370">
        <f t="shared" si="8"/>
        <v>0.54013888888888884</v>
      </c>
      <c r="M56" s="370">
        <f t="shared" si="9"/>
        <v>0.52299162257495591</v>
      </c>
      <c r="N56" s="370">
        <f t="shared" si="10"/>
        <v>0.48612499999999997</v>
      </c>
      <c r="O56" s="370">
        <f t="shared" si="11"/>
        <v>0.46297619047619043</v>
      </c>
      <c r="P56" s="370">
        <f t="shared" si="12"/>
        <v>0.43725529100529104</v>
      </c>
      <c r="Q56" s="370">
        <f t="shared" si="13"/>
        <v>0.41549145299145296</v>
      </c>
      <c r="R56" s="370">
        <f t="shared" si="14"/>
        <v>0.39683673469387754</v>
      </c>
      <c r="S56" s="370">
        <f t="shared" si="15"/>
        <v>0.38066931216931216</v>
      </c>
      <c r="T56" s="370">
        <f t="shared" si="16"/>
        <v>0.36170014880952378</v>
      </c>
      <c r="U56" s="370">
        <f t="shared" si="17"/>
        <v>0.34950163398692813</v>
      </c>
      <c r="V56" s="370">
        <f t="shared" si="18"/>
        <v>0.33865850970017636</v>
      </c>
      <c r="W56" s="370">
        <f t="shared" si="19"/>
        <v>0.32489557226399329</v>
      </c>
      <c r="X56" s="370">
        <f t="shared" si="20"/>
        <v>0.32408333333333333</v>
      </c>
      <c r="Y56" s="370">
        <f t="shared" si="21"/>
        <v>0.31599962207105059</v>
      </c>
      <c r="Z56" s="370">
        <f t="shared" si="22"/>
        <v>0.31215818903318898</v>
      </c>
      <c r="AA56" s="370">
        <f t="shared" si="23"/>
        <v>0.31871549344375433</v>
      </c>
      <c r="AB56" s="371">
        <f t="shared" si="24"/>
        <v>0.32151124338624343</v>
      </c>
    </row>
    <row r="57" spans="1:28" hidden="1" outlineLevel="1" x14ac:dyDescent="0.25">
      <c r="A57" s="67"/>
      <c r="B57" s="233">
        <v>15</v>
      </c>
      <c r="C57" s="234">
        <f>LogH15</f>
        <v>0.05</v>
      </c>
      <c r="D57" s="279">
        <f t="shared" si="1"/>
        <v>173.61607142857144</v>
      </c>
      <c r="E57" s="368">
        <f t="shared" si="2"/>
        <v>0.38581349206349208</v>
      </c>
      <c r="F57" s="368">
        <f t="shared" si="3"/>
        <v>0.46297619047619049</v>
      </c>
      <c r="G57" s="368">
        <f t="shared" si="4"/>
        <v>0.48869708994708994</v>
      </c>
      <c r="H57" s="368">
        <f t="shared" si="5"/>
        <v>0.49384126984126986</v>
      </c>
      <c r="I57" s="368">
        <f t="shared" si="5"/>
        <v>0.49384126984126986</v>
      </c>
      <c r="J57" s="368">
        <f t="shared" si="6"/>
        <v>0.52727843915343919</v>
      </c>
      <c r="K57" s="368">
        <f t="shared" si="7"/>
        <v>0.54013888888888884</v>
      </c>
      <c r="L57" s="368">
        <f t="shared" si="8"/>
        <v>0.54978422619047618</v>
      </c>
      <c r="M57" s="368">
        <f t="shared" si="9"/>
        <v>0.52299162257495591</v>
      </c>
      <c r="N57" s="368">
        <f t="shared" si="10"/>
        <v>0.50927380952380963</v>
      </c>
      <c r="O57" s="368">
        <f t="shared" si="11"/>
        <v>0.47700577200577204</v>
      </c>
      <c r="P57" s="368">
        <f t="shared" si="12"/>
        <v>0.45654596560846561</v>
      </c>
      <c r="Q57" s="368">
        <f t="shared" si="13"/>
        <v>0.43329822954822961</v>
      </c>
      <c r="R57" s="368">
        <f t="shared" si="14"/>
        <v>0.41337159863945583</v>
      </c>
      <c r="S57" s="368">
        <f t="shared" si="15"/>
        <v>0.39610185185185187</v>
      </c>
      <c r="T57" s="368">
        <f t="shared" si="16"/>
        <v>0.38099082341269841</v>
      </c>
      <c r="U57" s="368">
        <f t="shared" si="17"/>
        <v>0.36311858076563958</v>
      </c>
      <c r="V57" s="368">
        <f t="shared" si="18"/>
        <v>0.35151895943562611</v>
      </c>
      <c r="W57" s="368">
        <f t="shared" si="19"/>
        <v>0.34114035087719302</v>
      </c>
      <c r="X57" s="368">
        <f t="shared" si="20"/>
        <v>0.32794146825396825</v>
      </c>
      <c r="Y57" s="368">
        <f t="shared" si="21"/>
        <v>0.32702286470143616</v>
      </c>
      <c r="Z57" s="368">
        <f t="shared" si="22"/>
        <v>0.31917297979797982</v>
      </c>
      <c r="AA57" s="368">
        <f t="shared" si="23"/>
        <v>0.31536059351276741</v>
      </c>
      <c r="AB57" s="369">
        <f t="shared" si="24"/>
        <v>0.32151124338624343</v>
      </c>
    </row>
    <row r="58" spans="1:28" hidden="1" outlineLevel="1" x14ac:dyDescent="0.25">
      <c r="A58" s="67"/>
      <c r="B58" s="226">
        <v>16</v>
      </c>
      <c r="C58" s="227">
        <f>LogH16</f>
        <v>0.06</v>
      </c>
      <c r="D58" s="280">
        <f t="shared" si="1"/>
        <v>208.33928571428569</v>
      </c>
      <c r="E58" s="370">
        <f t="shared" si="2"/>
        <v>0.46297619047619043</v>
      </c>
      <c r="F58" s="370">
        <f t="shared" si="3"/>
        <v>0.42439484126984123</v>
      </c>
      <c r="G58" s="370">
        <f t="shared" si="4"/>
        <v>0.46297619047619043</v>
      </c>
      <c r="H58" s="370">
        <f t="shared" si="5"/>
        <v>0.49384126984126986</v>
      </c>
      <c r="I58" s="370">
        <f t="shared" si="5"/>
        <v>0.49384126984126986</v>
      </c>
      <c r="J58" s="370">
        <f t="shared" si="6"/>
        <v>0.48869708994708994</v>
      </c>
      <c r="K58" s="370">
        <f t="shared" si="7"/>
        <v>0.51809240362811793</v>
      </c>
      <c r="L58" s="370">
        <f t="shared" si="8"/>
        <v>0.5304935515873016</v>
      </c>
      <c r="M58" s="370">
        <f t="shared" si="9"/>
        <v>0.54013888888888884</v>
      </c>
      <c r="N58" s="370">
        <f t="shared" si="10"/>
        <v>0.51699007936507935</v>
      </c>
      <c r="O58" s="370">
        <f t="shared" si="11"/>
        <v>0.50506493506493511</v>
      </c>
      <c r="P58" s="370">
        <f t="shared" si="12"/>
        <v>0.47583664021164024</v>
      </c>
      <c r="Q58" s="370">
        <f t="shared" si="13"/>
        <v>0.45704059829059829</v>
      </c>
      <c r="R58" s="370">
        <f t="shared" si="14"/>
        <v>0.43541808390022685</v>
      </c>
      <c r="S58" s="370">
        <f t="shared" si="15"/>
        <v>0.41667857142857145</v>
      </c>
      <c r="T58" s="370">
        <f t="shared" si="16"/>
        <v>0.40028149801587304</v>
      </c>
      <c r="U58" s="370">
        <f t="shared" si="17"/>
        <v>0.38581349206349203</v>
      </c>
      <c r="V58" s="370">
        <f t="shared" si="18"/>
        <v>0.36866622574955904</v>
      </c>
      <c r="W58" s="370">
        <f t="shared" si="19"/>
        <v>0.35738512949039269</v>
      </c>
      <c r="X58" s="370">
        <f t="shared" si="20"/>
        <v>0.34723214285714282</v>
      </c>
      <c r="Y58" s="370">
        <f t="shared" si="21"/>
        <v>0.33437169312169313</v>
      </c>
      <c r="Z58" s="370">
        <f t="shared" si="22"/>
        <v>0.33320256132756132</v>
      </c>
      <c r="AA58" s="370">
        <f t="shared" si="23"/>
        <v>0.32542529330572811</v>
      </c>
      <c r="AB58" s="371">
        <f t="shared" si="24"/>
        <v>0.32151124338624337</v>
      </c>
    </row>
    <row r="59" spans="1:28" hidden="1" outlineLevel="1" x14ac:dyDescent="0.25">
      <c r="A59" s="67"/>
      <c r="B59" s="233">
        <v>17</v>
      </c>
      <c r="C59" s="234">
        <f>LogH17</f>
        <v>0.03</v>
      </c>
      <c r="D59" s="279">
        <f t="shared" si="1"/>
        <v>104.16964285714285</v>
      </c>
      <c r="E59" s="368">
        <f t="shared" si="2"/>
        <v>0.23148809523809522</v>
      </c>
      <c r="F59" s="368">
        <f t="shared" si="3"/>
        <v>0.34723214285714282</v>
      </c>
      <c r="G59" s="368">
        <f t="shared" si="4"/>
        <v>0.36009259259259258</v>
      </c>
      <c r="H59" s="368">
        <f t="shared" si="5"/>
        <v>0.43211111111111111</v>
      </c>
      <c r="I59" s="368">
        <f t="shared" si="5"/>
        <v>0.43211111111111111</v>
      </c>
      <c r="J59" s="368">
        <f t="shared" si="6"/>
        <v>0.45011574074074079</v>
      </c>
      <c r="K59" s="368">
        <f t="shared" si="7"/>
        <v>0.45195294784580503</v>
      </c>
      <c r="L59" s="368">
        <f t="shared" si="8"/>
        <v>0.48226686507936511</v>
      </c>
      <c r="M59" s="368">
        <f t="shared" si="9"/>
        <v>0.49727072310405651</v>
      </c>
      <c r="N59" s="368">
        <f t="shared" si="10"/>
        <v>0.50927380952380952</v>
      </c>
      <c r="O59" s="368">
        <f t="shared" si="11"/>
        <v>0.49103535353535355</v>
      </c>
      <c r="P59" s="368">
        <f t="shared" si="12"/>
        <v>0.48226686507936511</v>
      </c>
      <c r="Q59" s="368">
        <f t="shared" si="13"/>
        <v>0.45704059829059829</v>
      </c>
      <c r="R59" s="368">
        <f t="shared" si="14"/>
        <v>0.44092970521541947</v>
      </c>
      <c r="S59" s="368">
        <f t="shared" si="15"/>
        <v>0.42182275132275132</v>
      </c>
      <c r="T59" s="368">
        <f t="shared" si="16"/>
        <v>0.40510416666666665</v>
      </c>
      <c r="U59" s="368">
        <f t="shared" si="17"/>
        <v>0.39035247432306253</v>
      </c>
      <c r="V59" s="368">
        <f t="shared" si="18"/>
        <v>0.37723985890652556</v>
      </c>
      <c r="W59" s="368">
        <f t="shared" si="19"/>
        <v>0.36144632414369254</v>
      </c>
      <c r="X59" s="368">
        <f t="shared" si="20"/>
        <v>0.35109027777777779</v>
      </c>
      <c r="Y59" s="368">
        <f t="shared" si="21"/>
        <v>0.3417205215419501</v>
      </c>
      <c r="Z59" s="368">
        <f t="shared" si="22"/>
        <v>0.32969516594516596</v>
      </c>
      <c r="AA59" s="368">
        <f t="shared" si="23"/>
        <v>0.32878019323671498</v>
      </c>
      <c r="AB59" s="369">
        <f t="shared" si="24"/>
        <v>0.32151124338624337</v>
      </c>
    </row>
    <row r="60" spans="1:28" hidden="1" outlineLevel="1" x14ac:dyDescent="0.25">
      <c r="A60" s="67"/>
      <c r="B60" s="226">
        <v>18</v>
      </c>
      <c r="C60" s="227">
        <f>LogH18</f>
        <v>0.02</v>
      </c>
      <c r="D60" s="280">
        <f t="shared" si="1"/>
        <v>69.446428571428569</v>
      </c>
      <c r="E60" s="370">
        <f t="shared" si="2"/>
        <v>0.15432539682539681</v>
      </c>
      <c r="F60" s="370">
        <f t="shared" si="3"/>
        <v>0.19290674603174601</v>
      </c>
      <c r="G60" s="370">
        <f t="shared" si="4"/>
        <v>0.28292989417989417</v>
      </c>
      <c r="H60" s="370">
        <f t="shared" si="5"/>
        <v>0.35494841269841271</v>
      </c>
      <c r="I60" s="370">
        <f t="shared" si="5"/>
        <v>0.35494841269841271</v>
      </c>
      <c r="J60" s="370">
        <f t="shared" si="6"/>
        <v>0.38581349206349208</v>
      </c>
      <c r="K60" s="370">
        <f t="shared" si="7"/>
        <v>0.40785997732426305</v>
      </c>
      <c r="L60" s="370">
        <f t="shared" si="8"/>
        <v>0.414749503968254</v>
      </c>
      <c r="M60" s="370">
        <f t="shared" si="9"/>
        <v>0.44582892416225756</v>
      </c>
      <c r="N60" s="370">
        <f t="shared" si="10"/>
        <v>0.46297619047619049</v>
      </c>
      <c r="O60" s="370">
        <f t="shared" si="11"/>
        <v>0.47700577200577193</v>
      </c>
      <c r="P60" s="370">
        <f t="shared" si="12"/>
        <v>0.46297619047619043</v>
      </c>
      <c r="Q60" s="370">
        <f t="shared" si="13"/>
        <v>0.45704059829059829</v>
      </c>
      <c r="R60" s="370">
        <f t="shared" si="14"/>
        <v>0.43541808390022668</v>
      </c>
      <c r="S60" s="370">
        <f t="shared" si="15"/>
        <v>0.42182275132275127</v>
      </c>
      <c r="T60" s="370">
        <f t="shared" si="16"/>
        <v>0.40510416666666665</v>
      </c>
      <c r="U60" s="370">
        <f t="shared" si="17"/>
        <v>0.39035247432306253</v>
      </c>
      <c r="V60" s="370">
        <f t="shared" si="18"/>
        <v>0.37723985890652556</v>
      </c>
      <c r="W60" s="370">
        <f t="shared" si="19"/>
        <v>0.36550751879699245</v>
      </c>
      <c r="X60" s="370">
        <f t="shared" si="20"/>
        <v>0.35109027777777768</v>
      </c>
      <c r="Y60" s="370">
        <f t="shared" si="21"/>
        <v>0.3417205215419501</v>
      </c>
      <c r="Z60" s="370">
        <f t="shared" si="22"/>
        <v>0.33320256132756126</v>
      </c>
      <c r="AA60" s="370">
        <f t="shared" si="23"/>
        <v>0.32207039337474119</v>
      </c>
      <c r="AB60" s="371">
        <f t="shared" si="24"/>
        <v>0.32151124338624337</v>
      </c>
    </row>
    <row r="61" spans="1:28" hidden="1" outlineLevel="1" x14ac:dyDescent="0.25">
      <c r="A61" s="67"/>
      <c r="B61" s="233">
        <v>19</v>
      </c>
      <c r="C61" s="234">
        <f>LogH19</f>
        <v>0.04</v>
      </c>
      <c r="D61" s="279">
        <f t="shared" si="1"/>
        <v>138.89285714285714</v>
      </c>
      <c r="E61" s="368">
        <f t="shared" si="2"/>
        <v>0.30865079365079362</v>
      </c>
      <c r="F61" s="368">
        <f t="shared" si="3"/>
        <v>0.23148809523809524</v>
      </c>
      <c r="G61" s="368">
        <f t="shared" si="4"/>
        <v>0.23148809523809522</v>
      </c>
      <c r="H61" s="368">
        <f t="shared" si="5"/>
        <v>0.30865079365079362</v>
      </c>
      <c r="I61" s="368">
        <f t="shared" si="5"/>
        <v>0.30865079365079362</v>
      </c>
      <c r="J61" s="368">
        <f t="shared" si="6"/>
        <v>0.34723214285714282</v>
      </c>
      <c r="K61" s="368">
        <f t="shared" si="7"/>
        <v>0.37479024943310663</v>
      </c>
      <c r="L61" s="368">
        <f t="shared" si="8"/>
        <v>0.39545882936507937</v>
      </c>
      <c r="M61" s="368">
        <f t="shared" si="9"/>
        <v>0.40296075837742512</v>
      </c>
      <c r="N61" s="368">
        <f t="shared" si="10"/>
        <v>0.43211111111111117</v>
      </c>
      <c r="O61" s="368">
        <f t="shared" si="11"/>
        <v>0.44894660894660898</v>
      </c>
      <c r="P61" s="368">
        <f t="shared" si="12"/>
        <v>0.46297619047619043</v>
      </c>
      <c r="Q61" s="368">
        <f t="shared" si="13"/>
        <v>0.45110500610500615</v>
      </c>
      <c r="R61" s="368">
        <f t="shared" si="14"/>
        <v>0.44644132653061225</v>
      </c>
      <c r="S61" s="368">
        <f t="shared" si="15"/>
        <v>0.42696693121693119</v>
      </c>
      <c r="T61" s="368">
        <f t="shared" si="16"/>
        <v>0.41474950396825394</v>
      </c>
      <c r="U61" s="368">
        <f t="shared" si="17"/>
        <v>0.39943043884220358</v>
      </c>
      <c r="V61" s="368">
        <f t="shared" si="18"/>
        <v>0.38581349206349208</v>
      </c>
      <c r="W61" s="368">
        <f t="shared" si="19"/>
        <v>0.37362990810359231</v>
      </c>
      <c r="X61" s="368">
        <f t="shared" si="20"/>
        <v>0.36266468253968254</v>
      </c>
      <c r="Y61" s="368">
        <f t="shared" si="21"/>
        <v>0.34906934996220712</v>
      </c>
      <c r="Z61" s="368">
        <f t="shared" si="22"/>
        <v>0.3402173520923521</v>
      </c>
      <c r="AA61" s="368">
        <f t="shared" si="23"/>
        <v>0.33213509316770184</v>
      </c>
      <c r="AB61" s="369">
        <f t="shared" si="24"/>
        <v>0.32151124338624337</v>
      </c>
    </row>
    <row r="62" spans="1:28" hidden="1" outlineLevel="1" x14ac:dyDescent="0.25">
      <c r="A62" s="67"/>
      <c r="B62" s="226">
        <v>20</v>
      </c>
      <c r="C62" s="227">
        <f>LogH20</f>
        <v>0.01</v>
      </c>
      <c r="D62" s="280">
        <f t="shared" si="1"/>
        <v>34.723214285714285</v>
      </c>
      <c r="E62" s="370">
        <f t="shared" si="2"/>
        <v>7.7162698412698405E-2</v>
      </c>
      <c r="F62" s="370">
        <f t="shared" si="3"/>
        <v>0.19290674603174601</v>
      </c>
      <c r="G62" s="370">
        <f t="shared" si="4"/>
        <v>0.18004629629629629</v>
      </c>
      <c r="H62" s="370">
        <f t="shared" si="5"/>
        <v>0.24692063492063493</v>
      </c>
      <c r="I62" s="370">
        <f t="shared" si="5"/>
        <v>0.24692063492063493</v>
      </c>
      <c r="J62" s="370">
        <f t="shared" si="6"/>
        <v>0.27006944444444442</v>
      </c>
      <c r="K62" s="370">
        <f t="shared" si="7"/>
        <v>0.30865079365079362</v>
      </c>
      <c r="L62" s="370">
        <f t="shared" si="8"/>
        <v>0.33758680555555554</v>
      </c>
      <c r="M62" s="370">
        <f t="shared" si="9"/>
        <v>0.36009259259259258</v>
      </c>
      <c r="N62" s="370">
        <f t="shared" si="10"/>
        <v>0.37038095238095242</v>
      </c>
      <c r="O62" s="370">
        <f t="shared" si="11"/>
        <v>0.39984307359307364</v>
      </c>
      <c r="P62" s="370">
        <f t="shared" si="12"/>
        <v>0.41796461640211646</v>
      </c>
      <c r="Q62" s="370">
        <f t="shared" si="13"/>
        <v>0.4332982295482295</v>
      </c>
      <c r="R62" s="370">
        <f t="shared" si="14"/>
        <v>0.42439484126984128</v>
      </c>
      <c r="S62" s="370">
        <f t="shared" si="15"/>
        <v>0.42182275132275132</v>
      </c>
      <c r="T62" s="370">
        <f t="shared" si="16"/>
        <v>0.40510416666666665</v>
      </c>
      <c r="U62" s="370">
        <f t="shared" si="17"/>
        <v>0.39489145658263303</v>
      </c>
      <c r="V62" s="370">
        <f t="shared" si="18"/>
        <v>0.38152667548500885</v>
      </c>
      <c r="W62" s="370">
        <f t="shared" si="19"/>
        <v>0.36956871345029241</v>
      </c>
      <c r="X62" s="370">
        <f t="shared" si="20"/>
        <v>0.35880654761904762</v>
      </c>
      <c r="Y62" s="370">
        <f t="shared" si="21"/>
        <v>0.34906934996220712</v>
      </c>
      <c r="Z62" s="370">
        <f t="shared" si="22"/>
        <v>0.33670995670995668</v>
      </c>
      <c r="AA62" s="370">
        <f t="shared" si="23"/>
        <v>0.32878019323671498</v>
      </c>
      <c r="AB62" s="371">
        <f t="shared" si="24"/>
        <v>0.32151124338624337</v>
      </c>
    </row>
    <row r="63" spans="1:28" hidden="1" outlineLevel="1" x14ac:dyDescent="0.25">
      <c r="A63" s="67"/>
      <c r="B63" s="233">
        <v>21</v>
      </c>
      <c r="C63" s="234">
        <f>LogH21</f>
        <v>0.02</v>
      </c>
      <c r="D63" s="279">
        <f t="shared" si="1"/>
        <v>69.446428571428569</v>
      </c>
      <c r="E63" s="368">
        <f t="shared" si="2"/>
        <v>0.15432539682539681</v>
      </c>
      <c r="F63" s="368">
        <f t="shared" si="3"/>
        <v>0.11574404761904762</v>
      </c>
      <c r="G63" s="368">
        <f t="shared" si="4"/>
        <v>0.18004629629629629</v>
      </c>
      <c r="H63" s="368">
        <f t="shared" si="5"/>
        <v>0.18519047619047616</v>
      </c>
      <c r="I63" s="368">
        <f t="shared" si="5"/>
        <v>0.18519047619047616</v>
      </c>
      <c r="J63" s="368">
        <f t="shared" si="6"/>
        <v>0.23148809523809522</v>
      </c>
      <c r="K63" s="368">
        <f t="shared" si="7"/>
        <v>0.25353458049886618</v>
      </c>
      <c r="L63" s="368">
        <f t="shared" si="8"/>
        <v>0.2893601190476191</v>
      </c>
      <c r="M63" s="368">
        <f t="shared" si="9"/>
        <v>0.3172244268077602</v>
      </c>
      <c r="N63" s="368">
        <f t="shared" si="10"/>
        <v>0.33951587301587305</v>
      </c>
      <c r="O63" s="368">
        <f t="shared" si="11"/>
        <v>0.35073953823953824</v>
      </c>
      <c r="P63" s="368">
        <f t="shared" si="12"/>
        <v>0.37938326719576726</v>
      </c>
      <c r="Q63" s="368">
        <f t="shared" si="13"/>
        <v>0.39768467643467648</v>
      </c>
      <c r="R63" s="368">
        <f t="shared" si="14"/>
        <v>0.41337159863945577</v>
      </c>
      <c r="S63" s="368">
        <f t="shared" si="15"/>
        <v>0.40639021164021161</v>
      </c>
      <c r="T63" s="368">
        <f t="shared" si="16"/>
        <v>0.40510416666666665</v>
      </c>
      <c r="U63" s="368">
        <f t="shared" si="17"/>
        <v>0.39035247432306253</v>
      </c>
      <c r="V63" s="368">
        <f t="shared" si="18"/>
        <v>0.38152667548500879</v>
      </c>
      <c r="W63" s="368">
        <f t="shared" si="19"/>
        <v>0.36956871345029241</v>
      </c>
      <c r="X63" s="368">
        <f t="shared" si="20"/>
        <v>0.35880654761904762</v>
      </c>
      <c r="Y63" s="368">
        <f t="shared" si="21"/>
        <v>0.34906934996220712</v>
      </c>
      <c r="Z63" s="368">
        <f t="shared" si="22"/>
        <v>0.34021735209235204</v>
      </c>
      <c r="AA63" s="368">
        <f t="shared" si="23"/>
        <v>0.32878019323671492</v>
      </c>
      <c r="AB63" s="369">
        <f t="shared" si="24"/>
        <v>0.32151124338624337</v>
      </c>
    </row>
    <row r="64" spans="1:28" hidden="1" outlineLevel="1" x14ac:dyDescent="0.25">
      <c r="A64" s="67"/>
      <c r="B64" s="226">
        <v>22</v>
      </c>
      <c r="C64" s="227">
        <f>LogH22</f>
        <v>0.02</v>
      </c>
      <c r="D64" s="280">
        <f t="shared" si="1"/>
        <v>69.446428571428569</v>
      </c>
      <c r="E64" s="370">
        <f t="shared" si="2"/>
        <v>0.15432539682539681</v>
      </c>
      <c r="F64" s="370">
        <f t="shared" si="3"/>
        <v>0.15432539682539681</v>
      </c>
      <c r="G64" s="370">
        <f t="shared" si="4"/>
        <v>0.12860449735449736</v>
      </c>
      <c r="H64" s="370">
        <f t="shared" si="5"/>
        <v>0.1697579365079365</v>
      </c>
      <c r="I64" s="370">
        <f t="shared" si="5"/>
        <v>0.1697579365079365</v>
      </c>
      <c r="J64" s="370">
        <f t="shared" si="6"/>
        <v>0.18004629629629629</v>
      </c>
      <c r="K64" s="370">
        <f t="shared" si="7"/>
        <v>0.22046485260770973</v>
      </c>
      <c r="L64" s="370">
        <f t="shared" si="8"/>
        <v>0.24113343253968253</v>
      </c>
      <c r="M64" s="370">
        <f t="shared" si="9"/>
        <v>0.27435626102292776</v>
      </c>
      <c r="N64" s="370">
        <f t="shared" si="10"/>
        <v>0.30093452380952385</v>
      </c>
      <c r="O64" s="370">
        <f t="shared" si="11"/>
        <v>0.32268037518037518</v>
      </c>
      <c r="P64" s="370">
        <f t="shared" si="12"/>
        <v>0.33437169312169318</v>
      </c>
      <c r="Q64" s="370">
        <f t="shared" si="13"/>
        <v>0.36207112332112334</v>
      </c>
      <c r="R64" s="370">
        <f t="shared" si="14"/>
        <v>0.38030187074829935</v>
      </c>
      <c r="S64" s="370">
        <f t="shared" si="15"/>
        <v>0.39610185185185182</v>
      </c>
      <c r="T64" s="370">
        <f t="shared" si="16"/>
        <v>0.3906361607142857</v>
      </c>
      <c r="U64" s="370">
        <f t="shared" si="17"/>
        <v>0.39035247432306253</v>
      </c>
      <c r="V64" s="370">
        <f t="shared" si="18"/>
        <v>0.37723985890652556</v>
      </c>
      <c r="W64" s="370">
        <f t="shared" si="19"/>
        <v>0.36956871345029235</v>
      </c>
      <c r="X64" s="370">
        <f t="shared" si="20"/>
        <v>0.35880654761904762</v>
      </c>
      <c r="Y64" s="370">
        <f t="shared" si="21"/>
        <v>0.34906934996220712</v>
      </c>
      <c r="Z64" s="370">
        <f t="shared" si="22"/>
        <v>0.34021735209235204</v>
      </c>
      <c r="AA64" s="370">
        <f t="shared" si="23"/>
        <v>0.33213509316770184</v>
      </c>
      <c r="AB64" s="371">
        <f t="shared" si="24"/>
        <v>0.32151124338624332</v>
      </c>
    </row>
    <row r="65" spans="1:32" hidden="1" outlineLevel="1" x14ac:dyDescent="0.25">
      <c r="A65" s="67"/>
      <c r="B65" s="233">
        <v>23</v>
      </c>
      <c r="C65" s="234">
        <f>LogH23</f>
        <v>0.01</v>
      </c>
      <c r="D65" s="279">
        <f t="shared" si="1"/>
        <v>34.723214285714285</v>
      </c>
      <c r="E65" s="368">
        <f t="shared" si="2"/>
        <v>7.7162698412698405E-2</v>
      </c>
      <c r="F65" s="368">
        <f t="shared" si="3"/>
        <v>0.11574404761904762</v>
      </c>
      <c r="G65" s="368">
        <f t="shared" si="4"/>
        <v>0.12860449735449733</v>
      </c>
      <c r="H65" s="368">
        <f t="shared" si="5"/>
        <v>0.15432539682539681</v>
      </c>
      <c r="I65" s="368">
        <f t="shared" si="5"/>
        <v>0.15432539682539681</v>
      </c>
      <c r="J65" s="368">
        <f t="shared" si="6"/>
        <v>0.15432539682539681</v>
      </c>
      <c r="K65" s="368">
        <f t="shared" si="7"/>
        <v>0.16534863945578229</v>
      </c>
      <c r="L65" s="368">
        <f t="shared" si="8"/>
        <v>0.20255208333333333</v>
      </c>
      <c r="M65" s="368">
        <f t="shared" si="9"/>
        <v>0.22291446208112875</v>
      </c>
      <c r="N65" s="368">
        <f t="shared" si="10"/>
        <v>0.25463690476190481</v>
      </c>
      <c r="O65" s="368">
        <f t="shared" si="11"/>
        <v>0.28059163059163061</v>
      </c>
      <c r="P65" s="368">
        <f t="shared" si="12"/>
        <v>0.3022205687830688</v>
      </c>
      <c r="Q65" s="368">
        <f t="shared" si="13"/>
        <v>0.31458638583638587</v>
      </c>
      <c r="R65" s="368">
        <f t="shared" si="14"/>
        <v>0.34172052154195015</v>
      </c>
      <c r="S65" s="368">
        <f t="shared" si="15"/>
        <v>0.36009259259259258</v>
      </c>
      <c r="T65" s="368">
        <f t="shared" si="16"/>
        <v>0.37616815476190468</v>
      </c>
      <c r="U65" s="368">
        <f t="shared" si="17"/>
        <v>0.37219654528478058</v>
      </c>
      <c r="V65" s="368">
        <f t="shared" si="18"/>
        <v>0.37295304232804233</v>
      </c>
      <c r="W65" s="368">
        <f t="shared" si="19"/>
        <v>0.36144632414369254</v>
      </c>
      <c r="X65" s="368">
        <f t="shared" si="20"/>
        <v>0.35494841269841265</v>
      </c>
      <c r="Y65" s="368">
        <f t="shared" si="21"/>
        <v>0.34539493575207858</v>
      </c>
      <c r="Z65" s="368">
        <f t="shared" si="22"/>
        <v>0.33670995670995668</v>
      </c>
      <c r="AA65" s="368">
        <f t="shared" si="23"/>
        <v>0.32878019323671492</v>
      </c>
      <c r="AB65" s="369">
        <f t="shared" si="24"/>
        <v>0.32151124338624332</v>
      </c>
    </row>
    <row r="66" spans="1:32" hidden="1" outlineLevel="1" x14ac:dyDescent="0.25">
      <c r="A66" s="67"/>
      <c r="B66" s="220">
        <v>24</v>
      </c>
      <c r="C66" s="219">
        <f>LogH24</f>
        <v>0.02</v>
      </c>
      <c r="D66" s="281">
        <f t="shared" si="1"/>
        <v>69.446428571428569</v>
      </c>
      <c r="E66" s="372">
        <f t="shared" si="2"/>
        <v>0.15432539682539681</v>
      </c>
      <c r="F66" s="372">
        <f t="shared" si="3"/>
        <v>0.11574404761904762</v>
      </c>
      <c r="G66" s="372">
        <f t="shared" si="4"/>
        <v>0.12860449735449736</v>
      </c>
      <c r="H66" s="372">
        <f t="shared" si="5"/>
        <v>0.12346031746031746</v>
      </c>
      <c r="I66" s="372">
        <f t="shared" si="5"/>
        <v>0.12346031746031746</v>
      </c>
      <c r="J66" s="372">
        <f t="shared" si="6"/>
        <v>0.15432539682539681</v>
      </c>
      <c r="K66" s="372">
        <f t="shared" si="7"/>
        <v>0.15432539682539681</v>
      </c>
      <c r="L66" s="372">
        <f t="shared" si="8"/>
        <v>0.1639707341269841</v>
      </c>
      <c r="M66" s="372">
        <f t="shared" si="9"/>
        <v>0.19719356261022927</v>
      </c>
      <c r="N66" s="372">
        <f t="shared" si="10"/>
        <v>0.21605555555555556</v>
      </c>
      <c r="O66" s="372">
        <f t="shared" si="11"/>
        <v>0.2455176767676768</v>
      </c>
      <c r="P66" s="372">
        <f t="shared" si="12"/>
        <v>0.27006944444444447</v>
      </c>
      <c r="Q66" s="372">
        <f t="shared" si="13"/>
        <v>0.29084401709401714</v>
      </c>
      <c r="R66" s="372">
        <f t="shared" si="14"/>
        <v>0.30313917233560095</v>
      </c>
      <c r="S66" s="372">
        <f t="shared" si="15"/>
        <v>0.3292275132275132</v>
      </c>
      <c r="T66" s="372">
        <f t="shared" si="16"/>
        <v>0.34723214285714282</v>
      </c>
      <c r="U66" s="372">
        <f t="shared" si="17"/>
        <v>0.36311858076563952</v>
      </c>
      <c r="V66" s="372">
        <f t="shared" si="18"/>
        <v>0.36009259259259252</v>
      </c>
      <c r="W66" s="372">
        <f t="shared" si="19"/>
        <v>0.36144632414369254</v>
      </c>
      <c r="X66" s="372">
        <f t="shared" si="20"/>
        <v>0.35109027777777768</v>
      </c>
      <c r="Y66" s="372">
        <f t="shared" si="21"/>
        <v>0.34539493575207852</v>
      </c>
      <c r="Z66" s="372">
        <f t="shared" si="22"/>
        <v>0.33670995670995668</v>
      </c>
      <c r="AA66" s="372">
        <f t="shared" si="23"/>
        <v>0.32878019323671492</v>
      </c>
      <c r="AB66" s="373">
        <f t="shared" si="24"/>
        <v>0.32151124338624332</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0.69446428571428565</v>
      </c>
      <c r="F71" s="375">
        <f t="shared" si="26"/>
        <v>0.6558829365079365</v>
      </c>
      <c r="G71" s="376">
        <f t="shared" si="26"/>
        <v>0.64302248677248675</v>
      </c>
      <c r="H71" s="376">
        <f t="shared" si="26"/>
        <v>0.58643650793650803</v>
      </c>
      <c r="I71" s="374">
        <f t="shared" si="26"/>
        <v>0.58643650793650803</v>
      </c>
      <c r="J71" s="376">
        <f t="shared" si="26"/>
        <v>0.5787202380952382</v>
      </c>
      <c r="K71" s="374">
        <f t="shared" si="26"/>
        <v>0.57320861678004542</v>
      </c>
      <c r="L71" s="375">
        <f t="shared" si="26"/>
        <v>0.54978422619047618</v>
      </c>
      <c r="M71" s="376">
        <f t="shared" si="26"/>
        <v>0.54013888888888884</v>
      </c>
      <c r="N71" s="376">
        <f t="shared" si="26"/>
        <v>0.51699007936507935</v>
      </c>
      <c r="O71" s="374">
        <f t="shared" si="26"/>
        <v>0.50506493506493511</v>
      </c>
      <c r="P71" s="376">
        <f t="shared" si="26"/>
        <v>0.48226686507936511</v>
      </c>
      <c r="Q71" s="374">
        <f t="shared" si="26"/>
        <v>0.45704059829059829</v>
      </c>
      <c r="R71" s="375">
        <f t="shared" si="26"/>
        <v>0.44644132653061225</v>
      </c>
      <c r="S71" s="375">
        <f t="shared" si="26"/>
        <v>0.42696693121693119</v>
      </c>
      <c r="T71" s="375">
        <f t="shared" si="26"/>
        <v>0.41474950396825394</v>
      </c>
      <c r="U71" s="375">
        <f t="shared" si="26"/>
        <v>0.39943043884220358</v>
      </c>
      <c r="V71" s="375">
        <f t="shared" si="26"/>
        <v>0.38581349206349208</v>
      </c>
      <c r="W71" s="375">
        <f t="shared" si="26"/>
        <v>0.37362990810359231</v>
      </c>
      <c r="X71" s="375">
        <f t="shared" si="26"/>
        <v>0.36266468253968254</v>
      </c>
      <c r="Y71" s="375">
        <f t="shared" si="26"/>
        <v>0.34906934996220712</v>
      </c>
      <c r="Z71" s="375">
        <f t="shared" si="26"/>
        <v>0.3402173520923521</v>
      </c>
      <c r="AA71" s="375">
        <f t="shared" si="26"/>
        <v>0.33213509316770184</v>
      </c>
      <c r="AB71" s="377">
        <f t="shared" si="26"/>
        <v>0.32151124338624343</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f>IF(AND(SiteResilienceEnabled="Yes",HAOption="Yes",ValidationCheck=FALSE,SUM(LogH1:LogH24)&lt;&gt;0),DBLogBandwidth+PeakCIBandwidth,"--")</f>
        <v>1.1805892857142855</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f>IF(AND(SiteResilienceEnabled="Yes",HAOption="Yes",ValidationCheck=FALSE,SUM(LogH1:LogH24)&lt;&gt;0),DAGLogBandwidth+PeakCIDAGBandwidth,"--")</f>
        <v>9.4447142857142836</v>
      </c>
      <c r="G138" s="1227"/>
      <c r="H138" s="1227"/>
      <c r="I138" s="83"/>
      <c r="J138" s="83"/>
      <c r="K138" s="33"/>
      <c r="L138" s="1262" t="s">
        <v>427</v>
      </c>
      <c r="M138" s="1262"/>
      <c r="N138" s="1262"/>
      <c r="O138" s="1262"/>
      <c r="P138" s="1262"/>
      <c r="Q138" s="1262"/>
      <c r="R138" s="1262"/>
      <c r="S138" s="1262"/>
      <c r="T138" s="1262"/>
      <c r="U138" s="1262"/>
      <c r="V138" s="1263"/>
      <c r="W138" s="1226">
        <f>IF(AND(HAOption="Yes",SiteResilienceEnabled="Yes",ValidationCheck=FALSE,SUM(LogH1:LogH24)&lt;&gt;0),(HLOOKUP(calcRPO,tblSCRBndwdth,2,FALSE)*IF(NetworkCompression="Enabled",1-varLogCompressionFactor,1))+HLOOKUP(calcRPO,tblSCRBndwdth,2,FALSE),"--")</f>
        <v>0.54656911375661377</v>
      </c>
      <c r="X138" s="1227"/>
      <c r="Y138" s="1227"/>
      <c r="Z138" s="1227"/>
      <c r="AA138" s="84"/>
      <c r="AB138" s="85"/>
    </row>
    <row r="139" spans="1:29" x14ac:dyDescent="0.25">
      <c r="A139" s="67"/>
      <c r="B139" s="1296" t="s">
        <v>426</v>
      </c>
      <c r="C139" s="1297"/>
      <c r="D139" s="1297"/>
      <c r="E139" s="1298"/>
      <c r="F139" s="1299">
        <f>IF(AND(SiteResilienceEnabled="Yes",HAOption="Yes",ValidationCheck=FALSE,SUM(LogH1:LogH24)&lt;&gt;0),TotPeakLogCIBandwidth*calcNumDAGs,"--")</f>
        <v>9.4447142857142836</v>
      </c>
      <c r="G139" s="1300"/>
      <c r="H139" s="1300"/>
      <c r="I139" s="68"/>
      <c r="J139" s="68"/>
      <c r="K139" s="68"/>
      <c r="L139" s="1257" t="s">
        <v>430</v>
      </c>
      <c r="M139" s="1257"/>
      <c r="N139" s="1257"/>
      <c r="O139" s="1257"/>
      <c r="P139" s="1257"/>
      <c r="Q139" s="1257"/>
      <c r="R139" s="1257"/>
      <c r="S139" s="1257"/>
      <c r="T139" s="1257"/>
      <c r="U139" s="1257"/>
      <c r="V139" s="1258"/>
      <c r="W139" s="1228">
        <f>IF(AND(HAOption="Yes",SiteResilienceEnabled="Yes",ValidationCheck=FALSE,SUM(LogH1:LogH24)&lt;&gt;0),(HLOOKUP(calcRPO,tblSCRBndwdth,2,FALSE)*calcLogStreamsBtwnDCs*IF(NetworkCompression="Enabled",1-varLogCompressionFactor,1))+(HLOOKUP(calcRPO,tblSCRBndwdth,2,FALSE)*calcLogStreamsBtwnDCs),"--")</f>
        <v>4.3725529100529101</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f>IF(AND(SiteResilienceEnabled="Yes",HAOption="Yes",ValidationCheck=FALSE,SUM(LogH1:LogH24)&lt;&gt;0),TotRPOLogCIBandwidth*calcNumDAGs,"--")</f>
        <v>4.3725529100529101</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Use Chosen Link</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Use Chosen Link</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Yes</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Yes</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1815</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1833</v>
      </c>
      <c r="D30" s="604" t="s">
        <v>249</v>
      </c>
      <c r="E30" s="1032"/>
      <c r="F30" s="1032"/>
      <c r="G30" s="1032"/>
      <c r="H30" s="1032"/>
      <c r="I30" s="1032"/>
      <c r="J30" s="1032"/>
      <c r="K30" s="1032"/>
      <c r="L30" s="1032"/>
      <c r="M30" s="1032"/>
      <c r="T30" s="1033"/>
      <c r="Y30" s="1032"/>
    </row>
    <row r="31" spans="1:25" s="719" customFormat="1" ht="15" x14ac:dyDescent="0.25">
      <c r="A31" s="1033"/>
      <c r="B31" s="1032"/>
      <c r="C31" s="1068" t="s">
        <v>1826</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1832</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1834</v>
      </c>
      <c r="D59" s="604" t="s">
        <v>249</v>
      </c>
      <c r="E59" s="1032"/>
      <c r="F59" s="1032"/>
      <c r="G59" s="1032"/>
      <c r="H59" s="1032"/>
      <c r="I59" s="1032"/>
      <c r="J59" s="1032"/>
      <c r="K59" s="1032"/>
      <c r="L59" s="1032"/>
      <c r="M59" s="1032"/>
      <c r="T59" s="1033"/>
    </row>
    <row r="60" spans="1:20" s="719" customFormat="1" ht="15" x14ac:dyDescent="0.25">
      <c r="A60" s="1033"/>
      <c r="B60" s="1032"/>
      <c r="C60" s="1068" t="s">
        <v>1826</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1832</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1835</v>
      </c>
      <c r="D88" s="604" t="s">
        <v>249</v>
      </c>
      <c r="E88" s="1032"/>
      <c r="F88" s="1032"/>
      <c r="G88" s="1032"/>
      <c r="H88" s="1032"/>
      <c r="I88" s="1032"/>
      <c r="J88" s="1032"/>
      <c r="K88" s="1032"/>
      <c r="L88" s="1032"/>
      <c r="M88" s="1032"/>
      <c r="T88" s="1033"/>
    </row>
    <row r="89" spans="1:20" s="719" customFormat="1" ht="15" x14ac:dyDescent="0.25">
      <c r="A89" s="1033"/>
      <c r="B89" s="1032"/>
      <c r="C89" s="1068" t="s">
        <v>1826</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1832</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1836</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1826</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1832</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1814</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1820</v>
      </c>
      <c r="C5" s="1040" t="s">
        <v>249</v>
      </c>
      <c r="D5" s="450"/>
      <c r="E5" s="450"/>
      <c r="F5" s="450"/>
      <c r="G5" s="450"/>
      <c r="H5" s="450"/>
      <c r="I5" s="450"/>
      <c r="J5" s="450"/>
      <c r="K5" s="450"/>
      <c r="L5" s="719"/>
      <c r="M5" s="719"/>
      <c r="N5" s="719"/>
      <c r="O5" s="719"/>
      <c r="P5" s="719"/>
      <c r="Q5" s="719"/>
      <c r="R5" s="719"/>
      <c r="S5" s="1032"/>
      <c r="T5" s="1033"/>
    </row>
    <row r="6" spans="1:20" ht="15" x14ac:dyDescent="0.2">
      <c r="B6" s="1035" t="s">
        <v>1816</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1825</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1817</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1818</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1819</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1821</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1822</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1823</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1824</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1821</v>
      </c>
      <c r="C17" s="1041" t="s">
        <v>1826</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1827</v>
      </c>
      <c r="C21" s="1050" t="s">
        <v>249</v>
      </c>
      <c r="S21" s="1032"/>
      <c r="T21" s="1033"/>
    </row>
    <row r="22" spans="1:20" ht="15" x14ac:dyDescent="0.2">
      <c r="A22" s="1033"/>
      <c r="B22" s="1065" t="s">
        <v>1816</v>
      </c>
      <c r="C22" s="1061">
        <f>IF(calcTier2MBX&lt;&gt;0,Tier2AvgMessageSize*Tier2MessageProfile*WorkWeekDays/1024,0)</f>
        <v>0</v>
      </c>
      <c r="S22" s="1032"/>
      <c r="T22" s="1033"/>
    </row>
    <row r="23" spans="1:20" ht="15" x14ac:dyDescent="0.2">
      <c r="A23" s="1033"/>
      <c r="B23" s="1065" t="s">
        <v>1825</v>
      </c>
      <c r="C23" s="1061">
        <f>IF(calcTier2MBX&lt;&gt;0,calcTier2WeeklyData*52/1024,0)</f>
        <v>0</v>
      </c>
      <c r="S23" s="1032"/>
      <c r="T23" s="1033"/>
    </row>
    <row r="24" spans="1:20" ht="15" x14ac:dyDescent="0.2">
      <c r="A24" s="1033"/>
      <c r="B24" s="1065" t="s">
        <v>1817</v>
      </c>
      <c r="C24" s="1061">
        <f>IF(calcTier2MBX&lt;&gt;0,calcTier2YearlyData/12*1024,0)</f>
        <v>0</v>
      </c>
      <c r="S24" s="1032"/>
      <c r="T24" s="1033"/>
    </row>
    <row r="25" spans="1:20" ht="15" x14ac:dyDescent="0.2">
      <c r="A25" s="1033"/>
      <c r="B25" s="1066" t="s">
        <v>1818</v>
      </c>
      <c r="C25" s="1062">
        <f>IF(calcTier2MBX&lt;&gt;0,Tier2MBXSize/1024/(calcTier2YearlyData+calcTier2InitialMBXSize/1024),0)</f>
        <v>0</v>
      </c>
      <c r="S25" s="1032"/>
      <c r="T25" s="1033"/>
    </row>
    <row r="26" spans="1:20" ht="15" x14ac:dyDescent="0.2">
      <c r="A26" s="1033"/>
      <c r="B26" s="1066" t="s">
        <v>1819</v>
      </c>
      <c r="C26" s="1062">
        <f>IF(calcTier2MBX&lt;&gt;0,calcTier2PredictCapYears*12,0)</f>
        <v>0</v>
      </c>
      <c r="S26" s="1032"/>
      <c r="T26" s="1033"/>
    </row>
    <row r="27" spans="1:20" x14ac:dyDescent="0.2">
      <c r="A27" s="1033"/>
      <c r="S27" s="1032"/>
      <c r="T27" s="1033"/>
    </row>
    <row r="28" spans="1:20" ht="15.75" thickBot="1" x14ac:dyDescent="0.25">
      <c r="A28" s="1033"/>
      <c r="B28" s="304" t="s">
        <v>1831</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1822</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1823</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1824</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1831</v>
      </c>
      <c r="C33" s="1041" t="s">
        <v>1826</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1829</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1816</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1825</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1817</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1818</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1819</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1830</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1822</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1823</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1824</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1830</v>
      </c>
      <c r="C49" s="1041" t="s">
        <v>1826</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1829</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1816</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1825</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1817</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1818</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1819</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1830</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1822</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1823</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1824</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1830</v>
      </c>
      <c r="C65" s="1041" t="s">
        <v>1826</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1861</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40.199999999999996</v>
      </c>
      <c r="D35" s="36"/>
      <c r="F35" s="53"/>
      <c r="G35" s="53"/>
      <c r="H35" s="53"/>
      <c r="I35" s="42"/>
    </row>
    <row r="36" spans="1:10" hidden="1" outlineLevel="1" x14ac:dyDescent="0.2">
      <c r="A36" s="42"/>
      <c r="B36" s="59" t="s">
        <v>719</v>
      </c>
      <c r="C36" s="208">
        <f>ReadTransfers+(2*WriteTransfers)</f>
        <v>56.279999999999994</v>
      </c>
      <c r="D36" s="34"/>
      <c r="F36" s="53"/>
      <c r="G36" s="53"/>
      <c r="H36" s="53"/>
      <c r="I36" s="42"/>
    </row>
    <row r="37" spans="1:10" hidden="1" outlineLevel="1" x14ac:dyDescent="0.2">
      <c r="A37" s="42"/>
      <c r="B37" s="59" t="s">
        <v>720</v>
      </c>
      <c r="C37" s="208">
        <f>ReadTransfers+(4*WriteTransfers)</f>
        <v>88.44</v>
      </c>
      <c r="D37" s="34"/>
      <c r="E37" s="53"/>
      <c r="F37" s="53"/>
      <c r="G37" s="53"/>
      <c r="H37" s="53"/>
      <c r="I37" s="42"/>
    </row>
    <row r="38" spans="1:10" hidden="1" outlineLevel="1" x14ac:dyDescent="0.2">
      <c r="A38" s="42"/>
      <c r="B38" s="59" t="s">
        <v>721</v>
      </c>
      <c r="C38" s="208">
        <f>ReadTransfers+(6*WriteTransfers)</f>
        <v>120.6</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86.584615384615375</v>
      </c>
      <c r="D40" s="34"/>
      <c r="E40" s="39"/>
      <c r="F40" s="33"/>
      <c r="G40" s="53"/>
      <c r="H40" s="53"/>
      <c r="I40" s="42"/>
    </row>
    <row r="41" spans="1:10" hidden="1" outlineLevel="1" x14ac:dyDescent="0.2">
      <c r="A41" s="42"/>
      <c r="B41" s="59" t="s">
        <v>723</v>
      </c>
      <c r="C41" s="208">
        <f>RD5TotIOPS/(1-RD5Rebuild)</f>
        <v>176.88</v>
      </c>
      <c r="D41" s="34"/>
      <c r="E41" s="39"/>
      <c r="F41" s="53"/>
      <c r="G41" s="53"/>
      <c r="H41" s="53"/>
      <c r="I41" s="42"/>
    </row>
    <row r="42" spans="1:10" hidden="1" outlineLevel="1" x14ac:dyDescent="0.2">
      <c r="A42" s="42"/>
      <c r="B42" s="59" t="s">
        <v>724</v>
      </c>
      <c r="C42" s="208">
        <f>RD6TotIOPS/(1-RD6Rebuild)</f>
        <v>241.2</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1</v>
      </c>
      <c r="D72" s="57">
        <f>IF(DBDiskSizeSDC="--","--",ROUNDUP(BaseTotIOPS/(RandDBDiskIO2*DBDiskIOCap2),0))</f>
        <v>1</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2</v>
      </c>
      <c r="D73" s="57">
        <f>IF(DBDiskSizeSDC="--","--",CEILING(ROUNDUP(ReqRD10TotIOPS/(RandDBDiskIO2*DBDiskIOCap2),0),VLOOKUP(RAID10Type,tblRAID10Types,4,FALSE)))</f>
        <v>2</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1</v>
      </c>
      <c r="D76" s="208">
        <f>IF(DBDiskSizeSDC="--",0,ROUNDUP(DBVolDiskSpaceReplicaSS/DBForDiskCap2,0))</f>
        <v>1</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v>
      </c>
      <c r="D77" s="59">
        <f>CEILING(NumDBDiskCap2,VLOOKUP(RAID10Type,tblRAID10Types,2,FALSE))+((CEILING(NumDBDiskCap2,VLOOKUP(RAID10Type,tblRAID10Types,2,FALSE))/VLOOKUP(RAID10Type,tblRAID10Types,2,FALSE))*VLOOKUP(RAID10Type,tblRAID10Types,3,FALSE))</f>
        <v>2</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6</v>
      </c>
      <c r="D78" s="208">
        <f>CEILING(NumDBDiskCap2,VLOOKUP(RAID5Type,TblRAID5Types,2,FALSE))+((CEILING(NumDBDiskCap2,VLOOKUP(RAID5Type,TblRAID5Types,2,FALSE))/VLOOKUP(RAID5Type,TblRAID5Types,2,FALSE))*VLOOKUP(RAID5Type,TblRAID5Types,3,FALSE))</f>
        <v>6</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8</v>
      </c>
      <c r="D79" s="208">
        <f>CEILING(NumDBDiskCap2,VLOOKUP(RAID6Type,TblRAID6Types,2,FALSE))+((CEILING(NumDBDiskCap2,VLOOKUP(RAID6Type,TblRAID6Types,2,FALSE))/VLOOKUP(RAID6Type,TblRAID6Types,2,FALSE))*VLOOKUP(RAID6Type,TblRAID6Types,3,FALSE))</f>
        <v>8</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1</v>
      </c>
      <c r="D94" s="57">
        <f>NumDBDiskIOR02</f>
        <v>1</v>
      </c>
      <c r="E94" s="57" t="str">
        <f>NumDBDiskIOR03</f>
        <v>--</v>
      </c>
      <c r="F94" s="59"/>
      <c r="G94" s="53"/>
      <c r="H94" s="53"/>
      <c r="I94" s="42"/>
    </row>
    <row r="95" spans="1:9" hidden="1" outlineLevel="1" x14ac:dyDescent="0.2">
      <c r="A95" s="42"/>
      <c r="B95" s="59" t="s">
        <v>221</v>
      </c>
      <c r="C95" s="57">
        <f>NumDBDiskCap1</f>
        <v>1</v>
      </c>
      <c r="D95" s="57">
        <f>NumDBDiskCap2</f>
        <v>1</v>
      </c>
      <c r="E95" s="57">
        <f>NumDBDiskCap3</f>
        <v>0</v>
      </c>
      <c r="F95" s="59"/>
      <c r="G95" s="53"/>
      <c r="H95" s="53"/>
      <c r="I95" s="42"/>
    </row>
    <row r="96" spans="1:9" hidden="1" outlineLevel="1" x14ac:dyDescent="0.2">
      <c r="A96" s="42"/>
      <c r="B96" s="59" t="s">
        <v>222</v>
      </c>
      <c r="C96" s="57">
        <f>NumDBDiskIOR101</f>
        <v>2</v>
      </c>
      <c r="D96" s="57">
        <f>NumDBDiskIOR102</f>
        <v>2</v>
      </c>
      <c r="E96" s="57" t="str">
        <f>NumDBDiskIOR103</f>
        <v>--</v>
      </c>
      <c r="F96" s="59"/>
      <c r="G96" s="53"/>
      <c r="H96" s="53"/>
      <c r="I96" s="42"/>
    </row>
    <row r="97" spans="1:9" hidden="1" outlineLevel="1" x14ac:dyDescent="0.2">
      <c r="A97" s="42"/>
      <c r="B97" s="59" t="s">
        <v>223</v>
      </c>
      <c r="C97" s="57">
        <f>NumDBDiskCapR101</f>
        <v>2</v>
      </c>
      <c r="D97" s="57">
        <f>NumDBDiskCapR102</f>
        <v>2</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6</v>
      </c>
      <c r="D99" s="57">
        <f>NumDBDiskCapR52</f>
        <v>6</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8</v>
      </c>
      <c r="D101" s="57">
        <f>NumDBDiskCapR62</f>
        <v>8</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2</v>
      </c>
      <c r="C110" s="57" t="str">
        <f>OptDBRAIDConfig1</f>
        <v>RAID-1/0</v>
      </c>
      <c r="D110" s="57" t="s">
        <v>252</v>
      </c>
      <c r="F110" s="59"/>
      <c r="G110" s="53"/>
      <c r="H110" s="53"/>
      <c r="I110" s="42"/>
    </row>
    <row r="111" spans="1:9" hidden="1" outlineLevel="1" x14ac:dyDescent="0.2">
      <c r="A111" s="42"/>
      <c r="B111" s="57">
        <f>OptDBDisks2</f>
        <v>2</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5</v>
      </c>
      <c r="C127" s="57">
        <f>OptDBDisks1</f>
        <v>2</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5</v>
      </c>
      <c r="C130" s="57">
        <f>OptDBDisks2</f>
        <v>2</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v>
      </c>
      <c r="D145" s="77">
        <f>IF(OR(JBODEvaluation="No",DBLogIsolation="Yes"),"--",IF(AND(D143=FALSE,OR(VolArchitecture="1 Volume / DB",VolArchitecture="Multiple DBs / Volume")),"Insufficient Disk Capacity",IF(D144=TRUE,IF(VolArchitecture="1 Volume / DB",TotNumDBCopiesServer,NumDBVol),"Insufficient Disk IO Capacity")))</f>
        <v>1</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1</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1</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2</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2</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1</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1</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3</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3</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6</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6</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12</v>
      </c>
      <c r="D201" s="313">
        <f>IF(HAOption="Yes",Table44[[#This Row],[/ DAG]]*calcNumDAGs,"--")</f>
        <v>12</v>
      </c>
      <c r="E201" s="205"/>
      <c r="F201" s="92"/>
      <c r="G201" s="53"/>
      <c r="H201" s="53"/>
      <c r="I201" s="42"/>
    </row>
    <row r="202" spans="1:9" x14ac:dyDescent="0.2">
      <c r="A202" s="42"/>
      <c r="B202" s="59" t="s">
        <v>489</v>
      </c>
      <c r="C202" s="265">
        <f>SUBTOTAL(9,Table44[/ DAG])</f>
        <v>12</v>
      </c>
      <c r="D202" s="287">
        <f>SUBTOTAL(9,Table44[/ Environment])</f>
        <v>12</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1811</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1812</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1745</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4</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1743</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1740</v>
      </c>
      <c r="B222" s="156">
        <v>6000</v>
      </c>
      <c r="C222" s="128"/>
      <c r="D222" s="128"/>
      <c r="E222" s="111"/>
      <c r="F222" s="81"/>
    </row>
    <row r="223" spans="1:6" ht="15.75" thickBot="1" x14ac:dyDescent="0.3">
      <c r="A223" s="159" t="s">
        <v>1741</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1841</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1737</v>
      </c>
      <c r="C65" s="642"/>
      <c r="D65" s="642"/>
      <c r="E65" s="642"/>
      <c r="F65" s="642"/>
      <c r="G65" s="642"/>
      <c r="H65" s="642"/>
      <c r="I65" s="642"/>
      <c r="J65" s="642"/>
      <c r="K65" s="642"/>
      <c r="L65" s="642"/>
      <c r="M65" s="642"/>
      <c r="N65" s="642"/>
      <c r="O65" s="642"/>
      <c r="P65" s="642"/>
      <c r="Q65" s="17"/>
    </row>
    <row r="66" spans="1:17" ht="41.25" customHeight="1" x14ac:dyDescent="0.2">
      <c r="A66" s="670"/>
      <c r="B66" s="1387" t="s">
        <v>1742</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1744</v>
      </c>
      <c r="C68" s="642"/>
      <c r="D68" s="642"/>
      <c r="E68" s="642"/>
      <c r="F68" s="642"/>
      <c r="G68" s="642"/>
      <c r="H68" s="642"/>
      <c r="I68" s="642"/>
      <c r="J68" s="642"/>
      <c r="K68" s="642"/>
      <c r="L68" s="642"/>
      <c r="M68" s="642"/>
      <c r="N68" s="642"/>
      <c r="O68" s="642"/>
      <c r="P68" s="642"/>
      <c r="Q68" s="17"/>
    </row>
    <row r="69" spans="1:17" ht="60.75" customHeight="1" x14ac:dyDescent="0.2">
      <c r="A69" s="670"/>
      <c r="B69" s="1387" t="s">
        <v>1746</v>
      </c>
      <c r="C69" s="1165"/>
      <c r="D69" s="1165"/>
      <c r="E69" s="1165"/>
      <c r="F69" s="1165"/>
      <c r="G69" s="1165"/>
      <c r="H69" s="1165"/>
      <c r="I69" s="1165"/>
      <c r="J69" s="1165"/>
      <c r="K69" s="1165"/>
      <c r="L69" s="1165"/>
      <c r="M69" s="1165"/>
      <c r="N69" s="1165"/>
      <c r="O69" s="1165"/>
      <c r="P69" s="1165"/>
      <c r="Q69" s="1388"/>
    </row>
    <row r="70" spans="1:17" ht="15" x14ac:dyDescent="0.2">
      <c r="A70" s="670"/>
      <c r="B70" s="1387" t="s">
        <v>1747</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1808</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1864</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1865</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1842</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1748</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1749</v>
      </c>
      <c r="E26" s="723" t="s">
        <v>1194</v>
      </c>
    </row>
    <row r="27" spans="2:5" x14ac:dyDescent="0.2">
      <c r="B27" s="723" t="s">
        <v>1472</v>
      </c>
      <c r="C27" s="723" t="s">
        <v>933</v>
      </c>
      <c r="D27" s="723" t="s">
        <v>1750</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1751</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1752</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1753</v>
      </c>
      <c r="E49" s="723" t="s">
        <v>1209</v>
      </c>
    </row>
    <row r="50" spans="2:5" x14ac:dyDescent="0.2">
      <c r="B50" s="723" t="s">
        <v>1489</v>
      </c>
      <c r="C50" s="723" t="s">
        <v>949</v>
      </c>
      <c r="D50" s="724" t="s">
        <v>1754</v>
      </c>
      <c r="E50" s="723" t="s">
        <v>1210</v>
      </c>
    </row>
    <row r="51" spans="2:5" x14ac:dyDescent="0.2">
      <c r="B51" s="723" t="s">
        <v>1461</v>
      </c>
      <c r="C51" s="723" t="s">
        <v>879</v>
      </c>
      <c r="D51" s="724" t="s">
        <v>1755</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1756</v>
      </c>
      <c r="E54" s="723" t="s">
        <v>1213</v>
      </c>
    </row>
    <row r="55" spans="2:5" x14ac:dyDescent="0.2">
      <c r="B55" s="723" t="s">
        <v>1470</v>
      </c>
      <c r="C55" s="723" t="s">
        <v>882</v>
      </c>
      <c r="D55" s="723" t="s">
        <v>1757</v>
      </c>
      <c r="E55" s="723" t="s">
        <v>1214</v>
      </c>
    </row>
    <row r="56" spans="2:5" x14ac:dyDescent="0.2">
      <c r="B56" s="723" t="s">
        <v>1493</v>
      </c>
      <c r="C56" s="723" t="s">
        <v>953</v>
      </c>
      <c r="D56" s="723" t="s">
        <v>1758</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1759</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1760</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1761</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1767</v>
      </c>
      <c r="E136" s="723" t="s">
        <v>1261</v>
      </c>
    </row>
    <row r="137" spans="2:5" x14ac:dyDescent="0.2">
      <c r="B137" s="723" t="s">
        <v>1523</v>
      </c>
      <c r="C137" s="723" t="s">
        <v>749</v>
      </c>
      <c r="D137" s="723" t="s">
        <v>1771</v>
      </c>
      <c r="E137" s="723" t="s">
        <v>1609</v>
      </c>
    </row>
    <row r="138" spans="2:5" x14ac:dyDescent="0.2">
      <c r="B138" s="723" t="s">
        <v>749</v>
      </c>
      <c r="C138" s="723" t="s">
        <v>750</v>
      </c>
      <c r="D138" s="723" t="s">
        <v>1772</v>
      </c>
      <c r="E138" s="723" t="s">
        <v>758</v>
      </c>
    </row>
    <row r="139" spans="2:5" x14ac:dyDescent="0.2">
      <c r="B139" s="723" t="s">
        <v>1524</v>
      </c>
      <c r="E139" s="723" t="s">
        <v>1610</v>
      </c>
    </row>
    <row r="140" spans="2:5" x14ac:dyDescent="0.2">
      <c r="B140" s="723" t="s">
        <v>1525</v>
      </c>
      <c r="C140" s="723" t="s">
        <v>780</v>
      </c>
      <c r="D140" s="723" t="s">
        <v>1768</v>
      </c>
      <c r="E140" s="723" t="s">
        <v>1611</v>
      </c>
    </row>
    <row r="141" spans="2:5" x14ac:dyDescent="0.2">
      <c r="B141" s="723" t="s">
        <v>749</v>
      </c>
      <c r="C141" s="723" t="s">
        <v>781</v>
      </c>
      <c r="D141" s="723" t="s">
        <v>1773</v>
      </c>
      <c r="E141" s="723" t="s">
        <v>1612</v>
      </c>
    </row>
    <row r="142" spans="2:5" x14ac:dyDescent="0.2">
      <c r="B142" s="723" t="s">
        <v>750</v>
      </c>
      <c r="C142" s="723" t="s">
        <v>780</v>
      </c>
      <c r="D142" s="723" t="s">
        <v>1774</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1775</v>
      </c>
    </row>
    <row r="148" spans="2:5" x14ac:dyDescent="0.2">
      <c r="B148" s="723" t="s">
        <v>782</v>
      </c>
      <c r="C148" s="723" t="s">
        <v>1001</v>
      </c>
      <c r="D148" s="723" t="s">
        <v>1776</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1777</v>
      </c>
      <c r="E151" s="723" t="s">
        <v>1722</v>
      </c>
    </row>
    <row r="152" spans="2:5" x14ac:dyDescent="0.2">
      <c r="B152" s="723" t="s">
        <v>1528</v>
      </c>
      <c r="C152" s="723" t="s">
        <v>1004</v>
      </c>
      <c r="D152" s="723" t="s">
        <v>1102</v>
      </c>
      <c r="E152" s="723" t="s">
        <v>1600</v>
      </c>
    </row>
    <row r="153" spans="2:5" x14ac:dyDescent="0.2">
      <c r="B153" s="723" t="s">
        <v>1529</v>
      </c>
      <c r="C153" s="723" t="s">
        <v>1005</v>
      </c>
      <c r="D153" s="723" t="s">
        <v>1778</v>
      </c>
    </row>
    <row r="154" spans="2:5" x14ac:dyDescent="0.2">
      <c r="B154" s="723" t="s">
        <v>1530</v>
      </c>
      <c r="C154" s="723" t="s">
        <v>1006</v>
      </c>
      <c r="D154" s="723" t="s">
        <v>1779</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1780</v>
      </c>
      <c r="E157" s="723" t="s">
        <v>1617</v>
      </c>
    </row>
    <row r="158" spans="2:5" x14ac:dyDescent="0.2">
      <c r="B158" s="723" t="s">
        <v>1534</v>
      </c>
      <c r="C158" s="723" t="s">
        <v>1010</v>
      </c>
      <c r="D158" s="723" t="s">
        <v>1781</v>
      </c>
      <c r="E158" s="723" t="s">
        <v>1618</v>
      </c>
    </row>
    <row r="159" spans="2:5" x14ac:dyDescent="0.2">
      <c r="B159" s="723" t="s">
        <v>1535</v>
      </c>
      <c r="C159" s="723" t="s">
        <v>1011</v>
      </c>
      <c r="D159" s="723" t="s">
        <v>1782</v>
      </c>
    </row>
    <row r="160" spans="2:5" x14ac:dyDescent="0.2">
      <c r="B160" s="723" t="s">
        <v>1536</v>
      </c>
      <c r="C160" s="723" t="s">
        <v>1012</v>
      </c>
      <c r="D160" s="723" t="s">
        <v>1783</v>
      </c>
      <c r="E160" s="723" t="s">
        <v>1619</v>
      </c>
    </row>
    <row r="161" spans="2:5" x14ac:dyDescent="0.2">
      <c r="B161" s="723" t="s">
        <v>1537</v>
      </c>
      <c r="D161" s="723" t="s">
        <v>1776</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1766</v>
      </c>
      <c r="E164" s="723" t="s">
        <v>1622</v>
      </c>
    </row>
    <row r="165" spans="2:5" x14ac:dyDescent="0.2">
      <c r="B165" s="723" t="s">
        <v>1541</v>
      </c>
      <c r="D165" s="723" t="s">
        <v>907</v>
      </c>
      <c r="E165" s="723" t="s">
        <v>1623</v>
      </c>
    </row>
    <row r="166" spans="2:5" x14ac:dyDescent="0.2">
      <c r="B166" s="723" t="s">
        <v>1542</v>
      </c>
      <c r="C166" s="723" t="s">
        <v>1013</v>
      </c>
      <c r="D166" s="723" t="s">
        <v>1847</v>
      </c>
      <c r="E166" s="723" t="s">
        <v>1624</v>
      </c>
    </row>
    <row r="167" spans="2:5" x14ac:dyDescent="0.2">
      <c r="B167" s="723" t="s">
        <v>1543</v>
      </c>
      <c r="C167" s="723" t="s">
        <v>1014</v>
      </c>
      <c r="D167" s="723" t="s">
        <v>1846</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1784</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1843</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1769</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1762</v>
      </c>
      <c r="E191" s="723" t="s">
        <v>1638</v>
      </c>
    </row>
    <row r="192" spans="2:5" x14ac:dyDescent="0.2">
      <c r="D192" s="723" t="s">
        <v>1763</v>
      </c>
      <c r="E192" s="723" t="s">
        <v>1639</v>
      </c>
    </row>
    <row r="193" spans="2:5" x14ac:dyDescent="0.2">
      <c r="B193" s="723" t="s">
        <v>1567</v>
      </c>
      <c r="D193" s="723" t="s">
        <v>1764</v>
      </c>
      <c r="E193" s="723" t="s">
        <v>1640</v>
      </c>
    </row>
    <row r="194" spans="2:5" x14ac:dyDescent="0.2">
      <c r="B194" s="723" t="s">
        <v>1568</v>
      </c>
      <c r="D194" s="723" t="s">
        <v>759</v>
      </c>
      <c r="E194" s="723" t="s">
        <v>1641</v>
      </c>
    </row>
    <row r="195" spans="2:5" x14ac:dyDescent="0.2">
      <c r="B195" s="723" t="s">
        <v>1569</v>
      </c>
      <c r="D195" s="723" t="s">
        <v>1785</v>
      </c>
      <c r="E195" s="723" t="s">
        <v>1642</v>
      </c>
    </row>
    <row r="196" spans="2:5" x14ac:dyDescent="0.2">
      <c r="D196" s="723" t="s">
        <v>1786</v>
      </c>
      <c r="E196" s="723" t="s">
        <v>1643</v>
      </c>
    </row>
    <row r="197" spans="2:5" x14ac:dyDescent="0.2">
      <c r="B197" s="723" t="s">
        <v>1570</v>
      </c>
      <c r="D197" s="723" t="s">
        <v>750</v>
      </c>
      <c r="E197" s="723" t="s">
        <v>1644</v>
      </c>
    </row>
    <row r="198" spans="2:5" x14ac:dyDescent="0.2">
      <c r="B198" s="723" t="s">
        <v>1571</v>
      </c>
      <c r="D198" s="723" t="s">
        <v>1848</v>
      </c>
      <c r="E198" s="723" t="s">
        <v>1645</v>
      </c>
    </row>
    <row r="199" spans="2:5" x14ac:dyDescent="0.2">
      <c r="B199" s="723" t="s">
        <v>1572</v>
      </c>
      <c r="D199" s="723" t="s">
        <v>1787</v>
      </c>
      <c r="E199" s="723" t="s">
        <v>1646</v>
      </c>
    </row>
    <row r="200" spans="2:5" x14ac:dyDescent="0.2">
      <c r="B200" s="723" t="s">
        <v>1573</v>
      </c>
      <c r="D200" s="723" t="s">
        <v>889</v>
      </c>
      <c r="E200" s="723" t="s">
        <v>1647</v>
      </c>
    </row>
    <row r="201" spans="2:5" x14ac:dyDescent="0.2">
      <c r="B201" s="723" t="s">
        <v>1574</v>
      </c>
      <c r="D201" s="723" t="s">
        <v>1844</v>
      </c>
      <c r="E201" s="723" t="s">
        <v>1648</v>
      </c>
    </row>
    <row r="202" spans="2:5" x14ac:dyDescent="0.2">
      <c r="B202" s="723" t="s">
        <v>1533</v>
      </c>
      <c r="D202" s="723" t="s">
        <v>1110</v>
      </c>
      <c r="E202" s="723" t="s">
        <v>1649</v>
      </c>
    </row>
    <row r="203" spans="2:5" x14ac:dyDescent="0.2">
      <c r="B203" s="723" t="s">
        <v>1575</v>
      </c>
      <c r="D203" s="723" t="s">
        <v>1788</v>
      </c>
      <c r="E203" s="723" t="s">
        <v>1164</v>
      </c>
    </row>
    <row r="204" spans="2:5" x14ac:dyDescent="0.2">
      <c r="B204" s="723" t="s">
        <v>1576</v>
      </c>
      <c r="D204" s="723" t="s">
        <v>1789</v>
      </c>
      <c r="E204" s="723" t="s">
        <v>1650</v>
      </c>
    </row>
    <row r="205" spans="2:5" x14ac:dyDescent="0.2">
      <c r="B205" s="723" t="s">
        <v>1535</v>
      </c>
      <c r="D205" s="723" t="s">
        <v>889</v>
      </c>
      <c r="E205" s="723" t="s">
        <v>1651</v>
      </c>
    </row>
    <row r="206" spans="2:5" x14ac:dyDescent="0.2">
      <c r="B206" s="723" t="s">
        <v>1542</v>
      </c>
      <c r="D206" s="723" t="s">
        <v>1770</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1849</v>
      </c>
      <c r="E211" s="723" t="s">
        <v>1657</v>
      </c>
    </row>
    <row r="212" spans="2:10" x14ac:dyDescent="0.2">
      <c r="B212" s="723" t="s">
        <v>1573</v>
      </c>
      <c r="D212" s="723" t="s">
        <v>1790</v>
      </c>
      <c r="E212" s="723" t="s">
        <v>1658</v>
      </c>
    </row>
    <row r="213" spans="2:10" x14ac:dyDescent="0.2">
      <c r="B213" s="723" t="s">
        <v>749</v>
      </c>
      <c r="D213" s="723" t="s">
        <v>1791</v>
      </c>
      <c r="E213" s="723" t="s">
        <v>1659</v>
      </c>
    </row>
    <row r="214" spans="2:10" x14ac:dyDescent="0.2">
      <c r="B214" s="723" t="s">
        <v>1579</v>
      </c>
      <c r="D214" s="723" t="s">
        <v>1112</v>
      </c>
      <c r="E214" s="723" t="s">
        <v>1660</v>
      </c>
    </row>
    <row r="215" spans="2:10" x14ac:dyDescent="0.2">
      <c r="B215" s="723" t="s">
        <v>1580</v>
      </c>
      <c r="D215" s="723" t="s">
        <v>1792</v>
      </c>
      <c r="E215" s="723" t="s">
        <v>1661</v>
      </c>
    </row>
    <row r="216" spans="2:10" x14ac:dyDescent="0.2">
      <c r="B216" s="723" t="s">
        <v>1581</v>
      </c>
      <c r="D216" s="723" t="s">
        <v>1793</v>
      </c>
      <c r="E216" s="723" t="s">
        <v>1662</v>
      </c>
    </row>
    <row r="217" spans="2:10" x14ac:dyDescent="0.2">
      <c r="B217" s="723" t="s">
        <v>1582</v>
      </c>
      <c r="D217" s="723" t="s">
        <v>1794</v>
      </c>
      <c r="E217" s="723" t="s">
        <v>1663</v>
      </c>
    </row>
    <row r="218" spans="2:10" x14ac:dyDescent="0.2">
      <c r="B218" s="723" t="s">
        <v>749</v>
      </c>
      <c r="D218" s="723" t="s">
        <v>1795</v>
      </c>
      <c r="E218" s="723" t="s">
        <v>1664</v>
      </c>
    </row>
    <row r="219" spans="2:10" x14ac:dyDescent="0.2">
      <c r="B219" s="723" t="s">
        <v>1583</v>
      </c>
      <c r="D219" s="723" t="s">
        <v>1113</v>
      </c>
      <c r="E219" s="723" t="s">
        <v>1665</v>
      </c>
    </row>
    <row r="220" spans="2:10" x14ac:dyDescent="0.2">
      <c r="B220" s="723" t="s">
        <v>750</v>
      </c>
      <c r="D220" s="723" t="s">
        <v>1765</v>
      </c>
      <c r="E220" s="723" t="s">
        <v>1666</v>
      </c>
    </row>
    <row r="221" spans="2:10" x14ac:dyDescent="0.2">
      <c r="B221" s="723" t="s">
        <v>920</v>
      </c>
      <c r="D221" s="723" t="s">
        <v>1850</v>
      </c>
      <c r="E221" s="723" t="s">
        <v>1667</v>
      </c>
    </row>
    <row r="222" spans="2:10" x14ac:dyDescent="0.2">
      <c r="B222" s="723" t="s">
        <v>1584</v>
      </c>
      <c r="D222" s="723" t="s">
        <v>1796</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1851</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1852</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1853</v>
      </c>
      <c r="E244" s="723" t="s">
        <v>1688</v>
      </c>
    </row>
    <row r="245" spans="4:5" x14ac:dyDescent="0.2">
      <c r="D245" s="723" t="s">
        <v>1854</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1855</v>
      </c>
      <c r="E253" s="723" t="s">
        <v>1693</v>
      </c>
    </row>
    <row r="254" spans="4:5" x14ac:dyDescent="0.2">
      <c r="D254" s="723" t="s">
        <v>1797</v>
      </c>
      <c r="E254" s="723" t="s">
        <v>1694</v>
      </c>
    </row>
    <row r="255" spans="4:5" x14ac:dyDescent="0.2">
      <c r="D255" s="723" t="s">
        <v>1798</v>
      </c>
      <c r="E255" s="723" t="s">
        <v>1684</v>
      </c>
    </row>
    <row r="256" spans="4:5" x14ac:dyDescent="0.2">
      <c r="D256" s="723" t="s">
        <v>1122</v>
      </c>
      <c r="E256" s="723" t="s">
        <v>1695</v>
      </c>
    </row>
    <row r="257" spans="4:12" x14ac:dyDescent="0.2">
      <c r="D257" s="723" t="s">
        <v>1799</v>
      </c>
      <c r="E257" s="723" t="s">
        <v>1696</v>
      </c>
    </row>
    <row r="258" spans="4:12" x14ac:dyDescent="0.2">
      <c r="D258" s="723" t="s">
        <v>891</v>
      </c>
      <c r="E258" s="723" t="s">
        <v>1146</v>
      </c>
    </row>
    <row r="259" spans="4:12" x14ac:dyDescent="0.2">
      <c r="D259" s="723" t="s">
        <v>1856</v>
      </c>
      <c r="E259" s="723" t="s">
        <v>1697</v>
      </c>
    </row>
    <row r="260" spans="4:12" x14ac:dyDescent="0.2">
      <c r="D260" s="723" t="s">
        <v>1800</v>
      </c>
      <c r="E260" s="723" t="s">
        <v>1698</v>
      </c>
    </row>
    <row r="261" spans="4:12" x14ac:dyDescent="0.2">
      <c r="D261" s="723" t="s">
        <v>891</v>
      </c>
      <c r="E261" s="723" t="s">
        <v>1699</v>
      </c>
    </row>
    <row r="262" spans="4:12" x14ac:dyDescent="0.2">
      <c r="D262" s="723" t="s">
        <v>1170</v>
      </c>
      <c r="E262" s="723" t="s">
        <v>1700</v>
      </c>
    </row>
    <row r="263" spans="4:12" x14ac:dyDescent="0.2">
      <c r="D263" s="723" t="s">
        <v>1801</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1802</v>
      </c>
      <c r="E267" s="723" t="s">
        <v>1146</v>
      </c>
    </row>
    <row r="268" spans="4:12" x14ac:dyDescent="0.2">
      <c r="D268" s="723" t="s">
        <v>1797</v>
      </c>
      <c r="E268" s="723" t="s">
        <v>1157</v>
      </c>
      <c r="K268" t="s">
        <v>1595</v>
      </c>
    </row>
    <row r="269" spans="4:12" x14ac:dyDescent="0.2">
      <c r="D269" s="723" t="s">
        <v>1803</v>
      </c>
      <c r="E269" s="723" t="s">
        <v>1705</v>
      </c>
      <c r="L269" t="s">
        <v>1596</v>
      </c>
    </row>
    <row r="270" spans="4:12" x14ac:dyDescent="0.2">
      <c r="D270" s="723" t="s">
        <v>1804</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1845</v>
      </c>
      <c r="E276" s="723" t="s">
        <v>1711</v>
      </c>
    </row>
    <row r="277" spans="4:11" x14ac:dyDescent="0.2">
      <c r="D277" s="723" t="s">
        <v>1131</v>
      </c>
      <c r="E277" s="723" t="s">
        <v>1712</v>
      </c>
    </row>
    <row r="278" spans="4:11" x14ac:dyDescent="0.2">
      <c r="D278" s="723" t="s">
        <v>1805</v>
      </c>
      <c r="E278" s="723" t="s">
        <v>1164</v>
      </c>
    </row>
    <row r="279" spans="4:11" x14ac:dyDescent="0.2">
      <c r="D279" s="723" t="s">
        <v>1857</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1806</v>
      </c>
      <c r="E294" s="723" t="s">
        <v>918</v>
      </c>
    </row>
    <row r="295" spans="4:5" x14ac:dyDescent="0.2">
      <c r="D295" s="723" t="s">
        <v>1146</v>
      </c>
      <c r="E295" s="723" t="s">
        <v>1724</v>
      </c>
    </row>
    <row r="296" spans="4:5" x14ac:dyDescent="0.2">
      <c r="D296" s="723" t="s">
        <v>1147</v>
      </c>
      <c r="E296" s="723" t="s">
        <v>893</v>
      </c>
    </row>
    <row r="297" spans="4:5" x14ac:dyDescent="0.2">
      <c r="D297" s="723" t="s">
        <v>1807</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1858</v>
      </c>
      <c r="E304" s="723" t="s">
        <v>922</v>
      </c>
    </row>
    <row r="305" spans="4:5" x14ac:dyDescent="0.2">
      <c r="D305" s="723" t="s">
        <v>1154</v>
      </c>
      <c r="E305" s="723" t="s">
        <v>750</v>
      </c>
    </row>
    <row r="306" spans="4:5" x14ac:dyDescent="0.2">
      <c r="D306" s="723" t="s">
        <v>1859</v>
      </c>
      <c r="E306" s="723" t="s">
        <v>783</v>
      </c>
    </row>
    <row r="307" spans="4:5" x14ac:dyDescent="0.2">
      <c r="D307" s="723" t="s">
        <v>1146</v>
      </c>
    </row>
    <row r="308" spans="4:5" x14ac:dyDescent="0.2">
      <c r="D308" s="723" t="s">
        <v>1147</v>
      </c>
    </row>
    <row r="309" spans="4:5" x14ac:dyDescent="0.2">
      <c r="D309" s="723" t="s">
        <v>1155</v>
      </c>
    </row>
    <row r="310" spans="4:5" x14ac:dyDescent="0.2">
      <c r="D310" s="723" t="s">
        <v>1860</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2015-04-19T20:22:29Z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ies>
</file>